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14e34e59bf4f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62f512694bf54585"/>
    <x:sheet xmlns:r="http://schemas.openxmlformats.org/officeDocument/2006/relationships" name="Source_Raw" sheetId="2" r:id="R378e7b2a06f54af6"/>
    <x:sheet xmlns:r="http://schemas.openxmlformats.org/officeDocument/2006/relationships" name="Raw_Data" sheetId="3" r:id="R84d4e6afcc3847bc"/>
    <x:sheet xmlns:r="http://schemas.openxmlformats.org/officeDocument/2006/relationships" name="Item_Metadata" sheetId="4" r:id="R519b56a214534541"/>
    <x:sheet xmlns:r="http://schemas.openxmlformats.org/officeDocument/2006/relationships" name="Unit_Index" sheetId="5" r:id="R4caf1fa623794405"/>
    <x:sheet xmlns:r="http://schemas.openxmlformats.org/officeDocument/2006/relationships" name="HSCS2569" sheetId="6" r:id="R30732e100e844ed4"/>
    <x:sheet xmlns:r="http://schemas.openxmlformats.org/officeDocument/2006/relationships" name="Data_Quality" sheetId="7" r:id="Rdb229a0c642140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"/>
    <x:numFmt numFmtId="202" formatCode="#,##0"/>
    <x:numFmt numFmtId="203" formatCode="0.0"/>
  </x:numFmts>
  <x:fonts count="12">
    <x:font>
      <x:sz val="11"/>
      <x:name val="Carlito"/>
    </x:font>
    <x:font>
      <x:b/>
      <x:sz val="10"/>
      <x:color rgb="FFFFFFFF"/>
      <x:name val="Arial"/>
    </x:font>
    <x:font>
      <x:sz val="9"/>
      <x:color rgb="FF263238"/>
      <x:name val="Arial"/>
    </x:font>
    <x:font>
      <x:b/>
      <x:sz val="9"/>
      <x:color rgb="FFFFFFFF"/>
      <x:name val="Arial"/>
    </x:font>
    <x:font>
      <x:b/>
      <x:sz val="9"/>
      <x:color rgb="FF263238"/>
      <x:name val="Arial"/>
    </x:font>
    <x:font>
      <x:b/>
      <x:sz val="22"/>
      <x:color rgb="FFFFFFFF"/>
      <x:name val="Arial"/>
    </x:font>
    <x:font>
      <x:i/>
      <x:sz val="10"/>
      <x:color rgb="FF0D47A1"/>
      <x:name val="Arial"/>
    </x:font>
    <x:font>
      <x:sz val="10"/>
      <x:color rgb="FF263238"/>
      <x:name val="Arial"/>
    </x:font>
    <x:font>
      <x:b/>
      <x:sz val="11"/>
      <x:color rgb="FF0D47A1"/>
      <x:name val="Arial"/>
    </x:font>
    <x:font>
      <x:b/>
      <x:sz val="10"/>
      <x:color rgb="FF263238"/>
      <x:name val="Arial"/>
    </x:font>
    <x:font>
      <x:i/>
      <x:sz val="9"/>
      <x:color rgb="FF455A64"/>
      <x:name val="Arial"/>
    </x:font>
    <x:font>
      <x:b/>
      <x:sz val="15"/>
      <x:color rgb="FFFFFFF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37474F"/>
      </x:patternFill>
    </x:fill>
    <x:fill>
      <x:patternFill patternType="solid">
        <x:fgColor rgb="FF0D47A1"/>
      </x:patternFill>
    </x:fill>
    <x:fill>
      <x:patternFill patternType="solid">
        <x:fgColor rgb="FFFFF8E1"/>
      </x:patternFill>
    </x:fill>
    <x:fill>
      <x:patternFill patternType="solid">
        <x:fgColor rgb="FF1565C0"/>
      </x:patternFill>
    </x:fill>
    <x:fill>
      <x:patternFill patternType="solid">
        <x:fgColor rgb="FF283593"/>
      </x:patternFill>
    </x:fill>
    <x:fill>
      <x:patternFill patternType="solid">
        <x:fgColor rgb="FFE3F2FD"/>
      </x:patternFill>
    </x:fill>
    <x:fill>
      <x:patternFill patternType="solid">
        <x:fgColor rgb="FFF5F7FA"/>
      </x:patternFill>
    </x:fill>
    <x:fill>
      <x:patternFill patternType="solid">
        <x:fgColor rgb="FF546E7A"/>
      </x:patternFill>
    </x:fill>
  </x:fills>
  <x:borders count="38">
    <x:border/>
    <x:border>
      <x:left style="thin">
        <x:color rgb="FFB0BEC5"/>
      </x:left>
      <x:right style="thin">
        <x:color rgb="FFB0BEC5"/>
      </x:right>
      <x:top style="thin">
        <x:color rgb="FFB0BEC5"/>
      </x:top>
      <x:bottom style="thin">
        <x:color rgb="FFB0BEC5"/>
      </x:bottom>
    </x:border>
    <x:border>
      <x:right style="thin">
        <x:color rgb="FFECEFF1"/>
      </x:right>
      <x:bottom style="thin">
        <x:color rgb="FFECEFF1"/>
      </x:bottom>
    </x:border>
    <x:border>
      <x:left style="thin">
        <x:color rgb="FFECEFF1"/>
      </x:left>
      <x:right style="thin">
        <x:color rgb="FFECEFF1"/>
      </x:right>
      <x:bottom style="thin">
        <x:color rgb="FFECEFF1"/>
      </x:bottom>
    </x:border>
    <x:border>
      <x:left style="thin">
        <x:color rgb="FFECEFF1"/>
      </x:left>
      <x:bottom style="thin">
        <x:color rgb="FFECEFF1"/>
      </x:bottom>
    </x:border>
    <x:border>
      <x:right style="thin">
        <x:color rgb="FFECEFF1"/>
      </x:right>
      <x:top style="thin">
        <x:color rgb="FFECEFF1"/>
      </x:top>
      <x:bottom style="thin">
        <x:color rgb="FFECEFF1"/>
      </x:bottom>
    </x:border>
    <x:border>
      <x:left style="thin">
        <x:color rgb="FFECEFF1"/>
      </x:left>
      <x:right style="thin">
        <x:color rgb="FFECEFF1"/>
      </x:right>
      <x:top style="thin">
        <x:color rgb="FFECEFF1"/>
      </x:top>
      <x:bottom style="thin">
        <x:color rgb="FFECEFF1"/>
      </x:bottom>
    </x:border>
    <x:border>
      <x:left style="thin">
        <x:color rgb="FFECEFF1"/>
      </x:left>
      <x:top style="thin">
        <x:color rgb="FFECEFF1"/>
      </x:top>
      <x:bottom style="thin">
        <x:color rgb="FFECEFF1"/>
      </x:bottom>
    </x:border>
    <x:border>
      <x:right style="thin">
        <x:color rgb="FFECEFF1"/>
      </x:right>
      <x:top style="thin">
        <x:color rgb="FFECEFF1"/>
      </x:top>
    </x:border>
    <x:border>
      <x:left style="thin">
        <x:color rgb="FFECEFF1"/>
      </x:left>
      <x:right style="thin">
        <x:color rgb="FFECEFF1"/>
      </x:right>
      <x:top style="thin">
        <x:color rgb="FFECEFF1"/>
      </x:top>
    </x:border>
    <x:border>
      <x:left style="thin">
        <x:color rgb="FFECEFF1"/>
      </x:left>
      <x:top style="thin">
        <x:color rgb="FFECEFF1"/>
      </x:top>
    </x:border>
    <x:border>
      <x:left style="thin">
        <x:color rgb="FF90CAF9"/>
      </x:left>
      <x:right style="thin">
        <x:color rgb="FF90CAF9"/>
      </x:right>
      <x:top style="thin">
        <x:color rgb="FF90CAF9"/>
      </x:top>
      <x:bottom style="thin">
        <x:color rgb="FF90CAF9"/>
      </x:bottom>
    </x:border>
    <x:border>
      <x:right style="thin">
        <x:color rgb="FFE3F2FD"/>
      </x:right>
      <x:bottom style="thin">
        <x:color rgb="FFE3F2FD"/>
      </x:bottom>
    </x:border>
    <x:border>
      <x:left style="thin">
        <x:color rgb="FFE3F2FD"/>
      </x:left>
      <x:right style="thin">
        <x:color rgb="FFE3F2FD"/>
      </x:right>
      <x:bottom style="thin">
        <x:color rgb="FFE3F2FD"/>
      </x:bottom>
    </x:border>
    <x:border>
      <x:left style="thin">
        <x:color rgb="FFE3F2FD"/>
      </x:left>
      <x:bottom style="thin">
        <x:color rgb="FFE3F2FD"/>
      </x:bottom>
    </x:border>
    <x:border>
      <x:right style="thin">
        <x:color rgb="FFE3F2FD"/>
      </x:right>
      <x:top style="thin">
        <x:color rgb="FFE3F2FD"/>
      </x:top>
      <x:bottom style="thin">
        <x:color rgb="FFE3F2FD"/>
      </x:bottom>
    </x:border>
    <x:border>
      <x:left style="thin">
        <x:color rgb="FFE3F2FD"/>
      </x:left>
      <x:right style="thin">
        <x:color rgb="FFE3F2FD"/>
      </x:right>
      <x:top style="thin">
        <x:color rgb="FFE3F2FD"/>
      </x:top>
      <x:bottom style="thin">
        <x:color rgb="FFE3F2FD"/>
      </x:bottom>
    </x:border>
    <x:border>
      <x:left style="thin">
        <x:color rgb="FFE3F2FD"/>
      </x:left>
      <x:top style="thin">
        <x:color rgb="FFE3F2FD"/>
      </x:top>
      <x:bottom style="thin">
        <x:color rgb="FFE3F2FD"/>
      </x:bottom>
    </x:border>
    <x:border>
      <x:right style="thin">
        <x:color rgb="FFE3F2FD"/>
      </x:right>
      <x:top style="thin">
        <x:color rgb="FFE3F2FD"/>
      </x:top>
    </x:border>
    <x:border>
      <x:left style="thin">
        <x:color rgb="FFE3F2FD"/>
      </x:left>
      <x:right style="thin">
        <x:color rgb="FFE3F2FD"/>
      </x:right>
      <x:top style="thin">
        <x:color rgb="FFE3F2FD"/>
      </x:top>
    </x:border>
    <x:border>
      <x:left style="thin">
        <x:color rgb="FFE3F2FD"/>
      </x:left>
      <x:top style="thin">
        <x:color rgb="FFE3F2FD"/>
      </x:top>
    </x:border>
    <x:border>
      <x:left style="thin">
        <x:color rgb="FF9FA8DA"/>
      </x:left>
      <x:right style="thin">
        <x:color rgb="FF9FA8DA"/>
      </x:right>
      <x:top style="thin">
        <x:color rgb="FF9FA8DA"/>
      </x:top>
      <x:bottom style="thin">
        <x:color rgb="FF9FA8DA"/>
      </x:bottom>
    </x:border>
    <x:border>
      <x:right style="thin">
        <x:color rgb="FFE8EAF6"/>
      </x:right>
      <x:bottom style="thin">
        <x:color rgb="FFE8EAF6"/>
      </x:bottom>
    </x:border>
    <x:border>
      <x:left style="thin">
        <x:color rgb="FFE8EAF6"/>
      </x:left>
      <x:right style="thin">
        <x:color rgb="FFE8EAF6"/>
      </x:right>
      <x:bottom style="thin">
        <x:color rgb="FFE8EAF6"/>
      </x:bottom>
    </x:border>
    <x:border>
      <x:left style="thin">
        <x:color rgb="FFE8EAF6"/>
      </x:left>
      <x:bottom style="thin">
        <x:color rgb="FFE8EAF6"/>
      </x:bottom>
    </x:border>
    <x:border>
      <x:right style="thin">
        <x:color rgb="FFE8EAF6"/>
      </x:right>
      <x:top style="thin">
        <x:color rgb="FFE8EAF6"/>
      </x:top>
      <x:bottom style="thin">
        <x:color rgb="FFE8EAF6"/>
      </x:bottom>
    </x:border>
    <x:border>
      <x:left style="thin">
        <x:color rgb="FFE8EAF6"/>
      </x:left>
      <x:right style="thin">
        <x:color rgb="FFE8EAF6"/>
      </x:right>
      <x:top style="thin">
        <x:color rgb="FFE8EAF6"/>
      </x:top>
      <x:bottom style="thin">
        <x:color rgb="FFE8EAF6"/>
      </x:bottom>
    </x:border>
    <x:border>
      <x:left style="thin">
        <x:color rgb="FFE8EAF6"/>
      </x:left>
      <x:top style="thin">
        <x:color rgb="FFE8EAF6"/>
      </x:top>
      <x:bottom style="thin">
        <x:color rgb="FFE8EAF6"/>
      </x:bottom>
    </x:border>
    <x:border>
      <x:right style="thin">
        <x:color rgb="FFE8EAF6"/>
      </x:right>
      <x:top style="thin">
        <x:color rgb="FFE8EAF6"/>
      </x:top>
    </x:border>
    <x:border>
      <x:left style="thin">
        <x:color rgb="FFE8EAF6"/>
      </x:left>
      <x:right style="thin">
        <x:color rgb="FFE8EAF6"/>
      </x:right>
      <x:top style="thin">
        <x:color rgb="FFE8EAF6"/>
      </x:top>
    </x:border>
    <x:border>
      <x:left style="thin">
        <x:color rgb="FFE8EAF6"/>
      </x:left>
      <x:top style="thin">
        <x:color rgb="FFE8EAF6"/>
      </x:top>
    </x:border>
    <x:border>
      <x:right style="thin">
        <x:color rgb="FFCFD8DC"/>
      </x:right>
      <x:bottom style="thin">
        <x:color rgb="FFCFD8DC"/>
      </x:bottom>
    </x:border>
    <x:border>
      <x:left style="thin">
        <x:color rgb="FFCFD8DC"/>
      </x:left>
      <x:bottom style="thin">
        <x:color rgb="FFCFD8DC"/>
      </x:bottom>
    </x:border>
    <x:border>
      <x:right style="thin">
        <x:color rgb="FFCFD8DC"/>
      </x:right>
      <x:top style="thin">
        <x:color rgb="FFCFD8DC"/>
      </x:top>
      <x:bottom style="thin">
        <x:color rgb="FFCFD8DC"/>
      </x:bottom>
    </x:border>
    <x:border>
      <x:left style="thin">
        <x:color rgb="FFCFD8DC"/>
      </x:left>
      <x:top style="thin">
        <x:color rgb="FFCFD8DC"/>
      </x:top>
      <x:bottom style="thin">
        <x:color rgb="FFCFD8DC"/>
      </x:bottom>
    </x:border>
    <x:border>
      <x:right style="thin">
        <x:color rgb="FFCFD8DC"/>
      </x:right>
      <x:top style="thin">
        <x:color rgb="FFCFD8DC"/>
      </x:top>
    </x:border>
    <x:border>
      <x:left style="thin">
        <x:color rgb="FFCFD8DC"/>
      </x:left>
      <x:top style="thin">
        <x:color rgb="FFCFD8DC"/>
      </x:top>
    </x:border>
    <x:border>
      <x:left style="thin">
        <x:color rgb="FFCFD8DC"/>
      </x:left>
      <x:right style="thin">
        <x:color rgb="FFCFD8DC"/>
      </x:right>
      <x:top style="thin">
        <x:color rgb="FFCFD8DC"/>
      </x:top>
      <x:bottom style="thin">
        <x:color rgb="FFCFD8DC"/>
      </x:bottom>
    </x:border>
  </x:borders>
  <x:cellStyleXfs count="1">
    <x:xf numFmtId="0" fontId="0" fillId="0" borderId="0"/>
  </x:cellStyleXfs>
  <x:cellXfs count="2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0" fontId="2" fillId="0" borderId="7" xfId="0" applyNumberFormat="1" applyFont="1" applyFill="1" applyBorder="1" applyAlignment="1">
      <x:alignment vertical="center"/>
    </x:xf>
    <x:xf numFmtId="0" fontId="2" fillId="0" borderId="8" xfId="0" applyNumberFormat="1" applyFont="1" applyFill="1" applyBorder="1" applyAlignment="1">
      <x:alignment vertical="center"/>
    </x:xf>
    <x:xf numFmtId="0" fontId="2" fillId="0" borderId="9" xfId="0" applyNumberFormat="1" applyFont="1" applyFill="1" applyBorder="1" applyAlignment="1">
      <x:alignment vertical="center"/>
    </x:xf>
    <x:xf numFmtId="0" fontId="2" fillId="0" borderId="10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200" fontId="2" fillId="0" borderId="8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1" xfId="0" applyNumberFormat="1" applyFont="1" applyFill="1" applyBorder="1"/>
    <x:xf numFmtId="0" fontId="1" fillId="3" borderId="11" xfId="0" applyNumberFormat="1" applyFont="1" applyFill="1" applyBorder="1" applyAlignment="1">
      <x:alignment wrapText="1"/>
    </x:xf>
    <x:xf numFmtId="0" fontId="1" fillId="3" borderId="11" xfId="0" applyNumberFormat="1" applyFont="1" applyFill="1" applyBorder="1" applyAlignment="1">
      <x:alignment horizontal="center" wrapText="1"/>
    </x:xf>
    <x:xf numFmtId="0" fontId="1" fillId="3" borderId="11" xfId="0" applyNumberFormat="1" applyFont="1" applyFill="1" applyBorder="1" applyAlignment="1">
      <x:alignment horizontal="center" vertical="center" wrapText="1"/>
    </x:xf>
    <x:xf numFmtId="0" fontId="2" fillId="0" borderId="12" xfId="0" applyNumberFormat="1" applyFont="1" applyFill="1" applyBorder="1"/>
    <x:xf numFmtId="0" fontId="2" fillId="0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0" fontId="2" fillId="0" borderId="17" xfId="0" applyNumberFormat="1" applyFont="1" applyFill="1" applyBorder="1"/>
    <x:xf numFmtId="0" fontId="2" fillId="0" borderId="18" xfId="0" applyNumberFormat="1" applyFont="1" applyFill="1" applyBorder="1"/>
    <x:xf numFmtId="0" fontId="2" fillId="0" borderId="19" xfId="0" applyNumberFormat="1" applyFont="1" applyFill="1" applyBorder="1"/>
    <x:xf numFmtId="0" fontId="2" fillId="0" borderId="20" xfId="0" applyNumberFormat="1" applyFont="1" applyFill="1" applyBorder="1"/>
    <x:xf numFmtId="0" fontId="2" fillId="0" borderId="12" xfId="0" applyNumberFormat="1" applyFont="1" applyFill="1" applyBorder="1" applyAlignment="1">
      <x:alignment vertical="center"/>
    </x:xf>
    <x:xf numFmtId="0" fontId="2" fillId="0" borderId="13" xfId="0" applyNumberFormat="1" applyFont="1" applyFill="1" applyBorder="1" applyAlignment="1">
      <x:alignment vertical="center"/>
    </x:xf>
    <x:xf numFmtId="0" fontId="2" fillId="0" borderId="14" xfId="0" applyNumberFormat="1" applyFont="1" applyFill="1" applyBorder="1" applyAlignment="1">
      <x:alignment vertical="center"/>
    </x:xf>
    <x:xf numFmtId="0" fontId="2" fillId="0" borderId="15" xfId="0" applyNumberFormat="1" applyFont="1" applyFill="1" applyBorder="1" applyAlignment="1">
      <x:alignment vertical="center"/>
    </x:xf>
    <x:xf numFmtId="0" fontId="2" fillId="0" borderId="16" xfId="0" applyNumberFormat="1" applyFont="1" applyFill="1" applyBorder="1" applyAlignment="1">
      <x:alignment vertical="center"/>
    </x:xf>
    <x:xf numFmtId="0" fontId="2" fillId="0" borderId="17" xfId="0" applyNumberFormat="1" applyFont="1" applyFill="1" applyBorder="1" applyAlignment="1">
      <x:alignment vertical="center"/>
    </x:xf>
    <x:xf numFmtId="0" fontId="2" fillId="0" borderId="18" xfId="0" applyNumberFormat="1" applyFont="1" applyFill="1" applyBorder="1" applyAlignment="1">
      <x:alignment vertical="center"/>
    </x:xf>
    <x:xf numFmtId="0" fontId="2" fillId="0" borderId="19" xfId="0" applyNumberFormat="1" applyFont="1" applyFill="1" applyBorder="1" applyAlignment="1">
      <x:alignment vertical="center"/>
    </x:xf>
    <x:xf numFmtId="0" fontId="2" fillId="0" borderId="20" xfId="0" applyNumberFormat="1" applyFont="1" applyFill="1" applyBorder="1" applyAlignment="1">
      <x:alignment vertical="center"/>
    </x:xf>
    <x:xf numFmtId="0" fontId="2" fillId="4" borderId="12" xfId="0" applyNumberFormat="1" applyFont="1" applyFill="1" applyBorder="1" applyAlignment="1">
      <x:alignment vertical="center"/>
    </x:xf>
    <x:xf numFmtId="0" fontId="2" fillId="4" borderId="15" xfId="0" applyNumberFormat="1" applyFont="1" applyFill="1" applyBorder="1" applyAlignment="1">
      <x:alignment vertical="center"/>
    </x:xf>
    <x:xf numFmtId="0" fontId="2" fillId="4" borderId="18" xfId="0" applyNumberFormat="1" applyFont="1" applyFill="1" applyBorder="1" applyAlignment="1">
      <x:alignment vertical="center"/>
    </x:xf>
    <x:xf numFmtId="201" fontId="2" fillId="0" borderId="13" xfId="0" applyNumberFormat="1" applyFont="1" applyFill="1" applyBorder="1" applyAlignment="1">
      <x:alignment vertical="center"/>
    </x:xf>
    <x:xf numFmtId="201" fontId="2" fillId="0" borderId="16" xfId="0" applyNumberFormat="1" applyFont="1" applyFill="1" applyBorder="1" applyAlignment="1">
      <x:alignment vertical="center"/>
    </x:xf>
    <x:xf numFmtId="201" fontId="2" fillId="0" borderId="19" xfId="0" applyNumberFormat="1" applyFont="1" applyFill="1" applyBorder="1" applyAlignment="1">
      <x:alignment vertical="center"/>
    </x:xf>
    <x:xf numFmtId="200" fontId="2" fillId="0" borderId="13" xfId="0" applyNumberFormat="1" applyFont="1" applyFill="1" applyBorder="1" applyAlignment="1">
      <x:alignment vertical="center"/>
    </x:xf>
    <x:xf numFmtId="200" fontId="2" fillId="0" borderId="16" xfId="0" applyNumberFormat="1" applyFont="1" applyFill="1" applyBorder="1" applyAlignment="1">
      <x:alignment vertical="center"/>
    </x:xf>
    <x:xf numFmtId="200" fontId="2" fillId="0" borderId="19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1" xfId="0" applyNumberFormat="1" applyFont="1" applyFill="1" applyBorder="1"/>
    <x:xf numFmtId="0" fontId="1" fillId="5" borderId="11" xfId="0" applyNumberFormat="1" applyFont="1" applyFill="1" applyBorder="1" applyAlignment="1">
      <x:alignment wrapText="1"/>
    </x:xf>
    <x:xf numFmtId="0" fontId="1" fillId="5" borderId="11" xfId="0" applyNumberFormat="1" applyFont="1" applyFill="1" applyBorder="1" applyAlignment="1">
      <x:alignment horizontal="center" wrapText="1"/>
    </x:xf>
    <x:xf numFmtId="0" fontId="1" fillId="5" borderId="11" xfId="0" applyNumberFormat="1" applyFont="1" applyFill="1" applyBorder="1" applyAlignment="1">
      <x:alignment horizontal="center" vertical="center" wrapText="1"/>
    </x:xf>
    <x:xf numFmtId="0" fontId="2" fillId="0" borderId="12" xfId="0" applyNumberFormat="1" applyFont="1" applyFill="1" applyBorder="1" applyAlignment="1">
      <x:alignment wrapText="1"/>
    </x:xf>
    <x:xf numFmtId="0" fontId="2" fillId="0" borderId="13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2" fillId="0" borderId="20" xfId="0" applyNumberFormat="1" applyFont="1" applyFill="1" applyBorder="1" applyAlignment="1">
      <x:alignment wrapText="1"/>
    </x:xf>
    <x:xf numFmtId="0" fontId="2" fillId="0" borderId="12" xfId="0" applyNumberFormat="1" applyFont="1" applyFill="1" applyBorder="1" applyAlignment="1">
      <x:alignment vertical="top" wrapText="1"/>
    </x:xf>
    <x:xf numFmtId="0" fontId="2" fillId="0" borderId="13" xfId="0" applyNumberFormat="1" applyFont="1" applyFill="1" applyBorder="1" applyAlignment="1">
      <x:alignment vertical="top" wrapText="1"/>
    </x:xf>
    <x:xf numFmtId="0" fontId="2" fillId="0" borderId="14" xfId="0" applyNumberFormat="1" applyFont="1" applyFill="1" applyBorder="1" applyAlignment="1">
      <x:alignment vertical="top" wrapText="1"/>
    </x:xf>
    <x:xf numFmtId="0" fontId="2" fillId="0" borderId="15" xfId="0" applyNumberFormat="1" applyFont="1" applyFill="1" applyBorder="1" applyAlignment="1">
      <x:alignment vertical="top" wrapText="1"/>
    </x:xf>
    <x:xf numFmtId="0" fontId="2" fillId="0" borderId="16" xfId="0" applyNumberFormat="1" applyFont="1" applyFill="1" applyBorder="1" applyAlignment="1">
      <x:alignment vertical="top" wrapText="1"/>
    </x:xf>
    <x:xf numFmtId="0" fontId="2" fillId="0" borderId="17" xfId="0" applyNumberFormat="1" applyFont="1" applyFill="1" applyBorder="1" applyAlignment="1">
      <x:alignment vertical="top" wrapText="1"/>
    </x:xf>
    <x:xf numFmtId="0" fontId="2" fillId="0" borderId="18" xfId="0" applyNumberFormat="1" applyFont="1" applyFill="1" applyBorder="1" applyAlignment="1">
      <x:alignment vertical="top" wrapText="1"/>
    </x:xf>
    <x:xf numFmtId="0" fontId="2" fillId="0" borderId="19" xfId="0" applyNumberFormat="1" applyFont="1" applyFill="1" applyBorder="1" applyAlignment="1">
      <x:alignment vertical="top" wrapText="1"/>
    </x:xf>
    <x:xf numFmtId="0" fontId="2" fillId="0" borderId="2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21" xfId="0" applyNumberFormat="1" applyFont="1" applyFill="1" applyBorder="1"/>
    <x:xf numFmtId="0" fontId="1" fillId="6" borderId="21" xfId="0" applyNumberFormat="1" applyFont="1" applyFill="1" applyBorder="1" applyAlignment="1">
      <x:alignment wrapText="1"/>
    </x:xf>
    <x:xf numFmtId="0" fontId="1" fillId="6" borderId="21" xfId="0" applyNumberFormat="1" applyFont="1" applyFill="1" applyBorder="1" applyAlignment="1">
      <x:alignment horizontal="center" wrapText="1"/>
    </x:xf>
    <x:xf numFmtId="0" fontId="1" fillId="6" borderId="21" xfId="0" applyNumberFormat="1" applyFont="1" applyFill="1" applyBorder="1" applyAlignment="1">
      <x:alignment horizontal="center" vertical="center" wrapText="1"/>
    </x:xf>
    <x:xf numFmtId="0" fontId="2" fillId="0" borderId="22" xfId="0" applyNumberFormat="1" applyFont="1" applyFill="1" applyBorder="1"/>
    <x:xf numFmtId="0" fontId="2" fillId="0" borderId="23" xfId="0" applyNumberFormat="1" applyFont="1" applyFill="1" applyBorder="1"/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30" xfId="0" applyNumberFormat="1" applyFont="1" applyFill="1" applyBorder="1"/>
    <x:xf numFmtId="202" fontId="2" fillId="0" borderId="24" xfId="0" applyNumberFormat="1" applyFont="1" applyFill="1" applyBorder="1"/>
    <x:xf numFmtId="202" fontId="2" fillId="0" borderId="27" xfId="0" applyNumberFormat="1" applyFont="1" applyFill="1" applyBorder="1"/>
    <x:xf numFmtId="202" fontId="2" fillId="0" borderId="30" xfId="0" applyNumberFormat="1" applyFont="1" applyFill="1" applyBorder="1"/>
    <x:xf numFmtId="0" fontId="3" fillId="3" borderId="0" xfId="0" applyNumberFormat="1" applyFont="1" applyFill="1" applyBorder="1"/>
    <x:xf numFmtId="0" fontId="3" fillId="3" borderId="11" xfId="0" applyNumberFormat="1" applyFont="1" applyFill="1" applyBorder="1"/>
    <x:xf numFmtId="0" fontId="3" fillId="3" borderId="11" xfId="0" applyNumberFormat="1" applyFont="1" applyFill="1" applyBorder="1" applyAlignment="1">
      <x:alignment wrapText="1"/>
    </x:xf>
    <x:xf numFmtId="0" fontId="3" fillId="3" borderId="11" xfId="0" applyNumberFormat="1" applyFont="1" applyFill="1" applyBorder="1" applyAlignment="1">
      <x:alignment horizontal="center" wrapText="1"/>
    </x:xf>
    <x:xf numFmtId="0" fontId="3" fillId="3" borderId="11" xfId="0" applyNumberFormat="1" applyFont="1" applyFill="1" applyBorder="1" applyAlignment="1">
      <x:alignment horizontal="center" vertical="center" wrapText="1"/>
    </x:xf>
    <x:xf numFmtId="0" fontId="2" fillId="0" borderId="31" xfId="0" applyNumberFormat="1" applyFont="1" applyFill="1" applyBorder="1"/>
    <x:xf numFmtId="0" fontId="2" fillId="0" borderId="32" xfId="0" applyNumberFormat="1" applyFont="1" applyFill="1" applyBorder="1"/>
    <x:xf numFmtId="0" fontId="2" fillId="0" borderId="33" xfId="0" applyNumberFormat="1" applyFont="1" applyFill="1" applyBorder="1"/>
    <x:xf numFmtId="0" fontId="2" fillId="0" borderId="34" xfId="0" applyNumberFormat="1" applyFont="1" applyFill="1" applyBorder="1"/>
    <x:xf numFmtId="0" fontId="2" fillId="0" borderId="35" xfId="0" applyNumberFormat="1" applyFont="1" applyFill="1" applyBorder="1"/>
    <x:xf numFmtId="0" fontId="2" fillId="0" borderId="36" xfId="0" applyNumberFormat="1" applyFont="1" applyFill="1" applyBorder="1"/>
    <x:xf numFmtId="0" fontId="2" fillId="0" borderId="31" xfId="0" applyNumberFormat="1" applyFont="1" applyFill="1" applyBorder="1" applyAlignment="1">
      <x:alignment wrapText="1"/>
    </x:xf>
    <x:xf numFmtId="0" fontId="2" fillId="0" borderId="32" xfId="0" applyNumberFormat="1" applyFont="1" applyFill="1" applyBorder="1" applyAlignment="1">
      <x:alignment wrapText="1"/>
    </x:xf>
    <x:xf numFmtId="0" fontId="2" fillId="0" borderId="33" xfId="0" applyNumberFormat="1" applyFont="1" applyFill="1" applyBorder="1" applyAlignment="1">
      <x:alignment wrapText="1"/>
    </x:xf>
    <x:xf numFmtId="0" fontId="2" fillId="0" borderId="34" xfId="0" applyNumberFormat="1" applyFont="1" applyFill="1" applyBorder="1" applyAlignment="1">
      <x:alignment wrapText="1"/>
    </x:xf>
    <x:xf numFmtId="0" fontId="2" fillId="0" borderId="35" xfId="0" applyNumberFormat="1" applyFont="1" applyFill="1" applyBorder="1" applyAlignment="1">
      <x:alignment wrapText="1"/>
    </x:xf>
    <x:xf numFmtId="0" fontId="2" fillId="0" borderId="36" xfId="0" applyNumberFormat="1" applyFont="1" applyFill="1" applyBorder="1" applyAlignment="1">
      <x:alignment wrapText="1"/>
    </x:xf>
    <x:xf numFmtId="0" fontId="2" fillId="0" borderId="31" xfId="0" applyNumberFormat="1" applyFont="1" applyFill="1" applyBorder="1" applyAlignment="1">
      <x:alignment vertical="top" wrapText="1"/>
    </x:xf>
    <x:xf numFmtId="0" fontId="2" fillId="0" borderId="32" xfId="0" applyNumberFormat="1" applyFont="1" applyFill="1" applyBorder="1" applyAlignment="1">
      <x:alignment vertical="top" wrapText="1"/>
    </x:xf>
    <x:xf numFmtId="0" fontId="2" fillId="0" borderId="33" xfId="0" applyNumberFormat="1" applyFont="1" applyFill="1" applyBorder="1" applyAlignment="1">
      <x:alignment vertical="top" wrapText="1"/>
    </x:xf>
    <x:xf numFmtId="0" fontId="2" fillId="0" borderId="34" xfId="0" applyNumberFormat="1" applyFont="1" applyFill="1" applyBorder="1" applyAlignment="1">
      <x:alignment vertical="top" wrapText="1"/>
    </x:xf>
    <x:xf numFmtId="0" fontId="2" fillId="0" borderId="35" xfId="0" applyNumberFormat="1" applyFont="1" applyFill="1" applyBorder="1" applyAlignment="1">
      <x:alignment vertical="top" wrapText="1"/>
    </x:xf>
    <x:xf numFmtId="0" fontId="2" fillId="0" borderId="36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37" xfId="0" applyNumberFormat="1" applyFont="1" applyFill="1" applyBorder="1"/>
    <x:xf numFmtId="203" fontId="4" fillId="0" borderId="37" xfId="0" applyNumberFormat="1" applyFont="1" applyFill="1" applyBorder="1"/>
    <x:xf numFmtId="203" fontId="4" fillId="0" borderId="37" xfId="0" applyNumberFormat="1" applyFont="1" applyFill="1" applyBorder="1" applyAlignment="1">
      <x:alignment horizontal="center"/>
    </x:xf>
    <x:xf numFmtId="203" fontId="4" fillId="0" borderId="37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left"/>
    </x:xf>
    <x:xf numFmtId="0" fontId="5" fillId="3" borderId="0" xfId="0" applyNumberFormat="1" applyFont="1" applyFill="1" applyBorder="1" applyAlignment="1">
      <x:alignment horizontal="left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left"/>
    </x:xf>
    <x:xf numFmtId="0" fontId="6" fillId="7" borderId="0" xfId="0" applyNumberFormat="1" applyFont="1" applyFill="1" applyBorder="1" applyAlignment="1">
      <x:alignment horizontal="left" vertical="center"/>
    </x:xf>
    <x:xf numFmtId="0" fontId="1" fillId="5" borderId="11" xfId="0" applyNumberFormat="1" applyFont="1" applyFill="1" applyBorder="1" applyAlignment="1">
      <x:alignment horizontal="center"/>
    </x:xf>
    <x:xf numFmtId="0" fontId="1" fillId="5" borderId="11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12" xfId="0" applyNumberFormat="1" applyFont="1" applyFill="1" applyBorder="1"/>
    <x:xf numFmtId="0" fontId="7" fillId="0" borderId="14" xfId="0" applyNumberFormat="1" applyFont="1" applyFill="1" applyBorder="1"/>
    <x:xf numFmtId="0" fontId="7" fillId="0" borderId="15" xfId="0" applyNumberFormat="1" applyFont="1" applyFill="1" applyBorder="1"/>
    <x:xf numFmtId="0" fontId="7" fillId="0" borderId="17" xfId="0" applyNumberFormat="1" applyFont="1" applyFill="1" applyBorder="1"/>
    <x:xf numFmtId="0" fontId="7" fillId="0" borderId="18" xfId="0" applyNumberFormat="1" applyFont="1" applyFill="1" applyBorder="1"/>
    <x:xf numFmtId="0" fontId="7" fillId="0" borderId="20" xfId="0" applyNumberFormat="1" applyFont="1" applyFill="1" applyBorder="1"/>
    <x:xf numFmtId="0" fontId="7" fillId="0" borderId="12" xfId="0" applyNumberFormat="1" applyFont="1" applyFill="1" applyBorder="1" applyAlignment="1">
      <x:alignment vertical="center"/>
    </x:xf>
    <x:xf numFmtId="0" fontId="7" fillId="0" borderId="14" xfId="0" applyNumberFormat="1" applyFont="1" applyFill="1" applyBorder="1" applyAlignment="1">
      <x:alignment vertical="center"/>
    </x:xf>
    <x:xf numFmtId="0" fontId="7" fillId="0" borderId="15" xfId="0" applyNumberFormat="1" applyFont="1" applyFill="1" applyBorder="1" applyAlignment="1">
      <x:alignment vertical="center"/>
    </x:xf>
    <x:xf numFmtId="0" fontId="7" fillId="0" borderId="17" xfId="0" applyNumberFormat="1" applyFont="1" applyFill="1" applyBorder="1" applyAlignment="1">
      <x:alignment vertical="center"/>
    </x:xf>
    <x:xf numFmtId="0" fontId="7" fillId="0" borderId="18" xfId="0" applyNumberFormat="1" applyFont="1" applyFill="1" applyBorder="1" applyAlignment="1">
      <x:alignment vertical="center"/>
    </x:xf>
    <x:xf numFmtId="0" fontId="7" fillId="0" borderId="20" xfId="0" applyNumberFormat="1" applyFont="1" applyFill="1" applyBorder="1" applyAlignment="1">
      <x:alignment vertical="center"/>
    </x:xf>
    <x:xf numFmtId="0" fontId="8" fillId="0" borderId="14" xfId="0" applyNumberFormat="1" applyFont="1" applyFill="1" applyBorder="1" applyAlignment="1">
      <x:alignment vertical="center"/>
    </x:xf>
    <x:xf numFmtId="0" fontId="8" fillId="0" borderId="17" xfId="0" applyNumberFormat="1" applyFont="1" applyFill="1" applyBorder="1" applyAlignment="1">
      <x:alignment vertical="center"/>
    </x:xf>
    <x:xf numFmtId="0" fontId="8" fillId="0" borderId="20" xfId="0" applyNumberFormat="1" applyFont="1" applyFill="1" applyBorder="1" applyAlignment="1">
      <x:alignment vertical="center"/>
    </x:xf>
    <x:xf numFmtId="202" fontId="8" fillId="0" borderId="14" xfId="0" applyNumberFormat="1" applyFont="1" applyFill="1" applyBorder="1" applyAlignment="1">
      <x:alignment vertical="center"/>
    </x:xf>
    <x:xf numFmtId="202" fontId="8" fillId="0" borderId="17" xfId="0" applyNumberFormat="1" applyFont="1" applyFill="1" applyBorder="1" applyAlignment="1">
      <x:alignment vertical="center"/>
    </x:xf>
    <x:xf numFmtId="202" fontId="8" fillId="0" borderId="14" xfId="0" applyNumberFormat="1" applyFont="1" applyFill="1" applyBorder="1" applyAlignment="1">
      <x:alignment horizontal="right" vertical="center"/>
    </x:xf>
    <x:xf numFmtId="202" fontId="8" fillId="0" borderId="17" xfId="0" applyNumberFormat="1" applyFont="1" applyFill="1" applyBorder="1" applyAlignment="1">
      <x:alignment horizontal="right" vertical="center"/>
    </x:xf>
    <x:xf numFmtId="203" fontId="8" fillId="0" borderId="17" xfId="0" applyNumberFormat="1" applyFont="1" applyFill="1" applyBorder="1" applyAlignment="1">
      <x:alignment horizontal="right" vertical="center"/>
    </x:xf>
    <x:xf numFmtId="0" fontId="2" fillId="0" borderId="12" xfId="0" applyNumberFormat="1" applyFont="1" applyFill="1" applyBorder="1" applyAlignment="1">
      <x:alignment vertical="center" wrapText="1"/>
    </x:xf>
    <x:xf numFmtId="0" fontId="2" fillId="0" borderId="13" xfId="0" applyNumberFormat="1" applyFont="1" applyFill="1" applyBorder="1" applyAlignment="1">
      <x:alignment vertical="center" wrapText="1"/>
    </x:xf>
    <x:xf numFmtId="0" fontId="2" fillId="0" borderId="14" xfId="0" applyNumberFormat="1" applyFont="1" applyFill="1" applyBorder="1" applyAlignment="1">
      <x:alignment vertical="center" wrapText="1"/>
    </x:xf>
    <x:xf numFmtId="0" fontId="2" fillId="0" borderId="15" xfId="0" applyNumberFormat="1" applyFont="1" applyFill="1" applyBorder="1" applyAlignment="1">
      <x:alignment vertical="center" wrapText="1"/>
    </x:xf>
    <x:xf numFmtId="0" fontId="2" fillId="0" borderId="16" xfId="0" applyNumberFormat="1" applyFont="1" applyFill="1" applyBorder="1" applyAlignment="1">
      <x:alignment vertical="center" wrapText="1"/>
    </x:xf>
    <x:xf numFmtId="0" fontId="2" fillId="0" borderId="17" xfId="0" applyNumberFormat="1" applyFont="1" applyFill="1" applyBorder="1" applyAlignment="1">
      <x:alignment vertical="center" wrapText="1"/>
    </x:xf>
    <x:xf numFmtId="0" fontId="2" fillId="0" borderId="18" xfId="0" applyNumberFormat="1" applyFont="1" applyFill="1" applyBorder="1" applyAlignment="1">
      <x:alignment vertical="center" wrapText="1"/>
    </x:xf>
    <x:xf numFmtId="0" fontId="2" fillId="0" borderId="19" xfId="0" applyNumberFormat="1" applyFont="1" applyFill="1" applyBorder="1" applyAlignment="1">
      <x:alignment vertical="center" wrapText="1"/>
    </x:xf>
    <x:xf numFmtId="0" fontId="2" fillId="0" borderId="20" xfId="0" applyNumberFormat="1" applyFont="1" applyFill="1" applyBorder="1" applyAlignment="1">
      <x:alignment vertical="center" wrapText="1"/>
    </x:xf>
    <x:xf numFmtId="0" fontId="9" fillId="0" borderId="13" xfId="0" applyNumberFormat="1" applyFont="1" applyFill="1" applyBorder="1" applyAlignment="1">
      <x:alignment vertical="center" wrapText="1"/>
    </x:xf>
    <x:xf numFmtId="0" fontId="9" fillId="0" borderId="16" xfId="0" applyNumberFormat="1" applyFont="1" applyFill="1" applyBorder="1" applyAlignment="1">
      <x:alignment vertical="center" wrapText="1"/>
    </x:xf>
    <x:xf numFmtId="0" fontId="9" fillId="0" borderId="19" xfId="0" applyNumberFormat="1" applyFont="1" applyFill="1" applyBorder="1" applyAlignment="1">
      <x:alignment vertical="center" wrapText="1"/>
    </x:xf>
    <x:xf numFmtId="0" fontId="9" fillId="0" borderId="37" xfId="0" applyNumberFormat="1" applyFont="1" applyFill="1" applyBorder="1" applyAlignment="1">
      <x:alignment vertical="center" wrapText="1"/>
    </x:xf>
    <x:xf numFmtId="203" fontId="9" fillId="0" borderId="37" xfId="0" applyNumberFormat="1" applyFont="1" applyFill="1" applyBorder="1" applyAlignment="1">
      <x:alignment vertical="center" wrapText="1"/>
    </x:xf>
    <x:xf numFmtId="203" fontId="9" fillId="0" borderId="37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0" xfId="0" applyNumberFormat="1" applyFont="1" applyFill="1" applyBorder="1" applyAlignment="1">
      <x:alignment wrapText="1"/>
    </x:xf>
    <x:xf numFmtId="0" fontId="10" fillId="8" borderId="0" xfId="0" applyNumberFormat="1" applyFont="1" applyFill="1" applyBorder="1" applyAlignment="1">
      <x:alignment vertical="center" wrapText="1"/>
    </x:xf>
    <x:xf numFmtId="0" fontId="11" fillId="2" borderId="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7" fillId="0" borderId="2" xfId="0" applyNumberFormat="1" applyFont="1" applyFill="1" applyBorder="1"/>
    <x:xf numFmtId="0" fontId="7" fillId="0" borderId="3" xfId="0" applyNumberFormat="1" applyFont="1" applyFill="1" applyBorder="1"/>
    <x:xf numFmtId="0" fontId="7" fillId="0" borderId="4" xfId="0" applyNumberFormat="1" applyFont="1" applyFill="1" applyBorder="1"/>
    <x:xf numFmtId="0" fontId="7" fillId="0" borderId="5" xfId="0" applyNumberFormat="1" applyFont="1" applyFill="1" applyBorder="1"/>
    <x:xf numFmtId="0" fontId="7" fillId="0" borderId="6" xfId="0" applyNumberFormat="1" applyFont="1" applyFill="1" applyBorder="1"/>
    <x:xf numFmtId="0" fontId="7" fillId="0" borderId="7" xfId="0" applyNumberFormat="1" applyFont="1" applyFill="1" applyBorder="1"/>
    <x:xf numFmtId="0" fontId="7" fillId="0" borderId="8" xfId="0" applyNumberFormat="1" applyFont="1" applyFill="1" applyBorder="1"/>
    <x:xf numFmtId="0" fontId="7" fillId="0" borderId="9" xfId="0" applyNumberFormat="1" applyFont="1" applyFill="1" applyBorder="1"/>
    <x:xf numFmtId="0" fontId="7" fillId="0" borderId="10" xfId="0" applyNumberFormat="1" applyFont="1" applyFill="1" applyBorder="1"/>
    <x:xf numFmtId="0" fontId="7" fillId="0" borderId="2" xfId="0" applyNumberFormat="1" applyFont="1" applyFill="1" applyBorder="1" applyAlignment="1">
      <x:alignment wrapText="1"/>
    </x:xf>
    <x:xf numFmtId="0" fontId="7" fillId="0" borderId="3" xfId="0" applyNumberFormat="1" applyFont="1" applyFill="1" applyBorder="1" applyAlignment="1">
      <x:alignment wrapText="1"/>
    </x:xf>
    <x:xf numFmtId="0" fontId="7" fillId="0" borderId="4" xfId="0" applyNumberFormat="1" applyFont="1" applyFill="1" applyBorder="1" applyAlignment="1">
      <x:alignment wrapText="1"/>
    </x:xf>
    <x:xf numFmtId="0" fontId="7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7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7" fillId="0" borderId="9" xfId="0" applyNumberFormat="1" applyFont="1" applyFill="1" applyBorder="1" applyAlignment="1">
      <x:alignment wrapText="1"/>
    </x:xf>
    <x:xf numFmtId="0" fontId="7" fillId="0" borderId="10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7" fillId="0" borderId="4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0" fontId="7" fillId="0" borderId="7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0" fontId="7" fillId="0" borderId="9" xfId="0" applyNumberFormat="1" applyFont="1" applyFill="1" applyBorder="1" applyAlignment="1">
      <x:alignment vertical="top" wrapText="1"/>
    </x:xf>
    <x:xf numFmtId="0" fontId="7" fillId="0" borderId="1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FFFFFF"/>
      </x:font>
      <x:fill>
        <x:patternFill patternType="solid">
          <x:bgColor rgb="FFC62828"/>
        </x:patternFill>
      </x:fill>
    </x:dxf>
    <x:dxf>
      <x:font>
        <x:b/>
        <x:color rgb="FFFFFFFF"/>
      </x:font>
      <x:fill>
        <x:patternFill patternType="solid">
          <x:bgColor rgb="FFEF6C00"/>
        </x:patternFill>
      </x:fill>
    </x:dxf>
    <x:dxf>
      <x:font>
        <x:b/>
        <x:color rgb="FF212121"/>
      </x:font>
      <x:fill>
        <x:patternFill patternType="solid">
          <x:bgColor rgb="FFFDD835"/>
        </x:patternFill>
      </x:fill>
    </x:dxf>
    <x:dxf>
      <x:font>
        <x:b/>
        <x:color rgb="FFFFFFFF"/>
      </x:font>
      <x:fill>
        <x:patternFill patternType="solid">
          <x:bgColor rgb="FF2E7D32"/>
        </x:patternFill>
      </x:fill>
    </x:dxf>
    <x:dxf>
      <x:font>
        <x:b/>
        <x:color rgb="FFFFFFFF"/>
      </x:font>
      <x:fill>
        <x:patternFill patternType="solid">
          <x:bgColor rgb="FFC62828"/>
        </x:patternFill>
      </x:fill>
    </x:dxf>
    <x:dxf>
      <x:font>
        <x:b/>
        <x:color rgb="FFFFFFFF"/>
      </x:font>
      <x:fill>
        <x:patternFill patternType="solid">
          <x:bgColor rgb="FFEF6C00"/>
        </x:patternFill>
      </x:fill>
    </x:dxf>
    <x:dxf>
      <x:font>
        <x:b/>
        <x:color rgb="FF212121"/>
      </x:font>
      <x:fill>
        <x:patternFill patternType="solid">
          <x:bgColor rgb="FFFDD835"/>
        </x:patternFill>
      </x:fill>
    </x:dxf>
    <x:dxf>
      <x:font>
        <x:b/>
        <x:color rgb="FFFFFFFF"/>
      </x:font>
      <x:fill>
        <x:patternFill patternType="solid">
          <x:bgColor rgb="FF2E7D3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49d5e61f4d4630" /><Relationship Type="http://schemas.openxmlformats.org/officeDocument/2006/relationships/theme" Target="/xl/theme/theme1.xml" Id="Rdb951b1f1bfb4785" /><Relationship Type="http://schemas.openxmlformats.org/officeDocument/2006/relationships/sharedStrings" Target="/xl/sharedStrings.xml" Id="Rd04003642d1c4d87" /><Relationship Type="http://schemas.openxmlformats.org/officeDocument/2006/relationships/worksheet" Target="/xl/worksheets/sheet1.xml" Id="R62f512694bf54585" /><Relationship Type="http://schemas.openxmlformats.org/officeDocument/2006/relationships/worksheet" Target="/xl/worksheets/sheet2.xml" Id="R378e7b2a06f54af6" /><Relationship Type="http://schemas.openxmlformats.org/officeDocument/2006/relationships/worksheet" Target="/xl/worksheets/sheet3.xml" Id="R84d4e6afcc3847bc" /><Relationship Type="http://schemas.openxmlformats.org/officeDocument/2006/relationships/worksheet" Target="/xl/worksheets/sheet4.xml" Id="R519b56a214534541" /><Relationship Type="http://schemas.openxmlformats.org/officeDocument/2006/relationships/worksheet" Target="/xl/worksheets/sheet5.xml" Id="R4caf1fa623794405" /><Relationship Type="http://schemas.openxmlformats.org/officeDocument/2006/relationships/worksheet" Target="/xl/worksheets/sheet6.xml" Id="R30732e100e844ed4" /><Relationship Type="http://schemas.openxmlformats.org/officeDocument/2006/relationships/worksheet" Target="/xl/worksheets/sheet7.xml" Id="Rdb229a0c6421408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3af152876b941d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ร้อยละคำตอบเชิงบวกตามมิติ (%)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plotArea>
      <c:barChart>
        <c:barDir val="col"/>
        <c:varyColors val="0"/>
        <c:ser>
          <c:idx val="0"/>
          <c:order val="0"/>
          <c:tx>
            <c:v>% Positive</c:v>
          </c:tx>
          <c:cat>
            <c:strRef>
              <c:f>'00_Dashboard'!$D$5:$D$14</c:f>
              <c:strCache>
                <c:ptCount val="0"/>
              </c:strCache>
            </c:strRef>
          </c:cat>
          <c:val>
            <c:numRef>
              <c:f>'00_Dashboard'!$E$5:$E$14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15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af152876b941d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HSCS69PCHRawDataTable" displayName="HSCS69PCHRawDataTable" ref="A1:AN59" headerRowCount="1" totalsRowCount="0" totalsRowShown="0">
  <x:autoFilter ref="A1:AN59"/>
  <x:tableColumns count="40">
    <x:tableColumn id="1" name="Include_In_Analysis"/>
    <x:tableColumn id="2" name="Response_ID"/>
    <x:tableColumn id="3" name="Timestamp"/>
    <x:tableColumn id="4" name="พื้นที่ปฏิบัติงาน"/>
    <x:tableColumn id="5" name="กลุ่มตามสายงาน"/>
    <x:tableColumn id="6" name="กลุ่มงาน"/>
    <x:tableColumn id="7" name="A1"/>
    <x:tableColumn id="8" name="A8"/>
    <x:tableColumn id="9" name="A9"/>
    <x:tableColumn id="10" name="A2"/>
    <x:tableColumn id="11" name="A3"/>
    <x:tableColumn id="12" name="A5"/>
    <x:tableColumn id="13" name="A11"/>
    <x:tableColumn id="14" name="A4"/>
    <x:tableColumn id="15" name="A12"/>
    <x:tableColumn id="16" name="A14"/>
    <x:tableColumn id="17" name="A6"/>
    <x:tableColumn id="18" name="A7"/>
    <x:tableColumn id="19" name="A10"/>
    <x:tableColumn id="20" name="A13"/>
    <x:tableColumn id="21" name="B1"/>
    <x:tableColumn id="22" name="B2"/>
    <x:tableColumn id="23" name="B3"/>
    <x:tableColumn id="24" name="C1"/>
    <x:tableColumn id="25" name="C2"/>
    <x:tableColumn id="26" name="C3"/>
    <x:tableColumn id="27" name="C4"/>
    <x:tableColumn id="28" name="C5"/>
    <x:tableColumn id="29" name="C6"/>
    <x:tableColumn id="30" name="C7"/>
    <x:tableColumn id="31" name="D1"/>
    <x:tableColumn id="32" name="D2"/>
    <x:tableColumn id="33" name="F1"/>
    <x:tableColumn id="34" name="F2"/>
    <x:tableColumn id="35" name="F3"/>
    <x:tableColumn id="36" name="F4"/>
    <x:tableColumn id="37" name="F5"/>
    <x:tableColumn id="38" name="F6"/>
    <x:tableColumn id="39" name="H1"/>
    <x:tableColumn id="40" name="H2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SCS69PCHItemMetadataTable" displayName="HSCS69PCHItemMetadataTable" ref="A1:G33" headerRowCount="1" totalsRowCount="0" totalsRowShown="0">
  <x:tableColumns count="7">
    <x:tableColumn id="1" name="Item_Code"/>
    <x:tableColumn id="2" name="Dimension"/>
    <x:tableColumn id="3" name="Section"/>
    <x:tableColumn id="4" name="Calculation_Type"/>
    <x:tableColumn id="5" name="Negative_Item"/>
    <x:tableColumn id="6" name="Positive_Rule"/>
    <x:tableColumn id="7" name="Question_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SCS69PCHUnitIndexTable" displayName="HSCS69PCHUnitIndexTable" ref="A1:E48" headerRowCount="1" totalsRowCount="0" totalsRowShown="0">
  <x:tableColumns count="5">
    <x:tableColumn id="1" name="Scope"/>
    <x:tableColumn id="2" name="กลุ่มตามสายงาน"/>
    <x:tableColumn id="3" name="กลุ่มงาน"/>
    <x:tableColumn id="4" name="พื้นที่ปฏิบัติงาน"/>
    <x:tableColumn id="5" name="จำนวนผู้ตอบ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72a4b624b2945c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f99a6519f7f485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6c4a53d2dd44a7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97b3f12951b4f4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3" hidden="0" customWidth="1"/>
    <x:col min="4" max="4" width="52" hidden="0" customWidth="1"/>
    <x:col min="5" max="5" width="16" hidden="0" customWidth="1"/>
    <x:col min="6" max="6" width="24" hidden="0" customWidth="1"/>
    <x:col min="7" max="7" width="3" hidden="0" customWidth="1"/>
  </x:cols>
  <x:sheetData>
    <x:row r="1" ht="38" customHeight="1">
      <x:c r="A1" s="134" t="str">
        <x:v>HSCS 2569 PCH Interactive Workbook</x:v>
      </x:c>
      <x:c r="B1" s="134"/>
      <x:c r="C1" s="134"/>
      <x:c r="D1" s="134"/>
      <x:c r="E1" s="134"/>
      <x:c r="F1" s="134"/>
      <x:c r="G1" s="134"/>
      <x:c r="H1" s="134"/>
      <x:c r="I1" s="134"/>
      <x:c r="J1" s="134"/>
      <x:c r="K1" s="134"/>
      <x:c r="L1" s="134"/>
      <x:c r="M1" s="134"/>
      <x:c r="N1" s="134"/>
      <x:c r="O1" s="134"/>
    </x:row>
    <x:row r="2" ht="25" customHeight="1">
      <x:c r="A2" s="138" t="str">
        <x:v>Patient Safety Culture Survey | สร้างจาก HSCS PCH2026 (Responses).xlsx | คะแนนเป็นร้อยละคำตอบเชิงบวก</x:v>
      </x:c>
      <x:c r="B2" s="138"/>
      <x:c r="C2" s="138"/>
      <x:c r="D2" s="138"/>
      <x:c r="E2" s="138"/>
      <x:c r="F2" s="138"/>
      <x:c r="G2" s="138"/>
      <x:c r="H2" s="138"/>
      <x:c r="I2" s="138"/>
      <x:c r="J2" s="138"/>
      <x:c r="K2" s="138"/>
      <x:c r="L2" s="138"/>
      <x:c r="M2" s="138"/>
      <x:c r="N2" s="138"/>
      <x:c r="O2" s="138"/>
    </x:row>
    <x:row r="4">
      <x:c r="A4" s="140" t="str">
        <x:v>Executive Metrics</x:v>
      </x:c>
      <x:c r="B4" s="140" t="str">
        <x:v>Value</x:v>
      </x:c>
      <x:c r="D4" s="140" t="str">
        <x:v>Dimension</x:v>
      </x:c>
      <x:c r="E4" s="140" t="str">
        <x:v>% Positive</x:v>
      </x:c>
      <x:c r="F4" s="140" t="str">
        <x:v>Status</x:v>
      </x:c>
    </x:row>
    <x:row r="5" ht="28" customHeight="1">
      <x:c r="A5" s="148" t="str">
        <x:v>Raw rows</x:v>
      </x:c>
      <x:c r="B5" s="159" t="n">
        <x:f>COUNTA('Source_Raw'!$A$2:$A$59)</x:f>
        <x:v>58</x:v>
      </x:c>
      <x:c r="D5" s="162" t="str">
        <x:v>1. การทำงานเป็นทีม</x:v>
      </x:c>
      <x:c r="E5" s="176" t="n">
        <x:f>AVERAGE('HSCS2569'!$C$4:$C$6)</x:f>
        <x:v>57.47126436781608</x:v>
      </x:c>
      <x:c r="F5" s="164" t="str">
        <x:f>IF(E5&lt;60,"ควรพัฒนาด่วน",IF(E5&lt;=70,"เร่งพัฒนา",IF(E5&lt;=80,"ควรพัฒนาต่อเนื่อง","ควรส่งเสริม")))</x:f>
        <x:v>ควรพัฒนาด่วน</x:v>
      </x:c>
    </x:row>
    <x:row r="6" ht="28" customHeight="1">
      <x:c r="A6" s="150" t="str">
        <x:v>Rows used for analysis</x:v>
      </x:c>
      <x:c r="B6" s="160" t="n">
        <x:f>COUNTIF('Raw_Data'!$A$2:$A$59,"Yes")</x:f>
        <x:v>58</x:v>
      </x:c>
      <x:c r="D6" s="165" t="str">
        <x:v>2. บุคลากรและพื้นที่การทำงาน</x:v>
      </x:c>
      <x:c r="E6" s="176" t="n">
        <x:f>AVERAGE('HSCS2569'!$C$7:$C$10)</x:f>
        <x:v>36.20689655172414</x:v>
      </x:c>
      <x:c r="F6" s="167" t="str">
        <x:f>IF(E6&lt;60,"ควรพัฒนาด่วน",IF(E6&lt;=70,"เร่งพัฒนา",IF(E6&lt;=80,"ควรพัฒนาต่อเนื่อง","ควรส่งเสริม")))</x:f>
        <x:v>ควรพัฒนาด่วน</x:v>
      </x:c>
    </x:row>
    <x:row r="7" ht="28" customHeight="1">
      <x:c r="A7" s="150" t="str">
        <x:v>Excluded rows</x:v>
      </x:c>
      <x:c r="B7" s="160" t="n">
        <x:f>B5-B6</x:f>
        <x:v>0</x:v>
      </x:c>
      <x:c r="D7" s="165" t="str">
        <x:v>3. การเป็นองค์กรแห่งการเรียนรู้ มีการพัฒนาอย่างต่อเนื่อง</x:v>
      </x:c>
      <x:c r="E7" s="176" t="n">
        <x:f>AVERAGE('HSCS2569'!$C$11:$C$13)</x:f>
        <x:v>59.77011494252874</x:v>
      </x:c>
      <x:c r="F7" s="167" t="str">
        <x:f>IF(E7&lt;60,"ควรพัฒนาด่วน",IF(E7&lt;=70,"เร่งพัฒนา",IF(E7&lt;=80,"ควรพัฒนาต่อเนื่อง","ควรส่งเสริม")))</x:f>
        <x:v>ควรพัฒนาด่วน</x:v>
      </x:c>
    </x:row>
    <x:row r="8" ht="28" customHeight="1">
      <x:c r="A8" s="150" t="str">
        <x:v>Respondents</x:v>
      </x:c>
      <x:c r="B8" s="160" t="n">
        <x:f>COUNTA('Raw_Data'!$B$2:$B$59)</x:f>
        <x:v>58</x:v>
      </x:c>
      <x:c r="D8" s="165" t="str">
        <x:v>4. การตอบสนองต่อความคลาดเคลื่อน</x:v>
      </x:c>
      <x:c r="E8" s="176" t="n">
        <x:f>AVERAGE('HSCS2569'!$C$14:$C$17)</x:f>
        <x:v>44.396551724137936</x:v>
      </x:c>
      <x:c r="F8" s="167" t="str">
        <x:f>IF(E8&lt;60,"ควรพัฒนาด่วน",IF(E8&lt;=70,"เร่งพัฒนา",IF(E8&lt;=80,"ควรพัฒนาต่อเนื่อง","ควรส่งเสริม")))</x:f>
        <x:v>ควรพัฒนาด่วน</x:v>
      </x:c>
    </x:row>
    <x:row r="9" ht="28" customHeight="1">
      <x:c r="A9" s="150" t="str">
        <x:v>Items</x:v>
      </x:c>
      <x:c r="B9" s="160" t="n">
        <x:f>COUNTA('Item_Metadata'!$A$2:$A$33)</x:f>
        <x:v>32</x:v>
      </x:c>
      <x:c r="D9" s="165" t="str">
        <x:v>5. การสนับสนุนของหัวหน้างาน, ผู้จัดการ หรือทีมนำทางคลินิกในเรื่องความปลอดภัย</x:v>
      </x:c>
      <x:c r="E9" s="176" t="n">
        <x:f>AVERAGE('HSCS2569'!$C$18:$C$20)</x:f>
        <x:v>52.298850574712645</x:v>
      </x:c>
      <x:c r="F9" s="167" t="str">
        <x:f>IF(E9&lt;60,"ควรพัฒนาด่วน",IF(E9&lt;=70,"เร่งพัฒนา",IF(E9&lt;=80,"ควรพัฒนาต่อเนื่อง","ควรส่งเสริม")))</x:f>
        <x:v>ควรพัฒนาด่วน</x:v>
      </x:c>
    </x:row>
    <x:row r="10" ht="28" customHeight="1">
      <x:c r="A10" s="150" t="str">
        <x:v>Dimensions</x:v>
      </x:c>
      <x:c r="B10" s="160" t="n">
        <x:f>COUNTA(_xlfn.UNIQUE('Item_Metadata'!$B$2:$B$33))</x:f>
        <x:v>10</x:v>
      </x:c>
      <x:c r="D10" s="165" t="str">
        <x:v>6. การสื่อสารเรื่องความคลาดเคลื่อน</x:v>
      </x:c>
      <x:c r="E10" s="176" t="n">
        <x:f>AVERAGE('HSCS2569'!$C$21:$C$23)</x:f>
        <x:v>62.068965517241374</x:v>
      </x:c>
      <x:c r="F10" s="167" t="str">
        <x:f>IF(E10&lt;60,"ควรพัฒนาด่วน",IF(E10&lt;=70,"เร่งพัฒนา",IF(E10&lt;=80,"ควรพัฒนาต่อเนื่อง","ควรส่งเสริม")))</x:f>
        <x:v>เร่งพัฒนา</x:v>
      </x:c>
    </x:row>
    <x:row r="11" ht="28" customHeight="1">
      <x:c r="A11" s="150" t="str">
        <x:v>กลุ่มตามสายงาน</x:v>
      </x:c>
      <x:c r="B11" s="160" t="n">
        <x:f>COUNTA(_xlfn.UNIQUE('Raw_Data'!$E$2:$E$59))</x:f>
        <x:v>4</x:v>
      </x:c>
      <x:c r="D11" s="165" t="str">
        <x:v>7. การสื่อสารที่เปิดกว้าง</x:v>
      </x:c>
      <x:c r="E11" s="176" t="n">
        <x:f>AVERAGE('HSCS2569'!$C$24:$C$27)</x:f>
        <x:v>52.1551724137931</x:v>
      </x:c>
      <x:c r="F11" s="167" t="str">
        <x:f>IF(E11&lt;60,"ควรพัฒนาด่วน",IF(E11&lt;=70,"เร่งพัฒนา",IF(E11&lt;=80,"ควรพัฒนาต่อเนื่อง","ควรส่งเสริม")))</x:f>
        <x:v>ควรพัฒนาด่วน</x:v>
      </x:c>
    </x:row>
    <x:row r="12" ht="28" customHeight="1">
      <x:c r="A12" s="150" t="str">
        <x:v>พื้นที่ปฏิบัติงาน</x:v>
      </x:c>
      <x:c r="B12" s="160" t="n">
        <x:f>COUNTA(_xlfn.UNIQUE('Raw_Data'!$D$2:$D$59))</x:f>
        <x:v>18</x:v>
      </x:c>
      <x:c r="D12" s="165" t="str">
        <x:v>8. การรายงานเหตุการณ์ความปลอดภัยของผู้ป่วย/ผู้รับบริการ</x:v>
      </x:c>
      <x:c r="E12" s="176" t="n">
        <x:f>AVERAGE('HSCS2569'!$C$28:$C$29)</x:f>
        <x:v>43.10344827586207</x:v>
      </x:c>
      <x:c r="F12" s="167" t="str">
        <x:f>IF(E12&lt;60,"ควรพัฒนาด่วน",IF(E12&lt;=70,"เร่งพัฒนา",IF(E12&lt;=80,"ควรพัฒนาต่อเนื่อง","ควรส่งเสริม")))</x:f>
        <x:v>ควรพัฒนาด่วน</x:v>
      </x:c>
    </x:row>
    <x:row r="13" ht="28" customHeight="1">
      <x:c r="A13" s="150" t="str">
        <x:v>Overall Positive Score</x:v>
      </x:c>
      <x:c r="B13" s="161" t="n">
        <x:f>AVERAGE('HSCS2569'!$C$4:$C$35)</x:f>
        <x:v>53.23275862068966</x:v>
      </x:c>
      <x:c r="D13" s="165" t="str">
        <x:v>9. การสนับสนุนจากทีมผู้บริหารของสถานพยาบาลในเรื่องความปลอดภัยของผู้ป่วย /ผู้รับบริการ</x:v>
      </x:c>
      <x:c r="E13" s="176" t="n">
        <x:f>AVERAGE('HSCS2569'!$C$30:$C$32)</x:f>
        <x:v>64.36781609195403</x:v>
      </x:c>
      <x:c r="F13" s="167" t="str">
        <x:f>IF(E13&lt;60,"ควรพัฒนาด่วน",IF(E13&lt;=70,"เร่งพัฒนา",IF(E13&lt;=80,"ควรพัฒนาต่อเนื่อง","ควรส่งเสริม")))</x:f>
        <x:v>เร่งพัฒนา</x:v>
      </x:c>
    </x:row>
    <x:row r="14" ht="28" customHeight="1">
      <x:c r="A14" s="150" t="str">
        <x:v>ข้อที่ควรพัฒนาด่วน (&lt;60)</x:v>
      </x:c>
      <x:c r="B14" s="160" t="n">
        <x:f>COUNTIF('HSCS2569'!$C$4:$C$35,"&lt;60")</x:f>
        <x:v>19</x:v>
      </x:c>
      <x:c r="D14" s="168" t="str">
        <x:v>10. การส่งต่องานและแลกเปลี่ยนข้อมูล ในการเปลี่ยนผ่านระหว่างหน่วยงานหรือเวร</x:v>
      </x:c>
      <x:c r="E14" s="176" t="n">
        <x:f>AVERAGE('HSCS2569'!$C$33:$C$35)</x:f>
        <x:v>66.0919540229885</x:v>
      </x:c>
      <x:c r="F14" s="170" t="str">
        <x:f>IF(E14&lt;60,"ควรพัฒนาด่วน",IF(E14&lt;=70,"เร่งพัฒนา",IF(E14&lt;=80,"ควรพัฒนาต่อเนื่อง","ควรส่งเสริม")))</x:f>
        <x:v>เร่งพัฒนา</x:v>
      </x:c>
    </x:row>
    <x:row r="15" ht="28" customHeight="1">
      <x:c r="A15" s="152" t="str">
        <x:v>ข้อเร่งพัฒนา (60–70)</x:v>
      </x:c>
      <x:c r="B15" s="160" t="n">
        <x:f>COUNTIFS('HSCS2569'!$C$4:$C$35,"&gt;=60",'HSCS2569'!$C$4:$C$35,"&lt;=70")</x:f>
        <x:v>10</x:v>
      </x:c>
    </x:row>
    <x:row r="17" ht="26" customHeight="1">
      <x:c r="A17" s="180" t="str">
        <x:v>เกณฑ์สี: แดง &lt;60 | ส้ม 60–70 | เหลือง 70.1–80 | เขียว &gt;80</x:v>
      </x:c>
      <x:c r="B17" s="180"/>
      <x:c r="C17" s="180"/>
      <x:c r="D17" s="180"/>
      <x:c r="E17" s="180"/>
      <x:c r="F17" s="180"/>
    </x:row>
    <x:row r="18" ht="26" customHeight="1">
      <x:c r="A18" s="180" t="str">
        <x:v>การคิดคะแนน: ข้อเชิงบวก = 4–5; ข้อเชิงลบ = 1–2; ตัวหารใช้เฉพาะคำตอบที่มีค่า 1–5</x:v>
      </x:c>
      <x:c r="B18" s="180"/>
      <x:c r="C18" s="180"/>
      <x:c r="D18" s="180"/>
      <x:c r="E18" s="180"/>
      <x:c r="F18" s="180"/>
    </x:row>
  </x:sheetData>
  <x:mergeCells>
    <x:mergeCell ref="A1:O1"/>
    <x:mergeCell ref="A2:O2"/>
    <x:mergeCell ref="A17:F17"/>
    <x:mergeCell ref="A18:F18"/>
  </x:mergeCells>
  <x:conditionalFormatting sqref="E5:E14">
    <x:cfRule type="expression" dxfId="4" priority="1">
      <x:formula>AND(ISNUMBER(E5),E5&lt;60)</x:formula>
    </x:cfRule>
    <x:cfRule type="expression" dxfId="5" priority="2">
      <x:formula>AND(ISNUMBER(E5),E5&gt;=60,E5&lt;=70)</x:formula>
    </x:cfRule>
    <x:cfRule type="expression" dxfId="6" priority="3">
      <x:formula>AND(ISNUMBER(E5),E5&gt;70,E5&lt;=80)</x:formula>
    </x:cfRule>
    <x:cfRule type="expression" dxfId="7" priority="4">
      <x:formula>AND(ISNUMBER(E5),E5&gt;80)</x:formula>
    </x:cfRule>
  </x:conditionalFormatting>
  <x:pageMargins left="0.7" right="0.7" top="0.75" bottom="0.75" header="0.3" footer="0.3"/>
  <x:drawing xmlns:r="http://schemas.openxmlformats.org/officeDocument/2006/relationships" r:id="Rf72a4b624b2945c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2" hidden="0" customWidth="1"/>
    <x:col min="3" max="3" width="32" hidden="0" customWidth="1"/>
    <x:col min="4" max="4" width="6" hidden="0" customWidth="1"/>
    <x:col min="5" max="5" width="6" hidden="0" customWidth="1"/>
    <x:col min="6" max="6" width="6" hidden="0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  <x:col min="36" max="36" width="70" hidden="0" customWidth="1"/>
  </x:cols>
  <x:sheetData>
    <x:row r="1" ht="42" customHeight="1">
      <x:c r="A1" s="6" t="str">
        <x:v>Timestamp</x:v>
      </x:c>
      <x:c r="B1" s="6" t="str">
        <x:v>กลุ่มตามสายงาน</x:v>
      </x:c>
      <x:c r="C1" s="6" t="str">
        <x:v>พื้นที่ปฏิบัติงาน</x:v>
      </x:c>
      <x:c r="D1" s="6" t="str">
        <x:v>A1. ในหน่วยงานหรือพื้นที่ที่ท่านทำงานอยู่ ทุกคนทำงานร่วมกันเป็นทีมอย่างมีประสิทธิภาพ</x:v>
      </x:c>
      <x:c r="E1" s="6" t="str">
        <x:v>A2. ในหน่วยงานหรือพื้นที่นี้มีจำนวนบุคลากรในการทำงานที่เพียงพอที่จะรับมือกับปริมาณงานหรือภาระงานของหน่วยงานที่กำหนด</x:v>
      </x:c>
      <x:c r="F1" s="6" t="str">
        <x:v>A3. ในหน่วยงานที่ท่านทำงานมีบุคลากรที่ทำงานจำนวนชั่วโมงต่อเนื่องยาวนานมากกว่าที่เหมาะสมต่อการดูแลผู้ป่วยหรือผู้รับบริการได้ดี</x:v>
      </x:c>
      <x:c r="G1" s="6" t="str">
        <x:v>A4. หน่วยงานที่ท่านทำงานอยู่มีการทบทวนกระบวนการทำงานอย่างสม่ำเสมอเพื่อพิจารณาว่าจำเป็นต้องมีการเปลี่ยนแปลงใดบ้างที่ควรปรับปรุงแก้ไขเพื่อความปลอดภัยของผู้ป่วยหรือผู้รับบริการ</x:v>
      </x:c>
      <x:c r="H1" s="6" t="str">
        <x:v>A5. หน่วยงานที่ท่านทำงานอยู่ต้องอาศัยหรือพึ่งพาบุคลากรที่มาช่วยทำงานชั่วคราว บุคลากรที่หมุนเวียนมาทำงาน หรือที่ทำงานเฉพาะช่วงที่กำหนดเป็นครั้งๆ มากเกินไป</x:v>
      </x:c>
      <x:c r="I1" s="6" t="str">
        <x:v>A6. ในหน่วยงานที่ท่านทำงานอยู่ บุคลากรรู้สึกว่าความผิดพลาดคลาดเคลื่อนที่อาจเกิดขึ้นในการทำงานจะถูกนำมากล่าวโทษกับตัวบุคคล</x:v>
      </x:c>
      <x:c r="J1" s="6" t="str">
        <x:v>A7. เมื่อมีการรายงานเหตุการณ์หรืออุบัติการณ์ในหน่วยงานที่ท่านทำงานอยู่ มักมีการระบุว่าเป็นความผิดหรือตำหนิตัวบุคคลเสมอ</x:v>
      </x:c>
      <x:c r="K1" s="6" t="str">
        <x:v>A8. ในช่วงเวลาที่มีภาระงานยุ่งมาก หรือยาก บุคลากรในหน่วยงานที่ท่านทำงานอยู่จะช่วยเหลือซึ่งกันและกันอย่างดี</x:v>
      </x:c>
      <x:c r="L1" s="6" t="str">
        <x:v>A9. ในหน่วยงานที่ท่านทำงานอยู่มีปัญหาเรื่องพฤติกรรมในการทำงานของบุคลากรที่ไม่เคารพซึ่งกันและกัน</x:v>
      </x:c>
      <x:c r="M1" s="6" t="str">
        <x:v>A10. เมื่อบุคลากรทำงานผิดพลาดหรือคลาดเคลื่อน หน่วยงานที่ท่านทำงานอยู่จะมุ่งเน้นที่การเรียนรู้มากกว่าการกล่าวโทษตัวบุคคล</x:v>
      </x:c>
      <x:c r="N1" s="6" t="str">
        <x:v>A11. หน่วยงานที่ท่านทำงานอยู่มักจะเร่งรีบในการทำงานมากเกินไปจนส่งผลกระทบในเชิงลบต่อความปลอดภัยของผู้ป่วยหรือผู้รับบริการ</x:v>
      </x:c>
      <x:c r="O1" s="6" t="str">
        <x:v>A12. หน่วยงานที่ท่านทำงานอยู่มีการเปลี่ยนแปลงเพื่อเพิ่มความปลอดภัยให้กับผู้ป่วย/ผู้รับบริการ และมีการประเมินผลความปลอดภัยของผู้ป่วย/ผู้รับบริการว่าดีขึ้นอย่างไร</x:v>
      </x:c>
      <x:c r="P1" s="6" t="str">
        <x:v>A13. ใน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x:v>
      </x:c>
      <x:c r="Q1" s="6" t="str">
        <x:v>A14. 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x:v>
      </x:c>
      <x:c r="R1" s="6" t="str">
        <x:v>B1. หัวหน้างาน หัวหน้ากลุ่มงาน ผู้จัดการ หัวหน้าทีมการดูแลผู้ป่วย หรือประธานทีมนำทางคลินิกของฉันให้ความสำคัญกับข้อเสนอแนะของบุคลากรและผู้ร่วมงานอย่างจริงจังเพื่อปรับปรุงความปลอดภัยของผู้ป่วย</x:v>
      </x:c>
      <x:c r="S1" s="6" t="str">
        <x:v>B2. หัวหน้างาน หัวหน้ากลุ่มงาน ผู้จัดการ หัวหน้าทีมการดูแลผู้ป่วย หรือประธานทีมนำทางคลินิกของฉันต้องการให้เราทำงานเร็วขึ้นในช่วงเวลาที่ภาระงานยุ่งยาก ชุลมุนหรือเร่งรีบ แม้ว่าต้องลัดขั้นตอนหรือกระบวนการ</x:v>
      </x:c>
      <x:c r="T1" s="6" t="str">
        <x:v>B3. หัวหน้างาน หัวหน้ากลุ่มงาน ผู้จัดการ หัวหน้าทีมการดูแลผู้ป่วย หรือประธานทีมนำทางคลินิกของฉันมีการดำเนินการเพื่อตอบและแก้ไขความกังวลเรื่องความปลอดภัยของผู้ป่วย/ผู้รับบริการที่ได้รับทราบด้วยความตั้งใจ</x:v>
      </x:c>
      <x:c r="U1" s="6" t="str">
        <x:v>C1. บุคลากรได้รับการสื่อสารให้ข้อมูลกรณีเกิดความคลาดเคลื่อนขึ้นในหน่วยงานหรือพื้นที่ปฏิบัติงานของตน</x:v>
      </x:c>
      <x:c r="V1" s="6" t="str">
        <x:v>C2. เมื่อเกิดข้อผิดพลาดหรือความคลาดเคลื่อนในหน่วยงานที่ทำงานอยู่ บุคลากรจะพูดถึงวิธีป้องกันความคลาดเคลื่อนไม่ให้เกิดขึ้นซ้ำอีก</x:v>
      </x:c>
      <x:c r="W1" s="6" t="str">
        <x:v>C3. ในหน่วยงานที่ฉันปฏิบัติงานอยู่ บุคลากรได้รับการให้ข้อมูลหรือสื่อสารการเปลี่ยนแปลงที่เกิดขึ้นจากรายงานอุบัติการณ์</x:v>
      </x:c>
      <x:c r="X1" s="6" t="str">
        <x:v>C4. ในหน่วยงานที่ฉันปฏิบัติงานอยู่ บุคลากรสามารถพูดหรือบอกกล่าวได้ทันที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x:v>
      </x:c>
      <x:c r="Y1" s="6" t="str">
        <x:v>C5. ในหน่วยงานที่ฉันปฏิบัติงานอยู่ เมื่อบุคลากรเห็นผู้ที่มีอำนาจ ตำแหน่ง หรือบทบาทหน้าที่สูงกว่า ทำสิ่งที่ไม่ปลอดภัยสำหรับผู้ป่วย/ผู้รับบริการ บุคลากรสามารถพูดหรือบอกกล่าวได้ทันที</x:v>
      </x:c>
      <x:c r="Z1" s="6" t="str">
        <x:v>C6. เมื่อบุคลากรของหน่วยงานที่ฉันปฏิบัติงานอยู่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หรือบทบาทหน้าที่สูงกว่าเปิดกว้างในการรับฟัง</x:v>
      </x:c>
      <x:c r="AA1" s="6" t="str">
        <x:v>C7. ในหน่วยงานที่ฉันปฏิบัติงานอยู่ บุคลากรกลัวที่จะตั้งคำถามเมื่อพบสิ่งที่ไม่ถูกต้องหรือผิดปกติ</x:v>
      </x:c>
      <x:c r="AB1" s="6" t="str">
        <x:v>D1. เมื่อเกิดความผิดพลาดหรือคลาดเคลื่อนขึ้นแต่มีการดักจับหรือแก้ไขได้ก่อนถึงตัวผู้ป่วย มีการรายงานอุบัติการณ์ดังกล่าวบ่อยเพียงใด</x:v>
      </x:c>
      <x:c r="AC1" s="6" t="str">
        <x:v>D2. 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มีการรายงานอุบัติการณ์ดังกล่าวบ่อยเพียงใด</x:v>
      </x:c>
      <x:c r="AD1" s="6" t="str">
        <x:v>F1. การกระทำหรือการดำเนินการของผู้บริหารสถานพยาบาลแสดงให้เห็นถึงการให้ความสำคัญสูงสุดในเรื่องความปลอดภัยของผู้ป่วย/ผู้รับบริการ</x:v>
      </x:c>
      <x:c r="AE1" s="6" t="str">
        <x:v>F2. ผู้บริหารสถานพยาบาลจัดสรรทรัพยากรอย่างเพียงพอเพื่อปรับปรุงและเพิ่มความปลอดภัยของผู้ป่วยและผู้รับบริการในระบบบริการ</x:v>
      </x:c>
      <x:c r="AF1" s="6" t="str">
        <x:v>F3. ผู้บริหารโรงพยาบาลเหมือนจะให้ความสนใจเรื่องความปลอดภัยของผู้ป่วย/ผู้รับบริการ เฉพาะกรณีเกิดเหตุการณ์ไม่พึงประสงค์ขึ้นแล้วเท่านั้น</x:v>
      </x:c>
      <x:c r="AG1" s="6" t="str">
        <x:v>F4. เมื่อย้ายผู้ป่วย/ผู้รับบริการจากหน่วยงานหรือพื้นที่หนึ่งไปยังอีกหน่วยงานหรืออีกพื้นที่หนึ่ง ข้อมูลสำคัญของผู้ป่วยและการรักษา มักถูกละทิ้งโดยไม่มีการส่งต่อ</x:v>
      </x:c>
      <x:c r="AH1" s="6" t="str">
        <x:v>F5. ระหว่างการเปลี่ยนเวรหรือกะการทำงาน ข้อมูลสำคัญในการดูแลผู้ป่วย/ผู้รับบริการ มักถูกละทิ้งหรือละเลยโดยไม่มีการส่งต่อ</x:v>
      </x:c>
      <x:c r="AI1" s="6" t="str">
        <x:v>F6. ระหว่างการเปลี่ยนเวรหรือกะการทำงานมีเวลาเพียงพอในการแลกเปลี่ยนและส่งต่อข้อมูลสำคัญการดูแลผู้ป่วย/ผู้รับบริการ ที่สำคัญทั้งหมด</x:v>
      </x:c>
      <x:c r="AJ1" s="6" t="str">
        <x:v>Column 35</x:v>
      </x:c>
    </x:row>
    <x:row r="2">
      <x:c r="A2" s="26" t="n">
        <x:v>46245.490659664356</x:v>
      </x:c>
      <x:c r="B2" s="18" t="str">
        <x:v>สายวิชาชีพสาธารณสุข</x:v>
      </x:c>
      <x:c r="C2" s="18" t="str">
        <x:v>ฝ่ายการพยาบาล</x:v>
      </x:c>
      <x:c r="D2" s="18" t="n">
        <x:v>1</x:v>
      </x:c>
      <x:c r="E2" s="18" t="n">
        <x:v>1</x:v>
      </x:c>
      <x:c r="F2" s="18" t="n">
        <x:v>2</x:v>
      </x:c>
      <x:c r="G2" s="18" t="n">
        <x:v>1</x:v>
      </x:c>
      <x:c r="H2" s="18" t="n">
        <x:v>5</x:v>
      </x:c>
      <x:c r="I2" s="18" t="n">
        <x:v>5</x:v>
      </x:c>
      <x:c r="J2" s="18" t="n">
        <x:v>5</x:v>
      </x:c>
      <x:c r="K2" s="18" t="n">
        <x:v>2</x:v>
      </x:c>
      <x:c r="L2" s="18" t="n">
        <x:v>5</x:v>
      </x:c>
      <x:c r="M2" s="18" t="n">
        <x:v>3</x:v>
      </x:c>
      <x:c r="N2" s="18" t="n">
        <x:v>5</x:v>
      </x:c>
      <x:c r="O2" s="18" t="n">
        <x:v>4</x:v>
      </x:c>
      <x:c r="P2" s="18" t="n">
        <x:v>5</x:v>
      </x:c>
      <x:c r="Q2" s="18" t="n">
        <x:v>3</x:v>
      </x:c>
      <x:c r="R2" s="18" t="n">
        <x:v>1</x:v>
      </x:c>
      <x:c r="S2" s="18" t="n">
        <x:v>1</x:v>
      </x:c>
      <x:c r="T2" s="18" t="n">
        <x:v>3</x:v>
      </x:c>
      <x:c r="U2" s="18" t="n">
        <x:v>5</x:v>
      </x:c>
      <x:c r="V2" s="18" t="n">
        <x:v>4</x:v>
      </x:c>
      <x:c r="W2" s="18" t="n">
        <x:v>5</x:v>
      </x:c>
      <x:c r="X2" s="18" t="n">
        <x:v>2</x:v>
      </x:c>
      <x:c r="Y2" s="18" t="n">
        <x:v>1</x:v>
      </x:c>
      <x:c r="Z2" s="18" t="n">
        <x:v>5</x:v>
      </x:c>
      <x:c r="AA2" s="18" t="n">
        <x:v>4</x:v>
      </x:c>
      <x:c r="AB2" s="18" t="n">
        <x:v>2</x:v>
      </x:c>
      <x:c r="AC2" s="18" t="n">
        <x:v>4</x:v>
      </x:c>
      <x:c r="AD2" s="18" t="n">
        <x:v>4</x:v>
      </x:c>
      <x:c r="AE2" s="18" t="n">
        <x:v>5</x:v>
      </x:c>
      <x:c r="AF2" s="18" t="n">
        <x:v>5</x:v>
      </x:c>
      <x:c r="AG2" s="18" t="n">
        <x:v>1</x:v>
      </x:c>
      <x:c r="AH2" s="18" t="n">
        <x:v>1</x:v>
      </x:c>
      <x:c r="AI2" s="18" t="n">
        <x:v>1</x:v>
      </x:c>
      <x:c r="AJ2" s="19" t="str"/>
    </x:row>
    <x:row r="3">
      <x:c r="A3" s="27" t="n">
        <x:v>46245.49548337963</x:v>
      </x:c>
      <x:c r="B3" s="21" t="str">
        <x:v>สายสนับสนุนทางการแพทย์</x:v>
      </x:c>
      <x:c r="C3" s="21" t="str">
        <x:v>ห้องเอ็กซเรย์</x:v>
      </x:c>
      <x:c r="D3" s="21" t="n">
        <x:v>4</x:v>
      </x:c>
      <x:c r="E3" s="21" t="n">
        <x:v>4</x:v>
      </x:c>
      <x:c r="F3" s="21" t="n">
        <x:v>2</x:v>
      </x:c>
      <x:c r="G3" s="21" t="n">
        <x:v>3</x:v>
      </x:c>
      <x:c r="H3" s="21" t="n">
        <x:v>4</x:v>
      </x:c>
      <x:c r="I3" s="21" t="n">
        <x:v>2</x:v>
      </x:c>
      <x:c r="J3" s="21" t="n">
        <x:v>2</x:v>
      </x:c>
      <x:c r="K3" s="21" t="n">
        <x:v>4</x:v>
      </x:c>
      <x:c r="L3" s="21" t="n">
        <x:v>1</x:v>
      </x:c>
      <x:c r="M3" s="21" t="n">
        <x:v>4</x:v>
      </x:c>
      <x:c r="N3" s="21" t="n">
        <x:v>1</x:v>
      </x:c>
      <x:c r="O3" s="21" t="n">
        <x:v>4</x:v>
      </x:c>
      <x:c r="P3" s="21" t="n">
        <x:v>1</x:v>
      </x:c>
      <x:c r="Q3" s="21" t="n">
        <x:v>3</x:v>
      </x:c>
      <x:c r="R3" s="21" t="n">
        <x:v>3</x:v>
      </x:c>
      <x:c r="S3" s="21" t="n">
        <x:v>2</x:v>
      </x:c>
      <x:c r="T3" s="21" t="n">
        <x:v>4</x:v>
      </x:c>
      <x:c r="U3" s="21" t="n">
        <x:v>4</x:v>
      </x:c>
      <x:c r="V3" s="21" t="n">
        <x:v>3</x:v>
      </x:c>
      <x:c r="W3" s="21" t="n">
        <x:v>4</x:v>
      </x:c>
      <x:c r="X3" s="21" t="n">
        <x:v>4</x:v>
      </x:c>
      <x:c r="Y3" s="21" t="n">
        <x:v>3</x:v>
      </x:c>
      <x:c r="Z3" s="21" t="n">
        <x:v>4</x:v>
      </x:c>
      <x:c r="AA3" s="21" t="n">
        <x:v>3</x:v>
      </x:c>
      <x:c r="AB3" s="21" t="n">
        <x:v>4</x:v>
      </x:c>
      <x:c r="AC3" s="21" t="n">
        <x:v>3</x:v>
      </x:c>
      <x:c r="AD3" s="21" t="n">
        <x:v>5</x:v>
      </x:c>
      <x:c r="AE3" s="21" t="n">
        <x:v>5</x:v>
      </x:c>
      <x:c r="AF3" s="21" t="n">
        <x:v>1</x:v>
      </x:c>
      <x:c r="AG3" s="21" t="n">
        <x:v>1</x:v>
      </x:c>
      <x:c r="AH3" s="21" t="n">
        <x:v>1</x:v>
      </x:c>
      <x:c r="AI3" s="21" t="n">
        <x:v>5</x:v>
      </x:c>
      <x:c r="AJ3" s="22" t="str"/>
    </x:row>
    <x:row r="4">
      <x:c r="A4" s="27" t="n">
        <x:v>46245.49658319444</x:v>
      </x:c>
      <x:c r="B4" s="21" t="str">
        <x:v>สายสนับสนุนทางการแพทย์</x:v>
      </x:c>
      <x:c r="C4" s="21" t="str">
        <x:v>ห้องแลป</x:v>
      </x:c>
      <x:c r="D4" s="21" t="n">
        <x:v>4</x:v>
      </x:c>
      <x:c r="E4" s="21" t="n">
        <x:v>5</x:v>
      </x:c>
      <x:c r="F4" s="21" t="n">
        <x:v>1</x:v>
      </x:c>
      <x:c r="G4" s="21" t="n">
        <x:v>4</x:v>
      </x:c>
      <x:c r="H4" s="21" t="n">
        <x:v>1</x:v>
      </x:c>
      <x:c r="I4" s="21" t="n">
        <x:v>1</x:v>
      </x:c>
      <x:c r="J4" s="21" t="n">
        <x:v>1</x:v>
      </x:c>
      <x:c r="K4" s="21" t="n">
        <x:v>3</x:v>
      </x:c>
      <x:c r="L4" s="21" t="n">
        <x:v>3</x:v>
      </x:c>
      <x:c r="M4" s="21" t="n">
        <x:v>4</x:v>
      </x:c>
      <x:c r="N4" s="21" t="n">
        <x:v>3</x:v>
      </x:c>
      <x:c r="O4" s="21" t="n">
        <x:v>3</x:v>
      </x:c>
      <x:c r="P4" s="21" t="n">
        <x:v>1</x:v>
      </x:c>
      <x:c r="Q4" s="21" t="n">
        <x:v>1</x:v>
      </x:c>
      <x:c r="R4" s="21" t="n">
        <x:v>3</x:v>
      </x:c>
      <x:c r="S4" s="21" t="n">
        <x:v>2</x:v>
      </x:c>
      <x:c r="T4" s="21" t="n">
        <x:v>2</x:v>
      </x:c>
      <x:c r="U4" s="21" t="n">
        <x:v>2</x:v>
      </x:c>
      <x:c r="V4" s="21" t="n">
        <x:v>3</x:v>
      </x:c>
      <x:c r="W4" s="21" t="n">
        <x:v>3</x:v>
      </x:c>
      <x:c r="X4" s="21" t="n">
        <x:v>3</x:v>
      </x:c>
      <x:c r="Y4" s="21" t="n">
        <x:v>4</x:v>
      </x:c>
      <x:c r="Z4" s="21" t="n">
        <x:v>4</x:v>
      </x:c>
      <x:c r="AA4" s="21" t="n">
        <x:v>4</x:v>
      </x:c>
      <x:c r="AB4" s="21" t="n">
        <x:v>5</x:v>
      </x:c>
      <x:c r="AC4" s="21" t="n">
        <x:v>5</x:v>
      </x:c>
      <x:c r="AD4" s="21" t="n">
        <x:v>3</x:v>
      </x:c>
      <x:c r="AE4" s="21" t="n">
        <x:v>3</x:v>
      </x:c>
      <x:c r="AF4" s="21" t="n">
        <x:v>3</x:v>
      </x:c>
      <x:c r="AG4" s="21" t="n">
        <x:v>3</x:v>
      </x:c>
      <x:c r="AH4" s="21" t="n">
        <x:v>3</x:v>
      </x:c>
      <x:c r="AI4" s="21" t="n">
        <x:v>3</x:v>
      </x:c>
      <x:c r="AJ4" s="22" t="str"/>
    </x:row>
    <x:row r="5">
      <x:c r="A5" s="27" t="n">
        <x:v>46245.501802060186</x:v>
      </x:c>
      <x:c r="B5" s="21" t="str">
        <x:v>สายวิชาชีพสาธารณสุข</x:v>
      </x:c>
      <x:c r="C5" s="21" t="str">
        <x:v>ERและเปล</x:v>
      </x:c>
      <x:c r="D5" s="21" t="n">
        <x:v>4</x:v>
      </x:c>
      <x:c r="E5" s="21" t="n">
        <x:v>3</x:v>
      </x:c>
      <x:c r="F5" s="21" t="n">
        <x:v>3</x:v>
      </x:c>
      <x:c r="G5" s="21" t="n">
        <x:v>3</x:v>
      </x:c>
      <x:c r="H5" s="21" t="n">
        <x:v>3</x:v>
      </x:c>
      <x:c r="I5" s="21" t="n">
        <x:v>3</x:v>
      </x:c>
      <x:c r="J5" s="21" t="n">
        <x:v>3</x:v>
      </x:c>
      <x:c r="K5" s="21" t="n">
        <x:v>3</x:v>
      </x:c>
      <x:c r="L5" s="21" t="n">
        <x:v>3</x:v>
      </x:c>
      <x:c r="M5" s="21" t="n">
        <x:v>3</x:v>
      </x:c>
      <x:c r="N5" s="21" t="n">
        <x:v>3</x:v>
      </x:c>
      <x:c r="O5" s="21" t="n">
        <x:v>4</x:v>
      </x:c>
      <x:c r="P5" s="21" t="n">
        <x:v>1</x:v>
      </x:c>
      <x:c r="Q5" s="21" t="n">
        <x:v>1</x:v>
      </x:c>
      <x:c r="R5" s="21" t="n">
        <x:v>3</x:v>
      </x:c>
      <x:c r="S5" s="21" t="n">
        <x:v>2</x:v>
      </x:c>
      <x:c r="T5" s="21" t="n">
        <x:v>3</x:v>
      </x:c>
      <x:c r="U5" s="21" t="n">
        <x:v>4</x:v>
      </x:c>
      <x:c r="V5" s="21" t="n">
        <x:v>4</x:v>
      </x:c>
      <x:c r="W5" s="21" t="n">
        <x:v>3</x:v>
      </x:c>
      <x:c r="X5" s="21" t="n">
        <x:v>4</x:v>
      </x:c>
      <x:c r="Y5" s="21" t="n">
        <x:v>2</x:v>
      </x:c>
      <x:c r="Z5" s="21" t="n">
        <x:v>3</x:v>
      </x:c>
      <x:c r="AA5" s="21" t="n">
        <x:v>3</x:v>
      </x:c>
      <x:c r="AB5" s="21" t="n">
        <x:v>3</x:v>
      </x:c>
      <x:c r="AC5" s="21" t="n">
        <x:v>4</x:v>
      </x:c>
      <x:c r="AD5" s="21" t="n">
        <x:v>5</x:v>
      </x:c>
      <x:c r="AE5" s="21" t="n">
        <x:v>4</x:v>
      </x:c>
      <x:c r="AF5" s="21" t="n">
        <x:v>3</x:v>
      </x:c>
      <x:c r="AG5" s="21" t="n">
        <x:v>1</x:v>
      </x:c>
      <x:c r="AH5" s="21" t="n">
        <x:v>1</x:v>
      </x:c>
      <x:c r="AI5" s="21" t="n">
        <x:v>5</x:v>
      </x:c>
      <x:c r="AJ5" s="22" t="str">
        <x:v>ในบางครั้งเมื่อเจอเหตุการณ์ไม่มีเวลาลงจนลืมและบางคนเห็นว่าลงแล้วไม่มีอะไรเปลี่ยนแปลงไม่เห็นมีใครactionอะไร</x:v>
      </x:c>
    </x:row>
    <x:row r="6">
      <x:c r="A6" s="27" t="n">
        <x:v>46245.51743175926</x:v>
      </x:c>
      <x:c r="B6" s="21" t="str">
        <x:v>สายสนับสนุนทางการแพทย์</x:v>
      </x:c>
      <x:c r="C6" s="21" t="str">
        <x:v>ห้องเอ็กซเรย์</x:v>
      </x:c>
      <x:c r="D6" s="21" t="n">
        <x:v>4</x:v>
      </x:c>
      <x:c r="E6" s="21" t="n">
        <x:v>4</x:v>
      </x:c>
      <x:c r="F6" s="21" t="n">
        <x:v>2</x:v>
      </x:c>
      <x:c r="G6" s="21" t="n">
        <x:v>4</x:v>
      </x:c>
      <x:c r="H6" s="21" t="n">
        <x:v>4</x:v>
      </x:c>
      <x:c r="I6" s="21" t="n">
        <x:v>2</x:v>
      </x:c>
      <x:c r="J6" s="21" t="n">
        <x:v>2</x:v>
      </x:c>
      <x:c r="K6" s="21" t="n">
        <x:v>4</x:v>
      </x:c>
      <x:c r="L6" s="21" t="n">
        <x:v>1</x:v>
      </x:c>
      <x:c r="M6" s="21" t="n">
        <x:v>4</x:v>
      </x:c>
      <x:c r="N6" s="21" t="n">
        <x:v>1</x:v>
      </x:c>
      <x:c r="O6" s="21" t="n">
        <x:v>4</x:v>
      </x:c>
      <x:c r="P6" s="21" t="n">
        <x:v>2</x:v>
      </x:c>
      <x:c r="Q6" s="21" t="n">
        <x:v>1</x:v>
      </x:c>
      <x:c r="R6" s="21" t="n">
        <x:v>4</x:v>
      </x:c>
      <x:c r="S6" s="21" t="n">
        <x:v>2</x:v>
      </x:c>
      <x:c r="T6" s="21" t="n">
        <x:v>4</x:v>
      </x:c>
      <x:c r="U6" s="21" t="n">
        <x:v>4</x:v>
      </x:c>
      <x:c r="V6" s="21" t="n">
        <x:v>4</x:v>
      </x:c>
      <x:c r="W6" s="21" t="n">
        <x:v>3</x:v>
      </x:c>
      <x:c r="X6" s="21" t="n">
        <x:v>4</x:v>
      </x:c>
      <x:c r="Y6" s="21" t="n">
        <x:v>3</x:v>
      </x:c>
      <x:c r="Z6" s="21" t="n">
        <x:v>4</x:v>
      </x:c>
      <x:c r="AA6" s="21" t="n">
        <x:v>3</x:v>
      </x:c>
      <x:c r="AB6" s="21" t="n">
        <x:v>4</x:v>
      </x:c>
      <x:c r="AC6" s="21" t="n">
        <x:v>3</x:v>
      </x:c>
      <x:c r="AD6" s="21" t="n">
        <x:v>4</x:v>
      </x:c>
      <x:c r="AE6" s="21" t="n">
        <x:v>4</x:v>
      </x:c>
      <x:c r="AF6" s="21" t="n">
        <x:v>4</x:v>
      </x:c>
      <x:c r="AG6" s="21" t="n">
        <x:v>4</x:v>
      </x:c>
      <x:c r="AH6" s="21" t="n">
        <x:v>3</x:v>
      </x:c>
      <x:c r="AI6" s="21" t="n">
        <x:v>3</x:v>
      </x:c>
      <x:c r="AJ6" s="22" t="str">
        <x:v>มีระบบเรื่องความปลอดภัยในการระมัดระวังไม่ให้ผู้ป่วยบาดเจ็บเพิ่มเติมได้ดี และเมื่อพบเห็นเหตุการณ์ที่มีความเสี่ยงทุกแผนกมีความกล้าที่จะรายงานอุบัติการณ์มาก็ขึ้น</x:v>
      </x:c>
    </x:row>
    <x:row r="7">
      <x:c r="A7" s="27" t="n">
        <x:v>46245.52669728009</x:v>
      </x:c>
      <x:c r="B7" s="21" t="str">
        <x:v>สายสนับสนุนทั่วไป</x:v>
      </x:c>
      <x:c r="C7" s="21" t="str">
        <x:v>ยานพาหนะ</x:v>
      </x:c>
      <x:c r="D7" s="21" t="n">
        <x:v>3</x:v>
      </x:c>
      <x:c r="E7" s="21" t="n">
        <x:v>3</x:v>
      </x:c>
      <x:c r="F7" s="21" t="n">
        <x:v>3</x:v>
      </x:c>
      <x:c r="G7" s="21" t="n">
        <x:v>4</x:v>
      </x:c>
      <x:c r="H7" s="21" t="n">
        <x:v>2</x:v>
      </x:c>
      <x:c r="I7" s="21" t="n">
        <x:v>4</x:v>
      </x:c>
      <x:c r="J7" s="21" t="n">
        <x:v>4</x:v>
      </x:c>
      <x:c r="K7" s="21" t="n">
        <x:v>3</x:v>
      </x:c>
      <x:c r="L7" s="21" t="n">
        <x:v>4</x:v>
      </x:c>
      <x:c r="M7" s="21" t="n">
        <x:v>5</x:v>
      </x:c>
      <x:c r="N7" s="21" t="n">
        <x:v>1</x:v>
      </x:c>
      <x:c r="O7" s="21" t="n">
        <x:v>5</x:v>
      </x:c>
      <x:c r="P7" s="21" t="n">
        <x:v>1</x:v>
      </x:c>
      <x:c r="Q7" s="21" t="n">
        <x:v>1</x:v>
      </x:c>
      <x:c r="R7" s="21" t="n">
        <x:v>5</x:v>
      </x:c>
      <x:c r="S7" s="21" t="n">
        <x:v>3</x:v>
      </x:c>
      <x:c r="T7" s="21" t="n">
        <x:v>5</x:v>
      </x:c>
      <x:c r="U7" s="21" t="n">
        <x:v>5</x:v>
      </x:c>
      <x:c r="V7" s="21" t="n">
        <x:v>5</x:v>
      </x:c>
      <x:c r="W7" s="21" t="n">
        <x:v>5</x:v>
      </x:c>
      <x:c r="X7" s="21" t="n">
        <x:v>5</x:v>
      </x:c>
      <x:c r="Y7" s="21" t="n">
        <x:v>5</x:v>
      </x:c>
      <x:c r="Z7" s="21" t="n">
        <x:v>5</x:v>
      </x:c>
      <x:c r="AA7" s="21" t="n">
        <x:v>1</x:v>
      </x:c>
      <x:c r="AB7" s="21" t="n">
        <x:v>5</x:v>
      </x:c>
      <x:c r="AC7" s="21" t="n">
        <x:v>5</x:v>
      </x:c>
      <x:c r="AD7" s="21" t="n">
        <x:v>5</x:v>
      </x:c>
      <x:c r="AE7" s="21" t="n">
        <x:v>5</x:v>
      </x:c>
      <x:c r="AF7" s="21" t="n">
        <x:v>2</x:v>
      </x:c>
      <x:c r="AG7" s="21" t="n">
        <x:v>1</x:v>
      </x:c>
      <x:c r="AH7" s="21" t="n">
        <x:v>1</x:v>
      </x:c>
      <x:c r="AI7" s="21" t="n">
        <x:v>5</x:v>
      </x:c>
      <x:c r="AJ7" s="22" t="str">
        <x:v>ควรมีการวิเคราะห์ประเด็นปัญหาอย่างชีดเจนและเป็นขั้นตอน</x:v>
      </x:c>
    </x:row>
    <x:row r="8">
      <x:c r="A8" s="27" t="n">
        <x:v>46245.530293275464</x:v>
      </x:c>
      <x:c r="B8" s="21" t="str">
        <x:v>สายสนับสนุนทางการแพทย์</x:v>
      </x:c>
      <x:c r="C8" s="21" t="str">
        <x:v>ห้องยา</x:v>
      </x:c>
      <x:c r="D8" s="21" t="n">
        <x:v>5</x:v>
      </x:c>
      <x:c r="E8" s="21" t="n">
        <x:v>5</x:v>
      </x:c>
      <x:c r="F8" s="21" t="n">
        <x:v>3</x:v>
      </x:c>
      <x:c r="G8" s="21" t="n">
        <x:v>5</x:v>
      </x:c>
      <x:c r="H8" s="21" t="n">
        <x:v>3</x:v>
      </x:c>
      <x:c r="I8" s="21" t="n">
        <x:v>2</x:v>
      </x:c>
      <x:c r="J8" s="21" t="n">
        <x:v>1</x:v>
      </x:c>
      <x:c r="K8" s="21" t="n">
        <x:v>5</x:v>
      </x:c>
      <x:c r="L8" s="21" t="n">
        <x:v>1</x:v>
      </x:c>
      <x:c r="M8" s="21" t="n">
        <x:v>1</x:v>
      </x:c>
      <x:c r="N8" s="21" t="n">
        <x:v>1</x:v>
      </x:c>
      <x:c r="O8" s="21" t="n">
        <x:v>1</x:v>
      </x:c>
      <x:c r="P8" s="21" t="n">
        <x:v>1</x:v>
      </x:c>
      <x:c r="Q8" s="21" t="n">
        <x:v>1</x:v>
      </x:c>
      <x:c r="R8" s="21" t="n">
        <x:v>5</x:v>
      </x:c>
      <x:c r="S8" s="21" t="n">
        <x:v>4</x:v>
      </x:c>
      <x:c r="T8" s="21" t="n">
        <x:v>5</x:v>
      </x:c>
      <x:c r="U8" s="21" t="n">
        <x:v>5</x:v>
      </x:c>
      <x:c r="V8" s="21" t="n">
        <x:v>5</x:v>
      </x:c>
      <x:c r="W8" s="21" t="n">
        <x:v>5</x:v>
      </x:c>
      <x:c r="X8" s="21" t="n">
        <x:v>5</x:v>
      </x:c>
      <x:c r="Y8" s="21" t="n">
        <x:v>5</x:v>
      </x:c>
      <x:c r="Z8" s="21" t="n">
        <x:v>5</x:v>
      </x:c>
      <x:c r="AA8" s="21" t="n">
        <x:v>1</x:v>
      </x:c>
      <x:c r="AB8" s="21" t="n">
        <x:v>5</x:v>
      </x:c>
      <x:c r="AC8" s="21" t="n">
        <x:v>5</x:v>
      </x:c>
      <x:c r="AD8" s="21" t="n">
        <x:v>5</x:v>
      </x:c>
      <x:c r="AE8" s="21" t="n">
        <x:v>5</x:v>
      </x:c>
      <x:c r="AF8" s="21" t="n">
        <x:v>1</x:v>
      </x:c>
      <x:c r="AG8" s="21" t="n">
        <x:v>1</x:v>
      </x:c>
      <x:c r="AH8" s="21" t="n">
        <x:v>1</x:v>
      </x:c>
      <x:c r="AI8" s="21" t="n">
        <x:v>5</x:v>
      </x:c>
      <x:c r="AJ8" s="22" t="str">
        <x:v>-</x:v>
      </x:c>
    </x:row>
    <x:row r="9">
      <x:c r="A9" s="27" t="n">
        <x:v>46245.544857650464</x:v>
      </x:c>
      <x:c r="B9" s="21" t="str">
        <x:v>สายวิชาชีพสาธารณสุข</x:v>
      </x:c>
      <x:c r="C9" s="21" t="str">
        <x:v>ERและเปล</x:v>
      </x:c>
      <x:c r="D9" s="21" t="n">
        <x:v>4</x:v>
      </x:c>
      <x:c r="E9" s="21" t="n">
        <x:v>3</x:v>
      </x:c>
      <x:c r="F9" s="21" t="n">
        <x:v>3</x:v>
      </x:c>
      <x:c r="G9" s="21" t="n">
        <x:v>3</x:v>
      </x:c>
      <x:c r="H9" s="21" t="n">
        <x:v>3</x:v>
      </x:c>
      <x:c r="I9" s="21" t="n">
        <x:v>2</x:v>
      </x:c>
      <x:c r="J9" s="21" t="n">
        <x:v>2</x:v>
      </x:c>
      <x:c r="K9" s="21" t="n">
        <x:v>4</x:v>
      </x:c>
      <x:c r="L9" s="21" t="n">
        <x:v>2</x:v>
      </x:c>
      <x:c r="M9" s="21" t="n">
        <x:v>3</x:v>
      </x:c>
      <x:c r="N9" s="21" t="n">
        <x:v>3</x:v>
      </x:c>
      <x:c r="O9" s="21" t="n">
        <x:v>4</x:v>
      </x:c>
      <x:c r="P9" s="21" t="n">
        <x:v>1</x:v>
      </x:c>
      <x:c r="Q9" s="21" t="n">
        <x:v>1</x:v>
      </x:c>
      <x:c r="R9" s="21" t="n">
        <x:v>4</x:v>
      </x:c>
      <x:c r="S9" s="21" t="n">
        <x:v>3</x:v>
      </x:c>
      <x:c r="T9" s="21" t="n">
        <x:v>3</x:v>
      </x:c>
      <x:c r="U9" s="21" t="n">
        <x:v>4</x:v>
      </x:c>
      <x:c r="V9" s="21" t="n">
        <x:v>5</x:v>
      </x:c>
      <x:c r="W9" s="21" t="n">
        <x:v>5</x:v>
      </x:c>
      <x:c r="X9" s="21" t="n">
        <x:v>4</x:v>
      </x:c>
      <x:c r="Y9" s="21" t="n">
        <x:v>4</x:v>
      </x:c>
      <x:c r="Z9" s="21" t="n">
        <x:v>4</x:v>
      </x:c>
      <x:c r="AA9" s="21" t="n">
        <x:v>2</x:v>
      </x:c>
      <x:c r="AB9" s="21" t="n">
        <x:v>3</x:v>
      </x:c>
      <x:c r="AC9" s="21" t="n">
        <x:v>5</x:v>
      </x:c>
      <x:c r="AD9" s="21" t="n">
        <x:v>5</x:v>
      </x:c>
      <x:c r="AE9" s="21" t="n">
        <x:v>3</x:v>
      </x:c>
      <x:c r="AF9" s="21" t="n">
        <x:v>1</x:v>
      </x:c>
      <x:c r="AG9" s="21" t="n">
        <x:v>2</x:v>
      </x:c>
      <x:c r="AH9" s="21" t="n">
        <x:v>1</x:v>
      </x:c>
      <x:c r="AI9" s="21" t="n">
        <x:v>5</x:v>
      </x:c>
      <x:c r="AJ9" s="22" t="str">
        <x:v>มีการติดตามความเสี่ยงสำคัญแต่ความเสี่ยงบางอย่างแก้ไม่ได้โดยระบบเช่นเรื่องคนไข้รอหมอนานช่วงต่อเวร เราไม่สารถแก้ไขในส่วนที่เป็นองค์กรแพทย์ได้โดยตรงแต่บางเรื่องสามารถเล่าให้ผอ.ฟังได้ในภาพรวม</x:v>
      </x:c>
    </x:row>
    <x:row r="10">
      <x:c r="A10" s="27" t="n">
        <x:v>46245.545386157406</x:v>
      </x:c>
      <x:c r="B10" s="21" t="str">
        <x:v>สายสนับสนุนทั่วไป</x:v>
      </x:c>
      <x:c r="C10" s="21" t="str">
        <x:v>การเงิน</x:v>
      </x:c>
      <x:c r="D10" s="21" t="n">
        <x:v>3</x:v>
      </x:c>
      <x:c r="E10" s="21" t="n">
        <x:v>3</x:v>
      </x:c>
      <x:c r="F10" s="21" t="n">
        <x:v>3</x:v>
      </x:c>
      <x:c r="G10" s="21" t="n">
        <x:v>4</x:v>
      </x:c>
      <x:c r="H10" s="21" t="n">
        <x:v>2</x:v>
      </x:c>
      <x:c r="I10" s="21" t="n">
        <x:v>3</x:v>
      </x:c>
      <x:c r="J10" s="21" t="n">
        <x:v>4</x:v>
      </x:c>
      <x:c r="K10" s="21" t="n">
        <x:v>3</x:v>
      </x:c>
      <x:c r="L10" s="21" t="n">
        <x:v>4</x:v>
      </x:c>
      <x:c r="M10" s="21" t="n">
        <x:v>4</x:v>
      </x:c>
      <x:c r="N10" s="21" t="n">
        <x:v>3</x:v>
      </x:c>
      <x:c r="O10" s="21" t="n">
        <x:v>4</x:v>
      </x:c>
      <x:c r="P10" s="21" t="n">
        <x:v>3</x:v>
      </x:c>
      <x:c r="Q10" s="21" t="n">
        <x:v>3</x:v>
      </x:c>
      <x:c r="R10" s="21" t="n">
        <x:v>4</x:v>
      </x:c>
      <x:c r="S10" s="21" t="n">
        <x:v>4</x:v>
      </x:c>
      <x:c r="T10" s="21" t="n">
        <x:v>4</x:v>
      </x:c>
      <x:c r="U10" s="21" t="n">
        <x:v>3</x:v>
      </x:c>
      <x:c r="V10" s="21" t="n">
        <x:v>4</x:v>
      </x:c>
      <x:c r="W10" s="21" t="n">
        <x:v>4</x:v>
      </x:c>
      <x:c r="X10" s="21" t="n">
        <x:v>4</x:v>
      </x:c>
      <x:c r="Y10" s="21" t="n">
        <x:v>4</x:v>
      </x:c>
      <x:c r="Z10" s="21" t="n">
        <x:v>4</x:v>
      </x:c>
      <x:c r="AA10" s="21" t="n">
        <x:v>3</x:v>
      </x:c>
      <x:c r="AB10" s="21" t="n">
        <x:v>3</x:v>
      </x:c>
      <x:c r="AC10" s="21" t="n">
        <x:v>4</x:v>
      </x:c>
      <x:c r="AD10" s="21" t="n">
        <x:v>4</x:v>
      </x:c>
      <x:c r="AE10" s="21" t="n">
        <x:v>4</x:v>
      </x:c>
      <x:c r="AF10" s="21" t="n">
        <x:v>4</x:v>
      </x:c>
      <x:c r="AG10" s="21" t="n">
        <x:v>3</x:v>
      </x:c>
      <x:c r="AH10" s="21" t="n">
        <x:v>3</x:v>
      </x:c>
      <x:c r="AI10" s="21" t="n">
        <x:v>3</x:v>
      </x:c>
      <x:c r="AJ10" s="22" t="str">
        <x:v>เพิ่มความปลอดภัยให้กับบุคลากรของรพ.</x:v>
      </x:c>
    </x:row>
    <x:row r="11">
      <x:c r="A11" s="27" t="n">
        <x:v>46245.54738055555</x:v>
      </x:c>
      <x:c r="B11" s="21" t="str">
        <x:v>สายสนับสนุนทางการแพทย์</x:v>
      </x:c>
      <x:c r="C11" s="21" t="str">
        <x:v>IT</x:v>
      </x:c>
      <x:c r="D11" s="21" t="n">
        <x:v>4</x:v>
      </x:c>
      <x:c r="E11" s="21" t="n">
        <x:v>3</x:v>
      </x:c>
      <x:c r="F11" s="21" t="n">
        <x:v>4</x:v>
      </x:c>
      <x:c r="G11" s="21" t="n">
        <x:v>4</x:v>
      </x:c>
      <x:c r="H11" s="21" t="n">
        <x:v>3</x:v>
      </x:c>
      <x:c r="I11" s="21" t="n">
        <x:v>4</x:v>
      </x:c>
      <x:c r="J11" s="21" t="n">
        <x:v>4</x:v>
      </x:c>
      <x:c r="K11" s="21" t="n">
        <x:v>5</x:v>
      </x:c>
      <x:c r="L11" s="21" t="n">
        <x:v>4</x:v>
      </x:c>
      <x:c r="M11" s="21" t="n">
        <x:v>3</x:v>
      </x:c>
      <x:c r="N11" s="21" t="n">
        <x:v>3</x:v>
      </x:c>
      <x:c r="O11" s="21" t="n">
        <x:v>4</x:v>
      </x:c>
      <x:c r="P11" s="21" t="n">
        <x:v>2</x:v>
      </x:c>
      <x:c r="Q11" s="21" t="n">
        <x:v>2</x:v>
      </x:c>
      <x:c r="R11" s="21" t="n">
        <x:v>4</x:v>
      </x:c>
      <x:c r="S11" s="21" t="n">
        <x:v>3</x:v>
      </x:c>
      <x:c r="T11" s="21" t="n">
        <x:v>4</x:v>
      </x:c>
      <x:c r="U11" s="21" t="n">
        <x:v>4</x:v>
      </x:c>
      <x:c r="V11" s="21" t="n">
        <x:v>5</x:v>
      </x:c>
      <x:c r="W11" s="21" t="n">
        <x:v>4</x:v>
      </x:c>
      <x:c r="X11" s="21" t="n">
        <x:v>5</x:v>
      </x:c>
      <x:c r="Y11" s="21" t="n">
        <x:v>5</x:v>
      </x:c>
      <x:c r="Z11" s="21" t="n">
        <x:v>5</x:v>
      </x:c>
      <x:c r="AA11" s="21" t="n">
        <x:v>1</x:v>
      </x:c>
      <x:c r="AB11" s="21" t="n">
        <x:v>4</x:v>
      </x:c>
      <x:c r="AC11" s="21" t="n">
        <x:v>4</x:v>
      </x:c>
      <x:c r="AD11" s="21" t="n">
        <x:v>5</x:v>
      </x:c>
      <x:c r="AE11" s="21" t="n">
        <x:v>4</x:v>
      </x:c>
      <x:c r="AF11" s="21" t="n">
        <x:v>2</x:v>
      </x:c>
      <x:c r="AG11" s="21" t="n">
        <x:v>2</x:v>
      </x:c>
      <x:c r="AH11" s="21" t="n">
        <x:v>3</x:v>
      </x:c>
      <x:c r="AI11" s="21" t="n">
        <x:v>2</x:v>
      </x:c>
      <x:c r="AJ11" s="22" t="str">
        <x:v>.</x:v>
      </x:c>
    </x:row>
    <x:row r="12">
      <x:c r="A12" s="27" t="n">
        <x:v>46245.55231712963</x:v>
      </x:c>
      <x:c r="B12" s="21" t="str">
        <x:v>สายสนับสนุนทั่วไป</x:v>
      </x:c>
      <x:c r="C12" s="21" t="str">
        <x:v>IT</x:v>
      </x:c>
      <x:c r="D12" s="21" t="n">
        <x:v>4</x:v>
      </x:c>
      <x:c r="E12" s="21" t="n">
        <x:v>3</x:v>
      </x:c>
      <x:c r="F12" s="21" t="n">
        <x:v>3</x:v>
      </x:c>
      <x:c r="G12" s="21" t="n">
        <x:v>4</x:v>
      </x:c>
      <x:c r="H12" s="21" t="n">
        <x:v>2</x:v>
      </x:c>
      <x:c r="I12" s="21" t="n">
        <x:v>3</x:v>
      </x:c>
      <x:c r="J12" s="21" t="n">
        <x:v>2</x:v>
      </x:c>
      <x:c r="K12" s="21" t="n">
        <x:v>5</x:v>
      </x:c>
      <x:c r="L12" s="21" t="n">
        <x:v>1</x:v>
      </x:c>
      <x:c r="M12" s="21" t="n">
        <x:v>4</x:v>
      </x:c>
      <x:c r="N12" s="21" t="n">
        <x:v>2</x:v>
      </x:c>
      <x:c r="O12" s="21" t="n">
        <x:v>3</x:v>
      </x:c>
      <x:c r="P12" s="21" t="n">
        <x:v>2</x:v>
      </x:c>
      <x:c r="Q12" s="21" t="n">
        <x:v>3</x:v>
      </x:c>
      <x:c r="R12" s="21" t="n">
        <x:v>5</x:v>
      </x:c>
      <x:c r="S12" s="21" t="n">
        <x:v>1</x:v>
      </x:c>
      <x:c r="T12" s="21" t="n">
        <x:v>5</x:v>
      </x:c>
      <x:c r="U12" s="21" t="n">
        <x:v>2</x:v>
      </x:c>
      <x:c r="V12" s="21" t="n">
        <x:v>5</x:v>
      </x:c>
      <x:c r="W12" s="21" t="n">
        <x:v>5</x:v>
      </x:c>
      <x:c r="X12" s="21" t="n">
        <x:v>5</x:v>
      </x:c>
      <x:c r="Y12" s="21" t="n">
        <x:v>5</x:v>
      </x:c>
      <x:c r="Z12" s="21" t="n">
        <x:v>5</x:v>
      </x:c>
      <x:c r="AA12" s="21" t="n">
        <x:v>2</x:v>
      </x:c>
      <x:c r="AB12" s="21" t="n">
        <x:v>5</x:v>
      </x:c>
      <x:c r="AC12" s="21" t="n">
        <x:v>3</x:v>
      </x:c>
      <x:c r="AD12" s="21" t="n">
        <x:v>5</x:v>
      </x:c>
      <x:c r="AE12" s="21" t="n">
        <x:v>5</x:v>
      </x:c>
      <x:c r="AF12" s="21" t="n">
        <x:v>1</x:v>
      </x:c>
      <x:c r="AG12" s="21" t="n">
        <x:v>1</x:v>
      </x:c>
      <x:c r="AH12" s="21" t="n">
        <x:v>1</x:v>
      </x:c>
      <x:c r="AI12" s="21" t="n">
        <x:v>5</x:v>
      </x:c>
      <x:c r="AJ12" s="22" t="str">
        <x:v>-</x:v>
      </x:c>
    </x:row>
    <x:row r="13">
      <x:c r="A13" s="27" t="n">
        <x:v>46245.55592471064</x:v>
      </x:c>
      <x:c r="B13" s="21" t="str">
        <x:v>สายวิชาชีพสาธารณสุข</x:v>
      </x:c>
      <x:c r="C13" s="21" t="str">
        <x:v>OR</x:v>
      </x:c>
      <x:c r="D13" s="21" t="n">
        <x:v>4</x:v>
      </x:c>
      <x:c r="E13" s="21" t="n">
        <x:v>3</x:v>
      </x:c>
      <x:c r="F13" s="21" t="n">
        <x:v>1</x:v>
      </x:c>
      <x:c r="G13" s="21" t="n">
        <x:v>4</x:v>
      </x:c>
      <x:c r="H13" s="21" t="n">
        <x:v>2</x:v>
      </x:c>
      <x:c r="I13" s="21" t="n">
        <x:v>3</x:v>
      </x:c>
      <x:c r="J13" s="21" t="n">
        <x:v>1</x:v>
      </x:c>
      <x:c r="K13" s="21" t="n">
        <x:v>4</x:v>
      </x:c>
      <x:c r="L13" s="21" t="n">
        <x:v>2</x:v>
      </x:c>
      <x:c r="M13" s="21" t="n">
        <x:v>2</x:v>
      </x:c>
      <x:c r="N13" s="21" t="n">
        <x:v>1</x:v>
      </x:c>
      <x:c r="O13" s="21" t="n">
        <x:v>5</x:v>
      </x:c>
      <x:c r="P13" s="21" t="n">
        <x:v>5</x:v>
      </x:c>
      <x:c r="Q13" s="21" t="n">
        <x:v>1</x:v>
      </x:c>
      <x:c r="R13" s="21" t="n">
        <x:v>3</x:v>
      </x:c>
      <x:c r="S13" s="21" t="n">
        <x:v>4</x:v>
      </x:c>
      <x:c r="T13" s="21" t="n">
        <x:v>3</x:v>
      </x:c>
      <x:c r="U13" s="21" t="n">
        <x:v>4</x:v>
      </x:c>
      <x:c r="V13" s="21" t="n">
        <x:v>5</x:v>
      </x:c>
      <x:c r="W13" s="21" t="n">
        <x:v>3</x:v>
      </x:c>
      <x:c r="X13" s="21" t="n">
        <x:v>4</x:v>
      </x:c>
      <x:c r="Y13" s="21" t="n">
        <x:v>2</x:v>
      </x:c>
      <x:c r="Z13" s="21" t="n">
        <x:v>2</x:v>
      </x:c>
      <x:c r="AA13" s="21" t="n">
        <x:v>3</x:v>
      </x:c>
      <x:c r="AB13" s="21" t="n">
        <x:v>4</x:v>
      </x:c>
      <x:c r="AC13" s="21" t="n">
        <x:v>4</x:v>
      </x:c>
      <x:c r="AD13" s="21" t="n">
        <x:v>5</x:v>
      </x:c>
      <x:c r="AE13" s="21" t="n">
        <x:v>4</x:v>
      </x:c>
      <x:c r="AF13" s="21" t="n">
        <x:v>4</x:v>
      </x:c>
      <x:c r="AG13" s="21" t="n">
        <x:v>4</x:v>
      </x:c>
      <x:c r="AH13" s="21" t="n">
        <x:v>4</x:v>
      </x:c>
      <x:c r="AI13" s="21" t="n">
        <x:v>4</x:v>
      </x:c>
      <x:c r="AJ13" s="22" t="str">
        <x:v>ดี</x:v>
      </x:c>
    </x:row>
    <x:row r="14">
      <x:c r="A14" s="27" t="n">
        <x:v>46245.55976957176</x:v>
      </x:c>
      <x:c r="B14" s="21" t="str">
        <x:v>สายสนับสนุนทั่วไป</x:v>
      </x:c>
      <x:c r="C14" s="21" t="str">
        <x:v>HR</x:v>
      </x:c>
      <x:c r="D14" s="21" t="n">
        <x:v>4</x:v>
      </x:c>
      <x:c r="E14" s="21" t="n">
        <x:v>4</x:v>
      </x:c>
      <x:c r="F14" s="21" t="n">
        <x:v>2</x:v>
      </x:c>
      <x:c r="G14" s="21" t="n">
        <x:v>4</x:v>
      </x:c>
      <x:c r="H14" s="21" t="n">
        <x:v>3</x:v>
      </x:c>
      <x:c r="I14" s="21" t="n">
        <x:v>3</x:v>
      </x:c>
      <x:c r="J14" s="21" t="n">
        <x:v>3</x:v>
      </x:c>
      <x:c r="K14" s="21" t="n">
        <x:v>4</x:v>
      </x:c>
      <x:c r="L14" s="21" t="n">
        <x:v>4</x:v>
      </x:c>
      <x:c r="M14" s="21" t="n">
        <x:v>3</x:v>
      </x:c>
      <x:c r="N14" s="21" t="n">
        <x:v>3</x:v>
      </x:c>
      <x:c r="O14" s="21" t="n">
        <x:v>4</x:v>
      </x:c>
      <x:c r="P14" s="21" t="n">
        <x:v>2</x:v>
      </x:c>
      <x:c r="Q14" s="21" t="n">
        <x:v>3</x:v>
      </x:c>
      <x:c r="R14" s="21" t="n">
        <x:v>4</x:v>
      </x:c>
      <x:c r="S14" s="21" t="n">
        <x:v>2</x:v>
      </x:c>
      <x:c r="T14" s="21" t="n">
        <x:v>4</x:v>
      </x:c>
      <x:c r="U14" s="21" t="n">
        <x:v>4</x:v>
      </x:c>
      <x:c r="V14" s="21" t="n">
        <x:v>4</x:v>
      </x:c>
      <x:c r="W14" s="21" t="n">
        <x:v>3</x:v>
      </x:c>
      <x:c r="X14" s="21" t="n">
        <x:v>4</x:v>
      </x:c>
      <x:c r="Y14" s="21" t="n">
        <x:v>4</x:v>
      </x:c>
      <x:c r="Z14" s="21" t="n">
        <x:v>3</x:v>
      </x:c>
      <x:c r="AA14" s="21" t="n">
        <x:v>3</x:v>
      </x:c>
      <x:c r="AB14" s="21" t="n">
        <x:v>3</x:v>
      </x:c>
      <x:c r="AC14" s="21" t="n">
        <x:v>4</x:v>
      </x:c>
      <x:c r="AD14" s="21" t="n">
        <x:v>4</x:v>
      </x:c>
      <x:c r="AE14" s="21" t="n">
        <x:v>4</x:v>
      </x:c>
      <x:c r="AF14" s="21" t="n">
        <x:v>2</x:v>
      </x:c>
      <x:c r="AG14" s="21" t="n">
        <x:v>1</x:v>
      </x:c>
      <x:c r="AH14" s="21" t="n">
        <x:v>2</x:v>
      </x:c>
      <x:c r="AI14" s="21" t="n">
        <x:v>4</x:v>
      </x:c>
      <x:c r="AJ14" s="22" t="str">
        <x:v>มีความปลอดภัยตามมาตรฐานโรงพยาบาล</x:v>
      </x:c>
    </x:row>
    <x:row r="15">
      <x:c r="A15" s="27" t="n">
        <x:v>46245.57661137731</x:v>
      </x:c>
      <x:c r="B15" s="21" t="str">
        <x:v>สายสนับสนุนทั่วไป</x:v>
      </x:c>
      <x:c r="C15" s="21" t="str">
        <x:v>ช่างและสนาม</x:v>
      </x:c>
      <x:c r="D15" s="21" t="n">
        <x:v>5</x:v>
      </x:c>
      <x:c r="E15" s="21" t="n">
        <x:v>4</x:v>
      </x:c>
      <x:c r="F15" s="21" t="n">
        <x:v>2</x:v>
      </x:c>
      <x:c r="G15" s="21" t="n">
        <x:v>5</x:v>
      </x:c>
      <x:c r="H15" s="21" t="n">
        <x:v>3</x:v>
      </x:c>
      <x:c r="I15" s="21" t="n">
        <x:v>1</x:v>
      </x:c>
      <x:c r="J15" s="21" t="n">
        <x:v>1</x:v>
      </x:c>
      <x:c r="K15" s="21" t="n">
        <x:v>5</x:v>
      </x:c>
      <x:c r="L15" s="21" t="n">
        <x:v>1</x:v>
      </x:c>
      <x:c r="M15" s="21" t="n">
        <x:v>4</x:v>
      </x:c>
      <x:c r="N15" s="21" t="n">
        <x:v>1</x:v>
      </x:c>
      <x:c r="O15" s="21" t="n">
        <x:v>3</x:v>
      </x:c>
      <x:c r="P15" s="21" t="n">
        <x:v>1</x:v>
      </x:c>
      <x:c r="Q15" s="21" t="n">
        <x:v>1</x:v>
      </x:c>
      <x:c r="R15" s="21" t="n">
        <x:v>4</x:v>
      </x:c>
      <x:c r="S15" s="21" t="n">
        <x:v>1</x:v>
      </x:c>
      <x:c r="T15" s="21" t="n">
        <x:v>4</x:v>
      </x:c>
      <x:c r="U15" s="21" t="n">
        <x:v>4</x:v>
      </x:c>
      <x:c r="V15" s="21" t="n">
        <x:v>5</x:v>
      </x:c>
      <x:c r="W15" s="21" t="n">
        <x:v>3</x:v>
      </x:c>
      <x:c r="X15" s="21" t="n">
        <x:v>5</x:v>
      </x:c>
      <x:c r="Y15" s="21" t="n">
        <x:v>4</x:v>
      </x:c>
      <x:c r="Z15" s="21" t="n">
        <x:v>3</x:v>
      </x:c>
      <x:c r="AA15" s="21" t="n">
        <x:v>3</x:v>
      </x:c>
      <x:c r="AB15" s="21" t="n">
        <x:v>3</x:v>
      </x:c>
      <x:c r="AC15" s="21" t="n">
        <x:v>3</x:v>
      </x:c>
      <x:c r="AD15" s="21" t="n">
        <x:v>4</x:v>
      </x:c>
      <x:c r="AE15" s="21" t="n">
        <x:v>4</x:v>
      </x:c>
      <x:c r="AF15" s="21" t="n">
        <x:v>2</x:v>
      </x:c>
      <x:c r="AG15" s="21" t="n">
        <x:v>2</x:v>
      </x:c>
      <x:c r="AH15" s="21" t="n">
        <x:v>1</x:v>
      </x:c>
      <x:c r="AI15" s="21" t="n">
        <x:v>4</x:v>
      </x:c>
      <x:c r="AJ15" s="22" t="str">
        <x:v>ช่วยกันสอดส่องดูแลและ สังเกตุสิ่งผิดปกติในโรงพยาบาล ที่จะก่อให้เกิดอันตรายต่อพนักงานและผู้รับบริการ</x:v>
      </x:c>
    </x:row>
    <x:row r="16">
      <x:c r="A16" s="27" t="n">
        <x:v>46245.57817396991</x:v>
      </x:c>
      <x:c r="B16" s="21" t="str">
        <x:v>สายสนับสนุนทั่วไป</x:v>
      </x:c>
      <x:c r="C16" s="21" t="str">
        <x:v>เคหรักษ์</x:v>
      </x:c>
      <x:c r="D16" s="21" t="n">
        <x:v>3</x:v>
      </x:c>
      <x:c r="E16" s="21" t="n">
        <x:v>2</x:v>
      </x:c>
      <x:c r="F16" s="21" t="n">
        <x:v>3</x:v>
      </x:c>
      <x:c r="G16" s="21" t="n">
        <x:v>3</x:v>
      </x:c>
      <x:c r="H16" s="21" t="n">
        <x:v>3</x:v>
      </x:c>
      <x:c r="I16" s="21" t="n">
        <x:v>3</x:v>
      </x:c>
      <x:c r="J16" s="21" t="n">
        <x:v>3</x:v>
      </x:c>
      <x:c r="K16" s="21" t="n">
        <x:v>3</x:v>
      </x:c>
      <x:c r="L16" s="21" t="n">
        <x:v>3</x:v>
      </x:c>
      <x:c r="M16" s="21" t="n">
        <x:v>3</x:v>
      </x:c>
      <x:c r="N16" s="21" t="n">
        <x:v>3</x:v>
      </x:c>
      <x:c r="O16" s="21" t="n">
        <x:v>2</x:v>
      </x:c>
      <x:c r="P16" s="21" t="n">
        <x:v>3</x:v>
      </x:c>
      <x:c r="Q16" s="21" t="n">
        <x:v>3</x:v>
      </x:c>
      <x:c r="R16" s="21" t="n">
        <x:v>3</x:v>
      </x:c>
      <x:c r="S16" s="21" t="n">
        <x:v>3</x:v>
      </x:c>
      <x:c r="T16" s="21" t="n">
        <x:v>3</x:v>
      </x:c>
      <x:c r="U16" s="21" t="n">
        <x:v>3</x:v>
      </x:c>
      <x:c r="V16" s="21" t="n">
        <x:v>3</x:v>
      </x:c>
      <x:c r="W16" s="21" t="n">
        <x:v>3</x:v>
      </x:c>
      <x:c r="X16" s="21" t="n">
        <x:v>3</x:v>
      </x:c>
      <x:c r="Y16" s="21" t="n">
        <x:v>3</x:v>
      </x:c>
      <x:c r="Z16" s="21" t="n">
        <x:v>3</x:v>
      </x:c>
      <x:c r="AA16" s="21" t="n">
        <x:v>3</x:v>
      </x:c>
      <x:c r="AB16" s="21" t="n">
        <x:v>3</x:v>
      </x:c>
      <x:c r="AC16" s="21" t="n">
        <x:v>3</x:v>
      </x:c>
      <x:c r="AD16" s="21" t="n">
        <x:v>3</x:v>
      </x:c>
      <x:c r="AE16" s="21" t="n">
        <x:v>3</x:v>
      </x:c>
      <x:c r="AF16" s="21" t="n">
        <x:v>3</x:v>
      </x:c>
      <x:c r="AG16" s="21" t="n">
        <x:v>3</x:v>
      </x:c>
      <x:c r="AH16" s="21" t="n">
        <x:v>3</x:v>
      </x:c>
      <x:c r="AI16" s="21" t="n">
        <x:v>3</x:v>
      </x:c>
      <x:c r="AJ16" s="22" t="str">
        <x:v>ช่วยกันดูแลความปบอดภัย</x:v>
      </x:c>
    </x:row>
    <x:row r="17">
      <x:c r="A17" s="27" t="n">
        <x:v>46245.58040332176</x:v>
      </x:c>
      <x:c r="B17" s="21" t="str">
        <x:v>สายสนับสนุนทั่วไป</x:v>
      </x:c>
      <x:c r="C17" s="21" t="str">
        <x:v>เคหรักษ์</x:v>
      </x:c>
      <x:c r="D17" s="21" t="n">
        <x:v>3</x:v>
      </x:c>
      <x:c r="E17" s="21" t="n">
        <x:v>3</x:v>
      </x:c>
      <x:c r="F17" s="21" t="n">
        <x:v>3</x:v>
      </x:c>
      <x:c r="G17" s="21" t="n">
        <x:v>3</x:v>
      </x:c>
      <x:c r="H17" s="21" t="n">
        <x:v>3</x:v>
      </x:c>
      <x:c r="I17" s="21" t="n">
        <x:v>3</x:v>
      </x:c>
      <x:c r="J17" s="21" t="n">
        <x:v>4</x:v>
      </x:c>
      <x:c r="K17" s="21" t="n">
        <x:v>3</x:v>
      </x:c>
      <x:c r="L17" s="21" t="n">
        <x:v>4</x:v>
      </x:c>
      <x:c r="M17" s="21" t="n">
        <x:v>3</x:v>
      </x:c>
      <x:c r="N17" s="21" t="n">
        <x:v>3</x:v>
      </x:c>
      <x:c r="O17" s="21" t="n">
        <x:v>3</x:v>
      </x:c>
      <x:c r="P17" s="21" t="n">
        <x:v>4</x:v>
      </x:c>
      <x:c r="Q17" s="21" t="n">
        <x:v>4</x:v>
      </x:c>
      <x:c r="R17" s="21" t="n">
        <x:v>4</x:v>
      </x:c>
      <x:c r="S17" s="21" t="n">
        <x:v>3</x:v>
      </x:c>
      <x:c r="T17" s="21" t="n">
        <x:v>3</x:v>
      </x:c>
      <x:c r="U17" s="21" t="n">
        <x:v>4</x:v>
      </x:c>
      <x:c r="V17" s="21" t="n">
        <x:v>4</x:v>
      </x:c>
      <x:c r="W17" s="21" t="n">
        <x:v>4</x:v>
      </x:c>
      <x:c r="X17" s="21" t="n">
        <x:v>5</x:v>
      </x:c>
      <x:c r="Y17" s="21" t="n">
        <x:v>3</x:v>
      </x:c>
      <x:c r="Z17" s="21" t="n">
        <x:v>4</x:v>
      </x:c>
      <x:c r="AA17" s="21" t="n">
        <x:v>5</x:v>
      </x:c>
      <x:c r="AB17" s="21" t="n">
        <x:v>4</x:v>
      </x:c>
      <x:c r="AC17" s="21" t="n">
        <x:v>4</x:v>
      </x:c>
      <x:c r="AD17" s="21" t="n">
        <x:v>4</x:v>
      </x:c>
      <x:c r="AE17" s="21" t="n">
        <x:v>4</x:v>
      </x:c>
      <x:c r="AF17" s="21" t="n">
        <x:v>3</x:v>
      </x:c>
      <x:c r="AG17" s="21" t="n">
        <x:v>1</x:v>
      </x:c>
      <x:c r="AH17" s="21" t="n">
        <x:v>5</x:v>
      </x:c>
      <x:c r="AI17" s="21" t="n">
        <x:v>5</x:v>
      </x:c>
      <x:c r="AJ17" s="22" t="str">
        <x:v>ดูแลความปลอดภัยให้มากยิ่งขึ้น</x:v>
      </x:c>
    </x:row>
    <x:row r="18">
      <x:c r="A18" s="27" t="n">
        <x:v>46245.58280024306</x:v>
      </x:c>
      <x:c r="B18" s="21" t="str">
        <x:v>สายสนับสนุนทั่วไป</x:v>
      </x:c>
      <x:c r="C18" s="21" t="str">
        <x:v>สื่อสารการตลาด</x:v>
      </x:c>
      <x:c r="D18" s="21" t="n">
        <x:v>3</x:v>
      </x:c>
      <x:c r="E18" s="21" t="n">
        <x:v>2</x:v>
      </x:c>
      <x:c r="F18" s="21" t="n">
        <x:v>2</x:v>
      </x:c>
      <x:c r="G18" s="21" t="n">
        <x:v>3</x:v>
      </x:c>
      <x:c r="H18" s="21" t="n">
        <x:v>3</x:v>
      </x:c>
      <x:c r="I18" s="21" t="n">
        <x:v>3</x:v>
      </x:c>
      <x:c r="J18" s="21" t="n">
        <x:v>2</x:v>
      </x:c>
      <x:c r="K18" s="21" t="n">
        <x:v>4</x:v>
      </x:c>
      <x:c r="L18" s="21" t="n">
        <x:v>2</x:v>
      </x:c>
      <x:c r="M18" s="21" t="n">
        <x:v>2</x:v>
      </x:c>
      <x:c r="N18" s="21" t="n">
        <x:v>2</x:v>
      </x:c>
      <x:c r="O18" s="21" t="n">
        <x:v>4</x:v>
      </x:c>
      <x:c r="P18" s="21" t="n">
        <x:v>2</x:v>
      </x:c>
      <x:c r="Q18" s="21" t="n">
        <x:v>3</x:v>
      </x:c>
      <x:c r="R18" s="21" t="n">
        <x:v>3</x:v>
      </x:c>
      <x:c r="S18" s="21" t="n">
        <x:v>3</x:v>
      </x:c>
      <x:c r="T18" s="21" t="n">
        <x:v>4</x:v>
      </x:c>
      <x:c r="U18" s="21" t="n">
        <x:v>3</x:v>
      </x:c>
      <x:c r="V18" s="21" t="n">
        <x:v>4</x:v>
      </x:c>
      <x:c r="W18" s="21" t="n">
        <x:v>4</x:v>
      </x:c>
      <x:c r="X18" s="21" t="n">
        <x:v>4</x:v>
      </x:c>
      <x:c r="Y18" s="21" t="n">
        <x:v>2</x:v>
      </x:c>
      <x:c r="Z18" s="21" t="n">
        <x:v>3</x:v>
      </x:c>
      <x:c r="AA18" s="21" t="n">
        <x:v>3</x:v>
      </x:c>
      <x:c r="AB18" s="21" t="n">
        <x:v>2</x:v>
      </x:c>
      <x:c r="AC18" s="21" t="n">
        <x:v>2</x:v>
      </x:c>
      <x:c r="AD18" s="21" t="n">
        <x:v>5</x:v>
      </x:c>
      <x:c r="AE18" s="21" t="n">
        <x:v>4</x:v>
      </x:c>
      <x:c r="AF18" s="21" t="n">
        <x:v>3</x:v>
      </x:c>
      <x:c r="AG18" s="21" t="n">
        <x:v>1</x:v>
      </x:c>
      <x:c r="AH18" s="21" t="n">
        <x:v>1</x:v>
      </x:c>
      <x:c r="AI18" s="21" t="n">
        <x:v>4</x:v>
      </x:c>
      <x:c r="AJ18" s="22" t="str">
        <x:v>-</x:v>
      </x:c>
    </x:row>
    <x:row r="19">
      <x:c r="A19" s="27" t="n">
        <x:v>46245.62035243056</x:v>
      </x:c>
      <x:c r="B19" s="21" t="str">
        <x:v>สายสนับสนุนทั่วไป</x:v>
      </x:c>
      <x:c r="C19" s="21" t="str">
        <x:v>ช่างและสนาม</x:v>
      </x:c>
      <x:c r="D19" s="21" t="n">
        <x:v>3</x:v>
      </x:c>
      <x:c r="E19" s="21" t="n">
        <x:v>4</x:v>
      </x:c>
      <x:c r="F19" s="21" t="n">
        <x:v>4</x:v>
      </x:c>
      <x:c r="G19" s="21" t="n">
        <x:v>4</x:v>
      </x:c>
      <x:c r="H19" s="21" t="n">
        <x:v>3</x:v>
      </x:c>
      <x:c r="I19" s="21" t="n">
        <x:v>3</x:v>
      </x:c>
      <x:c r="J19" s="21" t="n">
        <x:v>3</x:v>
      </x:c>
      <x:c r="K19" s="21" t="n">
        <x:v>4</x:v>
      </x:c>
      <x:c r="L19" s="21" t="n">
        <x:v>3</x:v>
      </x:c>
      <x:c r="M19" s="21" t="n">
        <x:v>4</x:v>
      </x:c>
      <x:c r="N19" s="21" t="n">
        <x:v>3</x:v>
      </x:c>
      <x:c r="O19" s="21" t="n">
        <x:v>3</x:v>
      </x:c>
      <x:c r="P19" s="21" t="n">
        <x:v>3</x:v>
      </x:c>
      <x:c r="Q19" s="21" t="n">
        <x:v>4</x:v>
      </x:c>
      <x:c r="R19" s="21" t="n">
        <x:v>3</x:v>
      </x:c>
      <x:c r="S19" s="21" t="n">
        <x:v>3</x:v>
      </x:c>
      <x:c r="T19" s="21" t="n">
        <x:v>4</x:v>
      </x:c>
      <x:c r="U19" s="21" t="n">
        <x:v>3</x:v>
      </x:c>
      <x:c r="V19" s="21" t="n">
        <x:v>3</x:v>
      </x:c>
      <x:c r="W19" s="21" t="n">
        <x:v>3</x:v>
      </x:c>
      <x:c r="X19" s="21" t="n">
        <x:v>3</x:v>
      </x:c>
      <x:c r="Y19" s="21" t="n">
        <x:v>3</x:v>
      </x:c>
      <x:c r="Z19" s="21" t="n">
        <x:v>4</x:v>
      </x:c>
      <x:c r="AA19" s="21" t="n">
        <x:v>3</x:v>
      </x:c>
      <x:c r="AB19" s="21" t="n">
        <x:v>3</x:v>
      </x:c>
      <x:c r="AC19" s="21" t="n">
        <x:v>3</x:v>
      </x:c>
      <x:c r="AD19" s="21" t="n">
        <x:v>3</x:v>
      </x:c>
      <x:c r="AE19" s="21" t="n">
        <x:v>3</x:v>
      </x:c>
      <x:c r="AF19" s="21" t="n">
        <x:v>3</x:v>
      </x:c>
      <x:c r="AG19" s="21" t="n">
        <x:v>4</x:v>
      </x:c>
      <x:c r="AH19" s="21" t="n">
        <x:v>3</x:v>
      </x:c>
      <x:c r="AI19" s="21" t="n">
        <x:v>3</x:v>
      </x:c>
      <x:c r="AJ19" s="22" t="str">
        <x:v>ดีมาก</x:v>
      </x:c>
    </x:row>
    <x:row r="20">
      <x:c r="A20" s="27" t="n">
        <x:v>46245.62520336805</x:v>
      </x:c>
      <x:c r="B20" s="21" t="str">
        <x:v>สายวิชาชีพสาธารณสุข</x:v>
      </x:c>
      <x:c r="C20" s="21" t="str">
        <x:v>OR</x:v>
      </x:c>
      <x:c r="D20" s="21" t="n">
        <x:v>4</x:v>
      </x:c>
      <x:c r="E20" s="21" t="n">
        <x:v>2</x:v>
      </x:c>
      <x:c r="F20" s="21" t="n">
        <x:v>4</x:v>
      </x:c>
      <x:c r="G20" s="21" t="n">
        <x:v>3</x:v>
      </x:c>
      <x:c r="H20" s="21" t="n">
        <x:v>4</x:v>
      </x:c>
      <x:c r="I20" s="21" t="n">
        <x:v>3</x:v>
      </x:c>
      <x:c r="J20" s="21" t="n">
        <x:v>3</x:v>
      </x:c>
      <x:c r="K20" s="21" t="n">
        <x:v>3</x:v>
      </x:c>
      <x:c r="L20" s="21" t="n">
        <x:v>4</x:v>
      </x:c>
      <x:c r="M20" s="21" t="n">
        <x:v>3</x:v>
      </x:c>
      <x:c r="N20" s="21" t="n">
        <x:v>4</x:v>
      </x:c>
      <x:c r="O20" s="21" t="n">
        <x:v>4</x:v>
      </x:c>
      <x:c r="P20" s="21" t="n">
        <x:v>3</x:v>
      </x:c>
      <x:c r="Q20" s="21" t="n">
        <x:v>2</x:v>
      </x:c>
      <x:c r="R20" s="21" t="n">
        <x:v>3</x:v>
      </x:c>
      <x:c r="S20" s="21" t="n">
        <x:v>3</x:v>
      </x:c>
      <x:c r="T20" s="21" t="n">
        <x:v>4</x:v>
      </x:c>
      <x:c r="U20" s="21" t="n">
        <x:v>4</x:v>
      </x:c>
      <x:c r="V20" s="21" t="n">
        <x:v>4</x:v>
      </x:c>
      <x:c r="W20" s="21" t="n">
        <x:v>4</x:v>
      </x:c>
      <x:c r="X20" s="21" t="n">
        <x:v>3</x:v>
      </x:c>
      <x:c r="Y20" s="21" t="n">
        <x:v>3</x:v>
      </x:c>
      <x:c r="Z20" s="21" t="n">
        <x:v>3</x:v>
      </x:c>
      <x:c r="AA20" s="21" t="n">
        <x:v>3</x:v>
      </x:c>
      <x:c r="AB20" s="21" t="n">
        <x:v>4</x:v>
      </x:c>
      <x:c r="AC20" s="21" t="n">
        <x:v>4</x:v>
      </x:c>
      <x:c r="AD20" s="21" t="n">
        <x:v>4</x:v>
      </x:c>
      <x:c r="AE20" s="21" t="n">
        <x:v>3</x:v>
      </x:c>
      <x:c r="AF20" s="21" t="n">
        <x:v>3</x:v>
      </x:c>
      <x:c r="AG20" s="21" t="n">
        <x:v>3</x:v>
      </x:c>
      <x:c r="AH20" s="21" t="n">
        <x:v>2</x:v>
      </x:c>
      <x:c r="AI20" s="21" t="n">
        <x:v>3</x:v>
      </x:c>
      <x:c r="AJ20" s="22" t="str">
        <x:v>…</x:v>
      </x:c>
    </x:row>
    <x:row r="21">
      <x:c r="A21" s="27" t="n">
        <x:v>46245.625968645836</x:v>
      </x:c>
      <x:c r="B21" s="21" t="str">
        <x:v>สายสนับสนุนทั่วไป</x:v>
      </x:c>
      <x:c r="C21" s="21" t="str">
        <x:v>ช่างและสนาม</x:v>
      </x:c>
      <x:c r="D21" s="21" t="n">
        <x:v>4</x:v>
      </x:c>
      <x:c r="E21" s="21" t="n">
        <x:v>4</x:v>
      </x:c>
      <x:c r="F21" s="21" t="n">
        <x:v>2</x:v>
      </x:c>
      <x:c r="G21" s="21" t="n">
        <x:v>4</x:v>
      </x:c>
      <x:c r="H21" s="21" t="n">
        <x:v>3</x:v>
      </x:c>
      <x:c r="I21" s="21" t="n">
        <x:v>3</x:v>
      </x:c>
      <x:c r="J21" s="21" t="n">
        <x:v>2</x:v>
      </x:c>
      <x:c r="K21" s="21" t="n">
        <x:v>4</x:v>
      </x:c>
      <x:c r="L21" s="21" t="n">
        <x:v>1</x:v>
      </x:c>
      <x:c r="M21" s="21" t="n">
        <x:v>4</x:v>
      </x:c>
      <x:c r="N21" s="21" t="n">
        <x:v>4</x:v>
      </x:c>
      <x:c r="O21" s="21" t="n">
        <x:v>4</x:v>
      </x:c>
      <x:c r="P21" s="21" t="n">
        <x:v>1</x:v>
      </x:c>
      <x:c r="Q21" s="21" t="n">
        <x:v>2</x:v>
      </x:c>
      <x:c r="R21" s="21" t="n">
        <x:v>4</x:v>
      </x:c>
      <x:c r="S21" s="21" t="n">
        <x:v>2</x:v>
      </x:c>
      <x:c r="T21" s="21" t="n">
        <x:v>4</x:v>
      </x:c>
      <x:c r="U21" s="21" t="n">
        <x:v>2</x:v>
      </x:c>
      <x:c r="V21" s="21" t="n">
        <x:v>5</x:v>
      </x:c>
      <x:c r="W21" s="21" t="n">
        <x:v>4</x:v>
      </x:c>
      <x:c r="X21" s="21" t="n">
        <x:v>5</x:v>
      </x:c>
      <x:c r="Y21" s="21" t="n">
        <x:v>5</x:v>
      </x:c>
      <x:c r="Z21" s="21" t="n">
        <x:v>5</x:v>
      </x:c>
      <x:c r="AA21" s="21" t="n">
        <x:v>2</x:v>
      </x:c>
      <x:c r="AB21" s="21" t="n">
        <x:v>2</x:v>
      </x:c>
      <x:c r="AC21" s="21" t="n">
        <x:v>2</x:v>
      </x:c>
      <x:c r="AD21" s="21" t="n">
        <x:v>5</x:v>
      </x:c>
      <x:c r="AE21" s="21" t="n">
        <x:v>4</x:v>
      </x:c>
      <x:c r="AF21" s="21" t="n">
        <x:v>2</x:v>
      </x:c>
      <x:c r="AG21" s="21" t="n">
        <x:v>1</x:v>
      </x:c>
      <x:c r="AH21" s="21" t="n">
        <x:v>1</x:v>
      </x:c>
      <x:c r="AI21" s="21" t="n">
        <x:v>4</x:v>
      </x:c>
      <x:c r="AJ21" s="22" t="str">
        <x:v>ปลอดภัยดี</x:v>
      </x:c>
    </x:row>
    <x:row r="22">
      <x:c r="A22" s="27" t="n">
        <x:v>46245.64591949074</x:v>
      </x:c>
      <x:c r="B22" s="21" t="str">
        <x:v>สายสนับสนุนทั่วไป</x:v>
      </x:c>
      <x:c r="C22" s="21" t="str">
        <x:v>ERและเปล</x:v>
      </x:c>
      <x:c r="D22" s="21" t="n">
        <x:v>3</x:v>
      </x:c>
      <x:c r="E22" s="21" t="n">
        <x:v>1</x:v>
      </x:c>
      <x:c r="F22" s="21" t="n">
        <x:v>3</x:v>
      </x:c>
      <x:c r="G22" s="21" t="n">
        <x:v>4</x:v>
      </x:c>
      <x:c r="H22" s="21" t="n">
        <x:v>2</x:v>
      </x:c>
      <x:c r="I22" s="21" t="n">
        <x:v>3</x:v>
      </x:c>
      <x:c r="J22" s="21" t="n">
        <x:v>4</x:v>
      </x:c>
      <x:c r="K22" s="21" t="n">
        <x:v>4</x:v>
      </x:c>
      <x:c r="L22" s="21" t="n">
        <x:v>3</x:v>
      </x:c>
      <x:c r="M22" s="21" t="n">
        <x:v>3</x:v>
      </x:c>
      <x:c r="N22" s="21" t="n">
        <x:v>2</x:v>
      </x:c>
      <x:c r="O22" s="21" t="n">
        <x:v>3</x:v>
      </x:c>
      <x:c r="P22" s="21" t="n">
        <x:v>2</x:v>
      </x:c>
      <x:c r="Q22" s="21" t="n">
        <x:v>2</x:v>
      </x:c>
      <x:c r="R22" s="21" t="n">
        <x:v>3</x:v>
      </x:c>
      <x:c r="S22" s="21" t="n">
        <x:v>3</x:v>
      </x:c>
      <x:c r="T22" s="21" t="n">
        <x:v>3</x:v>
      </x:c>
      <x:c r="U22" s="21" t="n">
        <x:v>3</x:v>
      </x:c>
      <x:c r="V22" s="21" t="n">
        <x:v>2</x:v>
      </x:c>
      <x:c r="W22" s="21" t="n">
        <x:v>2</x:v>
      </x:c>
      <x:c r="X22" s="21" t="n">
        <x:v>3</x:v>
      </x:c>
      <x:c r="Y22" s="21" t="n">
        <x:v>1</x:v>
      </x:c>
      <x:c r="Z22" s="21" t="n">
        <x:v>1</x:v>
      </x:c>
      <x:c r="AA22" s="21" t="n">
        <x:v>3</x:v>
      </x:c>
      <x:c r="AB22" s="21" t="n">
        <x:v>1</x:v>
      </x:c>
      <x:c r="AC22" s="21" t="n">
        <x:v>2</x:v>
      </x:c>
      <x:c r="AD22" s="21" t="n">
        <x:v>2</x:v>
      </x:c>
      <x:c r="AE22" s="21" t="n">
        <x:v>1</x:v>
      </x:c>
      <x:c r="AF22" s="21" t="n">
        <x:v>3</x:v>
      </x:c>
      <x:c r="AG22" s="21" t="n">
        <x:v>2</x:v>
      </x:c>
      <x:c r="AH22" s="21" t="n">
        <x:v>3</x:v>
      </x:c>
      <x:c r="AI22" s="21" t="n">
        <x:v>2</x:v>
      </x:c>
      <x:c r="AJ22" s="22" t="str">
        <x:v>ควรมี เจ้าหน้าที่รักษาความปลอดภัย(รปภ.)</x:v>
      </x:c>
    </x:row>
    <x:row r="23">
      <x:c r="A23" s="27" t="n">
        <x:v>46245.64744086805</x:v>
      </x:c>
      <x:c r="B23" s="21" t="str">
        <x:v>สายสนับสนุนทางการแพทย์</x:v>
      </x:c>
      <x:c r="C23" s="21" t="str">
        <x:v>โภชนาการ</x:v>
      </x:c>
      <x:c r="D23" s="21" t="n">
        <x:v>5</x:v>
      </x:c>
      <x:c r="E23" s="21" t="n">
        <x:v>2</x:v>
      </x:c>
      <x:c r="F23" s="21" t="n">
        <x:v>1</x:v>
      </x:c>
      <x:c r="G23" s="21" t="n">
        <x:v>5</x:v>
      </x:c>
      <x:c r="H23" s="21" t="n">
        <x:v>1</x:v>
      </x:c>
      <x:c r="I23" s="21" t="n">
        <x:v>1</x:v>
      </x:c>
      <x:c r="J23" s="21" t="n">
        <x:v>1</x:v>
      </x:c>
      <x:c r="K23" s="21" t="n">
        <x:v>5</x:v>
      </x:c>
      <x:c r="L23" s="21" t="n">
        <x:v>1</x:v>
      </x:c>
      <x:c r="M23" s="21" t="n">
        <x:v>5</x:v>
      </x:c>
      <x:c r="N23" s="21" t="n">
        <x:v>2</x:v>
      </x:c>
      <x:c r="O23" s="21" t="n">
        <x:v>3</x:v>
      </x:c>
      <x:c r="P23" s="21" t="n">
        <x:v>1</x:v>
      </x:c>
      <x:c r="Q23" s="21" t="n">
        <x:v>1</x:v>
      </x:c>
      <x:c r="R23" s="21" t="n">
        <x:v>5</x:v>
      </x:c>
      <x:c r="S23" s="21" t="n">
        <x:v>1</x:v>
      </x:c>
      <x:c r="T23" s="21" t="n">
        <x:v>5</x:v>
      </x:c>
      <x:c r="U23" s="21" t="n">
        <x:v>5</x:v>
      </x:c>
      <x:c r="V23" s="21" t="n">
        <x:v>5</x:v>
      </x:c>
      <x:c r="W23" s="21" t="n">
        <x:v>5</x:v>
      </x:c>
      <x:c r="X23" s="21" t="n">
        <x:v>5</x:v>
      </x:c>
      <x:c r="Y23" s="21" t="n">
        <x:v>3</x:v>
      </x:c>
      <x:c r="Z23" s="21" t="n">
        <x:v>5</x:v>
      </x:c>
      <x:c r="AA23" s="21" t="n">
        <x:v>1</x:v>
      </x:c>
      <x:c r="AB23" s="21" t="n">
        <x:v>5</x:v>
      </x:c>
      <x:c r="AC23" s="21" t="n">
        <x:v>5</x:v>
      </x:c>
      <x:c r="AD23" s="21" t="n">
        <x:v>5</x:v>
      </x:c>
      <x:c r="AE23" s="21" t="n">
        <x:v>4</x:v>
      </x:c>
      <x:c r="AF23" s="21" t="n">
        <x:v>1</x:v>
      </x:c>
      <x:c r="AG23" s="21" t="n">
        <x:v>1</x:v>
      </x:c>
      <x:c r="AH23" s="21" t="n">
        <x:v>1</x:v>
      </x:c>
      <x:c r="AI23" s="21" t="n">
        <x:v>5</x:v>
      </x:c>
      <x:c r="AJ23" s="22" t="str">
        <x:v>มีการรักษาความปลอดภัยแลัแนวทางปฎิบัติเมื่อเกิดอุบีติการได้ดีเป็นระบบ</x:v>
      </x:c>
    </x:row>
    <x:row r="24">
      <x:c r="A24" s="27" t="n">
        <x:v>46245.686745914354</x:v>
      </x:c>
      <x:c r="B24" s="21" t="str">
        <x:v>สายวิชาชีพสาธารณสุข</x:v>
      </x:c>
      <x:c r="C24" s="21" t="str">
        <x:v>IPD</x:v>
      </x:c>
      <x:c r="D24" s="21" t="n">
        <x:v>5</x:v>
      </x:c>
      <x:c r="E24" s="21" t="n">
        <x:v>3</x:v>
      </x:c>
      <x:c r="F24" s="21" t="n">
        <x:v>4</x:v>
      </x:c>
      <x:c r="G24" s="21" t="n">
        <x:v>5</x:v>
      </x:c>
      <x:c r="H24" s="21" t="n">
        <x:v>4</x:v>
      </x:c>
      <x:c r="I24" s="21" t="n">
        <x:v>1</x:v>
      </x:c>
      <x:c r="J24" s="21" t="n">
        <x:v>2</x:v>
      </x:c>
      <x:c r="K24" s="21" t="n">
        <x:v>5</x:v>
      </x:c>
      <x:c r="L24" s="21" t="n">
        <x:v>1</x:v>
      </x:c>
      <x:c r="M24" s="21" t="n">
        <x:v>5</x:v>
      </x:c>
      <x:c r="N24" s="21" t="n">
        <x:v>1</x:v>
      </x:c>
      <x:c r="O24" s="21" t="n">
        <x:v>5</x:v>
      </x:c>
      <x:c r="P24" s="21" t="n">
        <x:v>1</x:v>
      </x:c>
      <x:c r="Q24" s="21" t="n">
        <x:v>1</x:v>
      </x:c>
      <x:c r="R24" s="21" t="n">
        <x:v>5</x:v>
      </x:c>
      <x:c r="S24" s="21" t="n">
        <x:v>1</x:v>
      </x:c>
      <x:c r="T24" s="21" t="n">
        <x:v>5</x:v>
      </x:c>
      <x:c r="U24" s="21" t="n">
        <x:v>3</x:v>
      </x:c>
      <x:c r="V24" s="21" t="n">
        <x:v>5</x:v>
      </x:c>
      <x:c r="W24" s="21" t="n">
        <x:v>5</x:v>
      </x:c>
      <x:c r="X24" s="21" t="n">
        <x:v>5</x:v>
      </x:c>
      <x:c r="Y24" s="21" t="n">
        <x:v>4</x:v>
      </x:c>
      <x:c r="Z24" s="21" t="n">
        <x:v>5</x:v>
      </x:c>
      <x:c r="AA24" s="21" t="n">
        <x:v>2</x:v>
      </x:c>
      <x:c r="AB24" s="21" t="n">
        <x:v>1</x:v>
      </x:c>
      <x:c r="AC24" s="21" t="n">
        <x:v>1</x:v>
      </x:c>
      <x:c r="AD24" s="21" t="n">
        <x:v>5</x:v>
      </x:c>
      <x:c r="AE24" s="21" t="n">
        <x:v>5</x:v>
      </x:c>
      <x:c r="AF24" s="21" t="n">
        <x:v>5</x:v>
      </x:c>
      <x:c r="AG24" s="21" t="n">
        <x:v>1</x:v>
      </x:c>
      <x:c r="AH24" s="21" t="n">
        <x:v>1</x:v>
      </x:c>
      <x:c r="AI24" s="21" t="n">
        <x:v>5</x:v>
      </x:c>
      <x:c r="AJ24" s="22" t="str">
        <x:v>โรงพยาบาลให้การบริการผู้ป่วยด้วยความปลอดภัยเสมอค่ะ</x:v>
      </x:c>
    </x:row>
    <x:row r="25">
      <x:c r="A25" s="27" t="n">
        <x:v>46245.69452546297</x:v>
      </x:c>
      <x:c r="B25" s="21" t="str">
        <x:v>สายสนับสนุนทั่วไป</x:v>
      </x:c>
      <x:c r="C25" s="21" t="str">
        <x:v>ช่างและสนาม</x:v>
      </x:c>
      <x:c r="D25" s="21" t="n">
        <x:v>2</x:v>
      </x:c>
      <x:c r="E25" s="21" t="n">
        <x:v>2</x:v>
      </x:c>
      <x:c r="F25" s="21" t="n">
        <x:v>2</x:v>
      </x:c>
      <x:c r="G25" s="21" t="n">
        <x:v>2</x:v>
      </x:c>
      <x:c r="H25" s="21" t="n">
        <x:v>2</x:v>
      </x:c>
      <x:c r="I25" s="21" t="n">
        <x:v>4</x:v>
      </x:c>
      <x:c r="J25" s="21" t="n">
        <x:v>4</x:v>
      </x:c>
      <x:c r="K25" s="21" t="n">
        <x:v>2</x:v>
      </x:c>
      <x:c r="L25" s="21" t="n">
        <x:v>4</x:v>
      </x:c>
      <x:c r="M25" s="21" t="n">
        <x:v>2</x:v>
      </x:c>
      <x:c r="N25" s="21" t="n">
        <x:v>2</x:v>
      </x:c>
      <x:c r="O25" s="21" t="n">
        <x:v>4</x:v>
      </x:c>
      <x:c r="P25" s="21" t="n">
        <x:v>4</x:v>
      </x:c>
      <x:c r="Q25" s="21" t="n">
        <x:v>2</x:v>
      </x:c>
      <x:c r="R25" s="21" t="n">
        <x:v>4</x:v>
      </x:c>
      <x:c r="S25" s="21" t="n">
        <x:v>3</x:v>
      </x:c>
      <x:c r="T25" s="21" t="n">
        <x:v>3</x:v>
      </x:c>
      <x:c r="U25" s="21" t="n">
        <x:v>2</x:v>
      </x:c>
      <x:c r="V25" s="21" t="n">
        <x:v>2</x:v>
      </x:c>
      <x:c r="W25" s="21" t="n">
        <x:v>2</x:v>
      </x:c>
      <x:c r="X25" s="21" t="n">
        <x:v>3</x:v>
      </x:c>
      <x:c r="Y25" s="21" t="n">
        <x:v>2</x:v>
      </x:c>
      <x:c r="Z25" s="21" t="n">
        <x:v>2</x:v>
      </x:c>
      <x:c r="AA25" s="21" t="n">
        <x:v>2</x:v>
      </x:c>
      <x:c r="AB25" s="21" t="n">
        <x:v>2</x:v>
      </x:c>
      <x:c r="AC25" s="21" t="n">
        <x:v>2</x:v>
      </x:c>
      <x:c r="AD25" s="21" t="n">
        <x:v>3</x:v>
      </x:c>
      <x:c r="AE25" s="21" t="n">
        <x:v>3</x:v>
      </x:c>
      <x:c r="AF25" s="21" t="n">
        <x:v>2</x:v>
      </x:c>
      <x:c r="AG25" s="21" t="n">
        <x:v>2</x:v>
      </x:c>
      <x:c r="AH25" s="21" t="n">
        <x:v>3</x:v>
      </x:c>
      <x:c r="AI25" s="21" t="n">
        <x:v>3</x:v>
      </x:c>
      <x:c r="AJ25" s="22" t="str">
        <x:v>ควร รปภ</x:v>
      </x:c>
    </x:row>
    <x:row r="26">
      <x:c r="A26" s="27" t="n">
        <x:v>46245.69521273148</x:v>
      </x:c>
      <x:c r="B26" s="21" t="str">
        <x:v>สายสนับสนุนทางการแพทย์</x:v>
      </x:c>
      <x:c r="C26" s="21" t="str">
        <x:v>IPD</x:v>
      </x:c>
      <x:c r="D26" s="21" t="n">
        <x:v>3</x:v>
      </x:c>
      <x:c r="E26" s="21" t="n">
        <x:v>2</x:v>
      </x:c>
      <x:c r="F26" s="21" t="n">
        <x:v>3</x:v>
      </x:c>
      <x:c r="G26" s="21" t="n">
        <x:v>1</x:v>
      </x:c>
      <x:c r="H26" s="21" t="n">
        <x:v>5</x:v>
      </x:c>
      <x:c r="I26" s="21" t="n">
        <x:v>5</x:v>
      </x:c>
      <x:c r="J26" s="21" t="n">
        <x:v>1</x:v>
      </x:c>
      <x:c r="K26" s="21" t="n">
        <x:v>3</x:v>
      </x:c>
      <x:c r="L26" s="21" t="n">
        <x:v>4</x:v>
      </x:c>
      <x:c r="M26" s="21" t="n">
        <x:v>5</x:v>
      </x:c>
      <x:c r="N26" s="21" t="n">
        <x:v>3</x:v>
      </x:c>
      <x:c r="O26" s="21" t="n">
        <x:v>4</x:v>
      </x:c>
      <x:c r="P26" s="21" t="n">
        <x:v>3</x:v>
      </x:c>
      <x:c r="Q26" s="21" t="n">
        <x:v>1</x:v>
      </x:c>
      <x:c r="R26" s="21" t="n">
        <x:v>3</x:v>
      </x:c>
      <x:c r="S26" s="21" t="n">
        <x:v>3</x:v>
      </x:c>
      <x:c r="T26" s="21" t="n">
        <x:v>3</x:v>
      </x:c>
      <x:c r="U26" s="21" t="n">
        <x:v>4</x:v>
      </x:c>
      <x:c r="V26" s="21" t="n">
        <x:v>4</x:v>
      </x:c>
      <x:c r="W26" s="21" t="n">
        <x:v>4</x:v>
      </x:c>
      <x:c r="X26" s="21" t="n">
        <x:v>4</x:v>
      </x:c>
      <x:c r="Y26" s="21" t="n">
        <x:v>4</x:v>
      </x:c>
      <x:c r="Z26" s="21" t="n">
        <x:v>4</x:v>
      </x:c>
      <x:c r="AA26" s="21" t="n">
        <x:v>2</x:v>
      </x:c>
      <x:c r="AB26" s="21" t="n">
        <x:v>4</x:v>
      </x:c>
      <x:c r="AC26" s="21" t="n">
        <x:v>4</x:v>
      </x:c>
      <x:c r="AD26" s="21" t="n">
        <x:v>4</x:v>
      </x:c>
      <x:c r="AE26" s="21" t="n">
        <x:v>4</x:v>
      </x:c>
      <x:c r="AF26" s="21" t="n">
        <x:v>1</x:v>
      </x:c>
      <x:c r="AG26" s="21" t="n">
        <x:v>1</x:v>
      </x:c>
      <x:c r="AH26" s="21" t="n">
        <x:v>1</x:v>
      </x:c>
      <x:c r="AI26" s="21" t="n">
        <x:v>3</x:v>
      </x:c>
      <x:c r="AJ26" s="22" t="str">
        <x:v>ควรส่งเสริมให้พนักงานมีการรายงานความเสี่ยงอย่างสมำเสมอ มีการพัฒนาวัฒนธรรมความปลอดภับอย่างต่อเนื่อง นำอุบัติการณ์มาแก้ไขอย่างเป็นระบบ</x:v>
      </x:c>
    </x:row>
    <x:row r="27">
      <x:c r="A27" s="27" t="n">
        <x:v>46245.72669921296</x:v>
      </x:c>
      <x:c r="B27" s="21" t="str">
        <x:v>สายวิชาชีพสาธารณสุข</x:v>
      </x:c>
      <x:c r="C27" s="21" t="str">
        <x:v>OR</x:v>
      </x:c>
      <x:c r="D27" s="21" t="n">
        <x:v>5</x:v>
      </x:c>
      <x:c r="E27" s="21" t="n">
        <x:v>5</x:v>
      </x:c>
      <x:c r="F27" s="21" t="n">
        <x:v>1</x:v>
      </x:c>
      <x:c r="G27" s="21" t="n">
        <x:v>5</x:v>
      </x:c>
      <x:c r="H27" s="21" t="n">
        <x:v>3</x:v>
      </x:c>
      <x:c r="I27" s="21" t="n">
        <x:v>1</x:v>
      </x:c>
      <x:c r="J27" s="21" t="n">
        <x:v>1</x:v>
      </x:c>
      <x:c r="K27" s="21" t="n">
        <x:v>1</x:v>
      </x:c>
      <x:c r="L27" s="21" t="n">
        <x:v>1</x:v>
      </x:c>
      <x:c r="M27" s="21" t="n">
        <x:v>1</x:v>
      </x:c>
      <x:c r="N27" s="21" t="n">
        <x:v>3</x:v>
      </x:c>
      <x:c r="O27" s="21" t="n">
        <x:v>5</x:v>
      </x:c>
      <x:c r="P27" s="21" t="n">
        <x:v>1</x:v>
      </x:c>
      <x:c r="Q27" s="21" t="n">
        <x:v>1</x:v>
      </x:c>
      <x:c r="R27" s="21" t="n">
        <x:v>5</x:v>
      </x:c>
      <x:c r="S27" s="21" t="n">
        <x:v>5</x:v>
      </x:c>
      <x:c r="T27" s="21" t="n">
        <x:v>5</x:v>
      </x:c>
      <x:c r="U27" s="21" t="n">
        <x:v>3</x:v>
      </x:c>
      <x:c r="V27" s="21" t="n">
        <x:v>5</x:v>
      </x:c>
      <x:c r="W27" s="21" t="n">
        <x:v>5</x:v>
      </x:c>
      <x:c r="X27" s="21" t="n">
        <x:v>5</x:v>
      </x:c>
      <x:c r="Y27" s="21" t="n">
        <x:v>1</x:v>
      </x:c>
      <x:c r="Z27" s="21" t="n">
        <x:v>1</x:v>
      </x:c>
      <x:c r="AA27" s="21" t="n">
        <x:v>1</x:v>
      </x:c>
      <x:c r="AB27" s="21" t="n">
        <x:v>5</x:v>
      </x:c>
      <x:c r="AC27" s="21" t="n">
        <x:v>5</x:v>
      </x:c>
      <x:c r="AD27" s="21" t="n">
        <x:v>5</x:v>
      </x:c>
      <x:c r="AE27" s="21" t="n">
        <x:v>5</x:v>
      </x:c>
      <x:c r="AF27" s="21" t="n">
        <x:v>5</x:v>
      </x:c>
      <x:c r="AG27" s="21" t="n">
        <x:v>1</x:v>
      </x:c>
      <x:c r="AH27" s="21" t="n">
        <x:v>1</x:v>
      </x:c>
      <x:c r="AI27" s="21" t="n">
        <x:v>3</x:v>
      </x:c>
      <x:c r="AJ27" s="22" t="str">
        <x:v>เหมือนเดิม ไม่ค่อยได้รับการแก้ใข</x:v>
      </x:c>
    </x:row>
    <x:row r="28">
      <x:c r="A28" s="27" t="n">
        <x:v>46245.735614618054</x:v>
      </x:c>
      <x:c r="B28" s="21" t="str">
        <x:v>สายวิชาชีพสาธารณสุข</x:v>
      </x:c>
      <x:c r="C28" s="21" t="str">
        <x:v>OR</x:v>
      </x:c>
      <x:c r="D28" s="21" t="n">
        <x:v>4</x:v>
      </x:c>
      <x:c r="E28" s="21" t="n">
        <x:v>2</x:v>
      </x:c>
      <x:c r="F28" s="21" t="n">
        <x:v>3</x:v>
      </x:c>
      <x:c r="G28" s="21" t="n">
        <x:v>5</x:v>
      </x:c>
      <x:c r="H28" s="21" t="n">
        <x:v>3</x:v>
      </x:c>
      <x:c r="I28" s="21" t="n">
        <x:v>3</x:v>
      </x:c>
      <x:c r="J28" s="21" t="n">
        <x:v>3</x:v>
      </x:c>
      <x:c r="K28" s="21" t="n">
        <x:v>4</x:v>
      </x:c>
      <x:c r="L28" s="21" t="n">
        <x:v>2</x:v>
      </x:c>
      <x:c r="M28" s="21" t="n">
        <x:v>3</x:v>
      </x:c>
      <x:c r="N28" s="21" t="n">
        <x:v>3</x:v>
      </x:c>
      <x:c r="O28" s="21" t="n">
        <x:v>5</x:v>
      </x:c>
      <x:c r="P28" s="21" t="n">
        <x:v>2</x:v>
      </x:c>
      <x:c r="Q28" s="21" t="n">
        <x:v>2</x:v>
      </x:c>
      <x:c r="R28" s="21" t="n">
        <x:v>3</x:v>
      </x:c>
      <x:c r="S28" s="21" t="n">
        <x:v>3</x:v>
      </x:c>
      <x:c r="T28" s="21" t="n">
        <x:v>3</x:v>
      </x:c>
      <x:c r="U28" s="21" t="n">
        <x:v>4</x:v>
      </x:c>
      <x:c r="V28" s="21" t="n">
        <x:v>4</x:v>
      </x:c>
      <x:c r="W28" s="21" t="n">
        <x:v>4</x:v>
      </x:c>
      <x:c r="X28" s="21" t="n">
        <x:v>4</x:v>
      </x:c>
      <x:c r="Y28" s="21" t="n">
        <x:v>4</x:v>
      </x:c>
      <x:c r="Z28" s="21" t="n">
        <x:v>3</x:v>
      </x:c>
      <x:c r="AA28" s="21" t="n">
        <x:v>3</x:v>
      </x:c>
      <x:c r="AB28" s="21" t="n">
        <x:v>3</x:v>
      </x:c>
      <x:c r="AC28" s="21" t="n">
        <x:v>3</x:v>
      </x:c>
      <x:c r="AD28" s="21" t="n">
        <x:v>4</x:v>
      </x:c>
      <x:c r="AE28" s="21" t="n">
        <x:v>3</x:v>
      </x:c>
      <x:c r="AF28" s="21" t="n">
        <x:v>4</x:v>
      </x:c>
      <x:c r="AG28" s="21" t="n">
        <x:v>3</x:v>
      </x:c>
      <x:c r="AH28" s="21" t="n">
        <x:v>3</x:v>
      </x:c>
      <x:c r="AI28" s="21" t="n">
        <x:v>3</x:v>
      </x:c>
      <x:c r="AJ28" s="22" t="str">
        <x:v>รพ เห็นความสำคัญของความปลอดภัยพนักงานน้อย</x:v>
      </x:c>
    </x:row>
    <x:row r="29">
      <x:c r="A29" s="27" t="n">
        <x:v>46245.978698182866</x:v>
      </x:c>
      <x:c r="B29" s="21" t="str">
        <x:v>สายวิชาชีพสาธารณสุข</x:v>
      </x:c>
      <x:c r="C29" s="21" t="str">
        <x:v>IPD</x:v>
      </x:c>
      <x:c r="D29" s="21" t="n">
        <x:v>5</x:v>
      </x:c>
      <x:c r="E29" s="21" t="n">
        <x:v>5</x:v>
      </x:c>
      <x:c r="F29" s="21" t="n">
        <x:v>2</x:v>
      </x:c>
      <x:c r="G29" s="21" t="n">
        <x:v>5</x:v>
      </x:c>
      <x:c r="H29" s="21" t="n">
        <x:v>3</x:v>
      </x:c>
      <x:c r="I29" s="21" t="n">
        <x:v>1</x:v>
      </x:c>
      <x:c r="J29" s="21" t="n">
        <x:v>1</x:v>
      </x:c>
      <x:c r="K29" s="21" t="n">
        <x:v>5</x:v>
      </x:c>
      <x:c r="L29" s="21" t="n">
        <x:v>1</x:v>
      </x:c>
      <x:c r="M29" s="21" t="n">
        <x:v>4</x:v>
      </x:c>
      <x:c r="N29" s="21" t="n">
        <x:v>1</x:v>
      </x:c>
      <x:c r="O29" s="21" t="n">
        <x:v>4</x:v>
      </x:c>
      <x:c r="P29" s="21" t="n">
        <x:v>1</x:v>
      </x:c>
      <x:c r="Q29" s="21" t="n">
        <x:v>3</x:v>
      </x:c>
      <x:c r="R29" s="21" t="n">
        <x:v>5</x:v>
      </x:c>
      <x:c r="S29" s="21" t="n">
        <x:v>1</x:v>
      </x:c>
      <x:c r="T29" s="21" t="n">
        <x:v>5</x:v>
      </x:c>
      <x:c r="U29" s="21" t="n">
        <x:v>5</x:v>
      </x:c>
      <x:c r="V29" s="21" t="n">
        <x:v>5</x:v>
      </x:c>
      <x:c r="W29" s="21" t="n">
        <x:v>5</x:v>
      </x:c>
      <x:c r="X29" s="21" t="n">
        <x:v>5</x:v>
      </x:c>
      <x:c r="Y29" s="21" t="n">
        <x:v>4</x:v>
      </x:c>
      <x:c r="Z29" s="21" t="n">
        <x:v>4</x:v>
      </x:c>
      <x:c r="AA29" s="21" t="n">
        <x:v>1</x:v>
      </x:c>
      <x:c r="AB29" s="21" t="n">
        <x:v>3</x:v>
      </x:c>
      <x:c r="AC29" s="21" t="n">
        <x:v>2</x:v>
      </x:c>
      <x:c r="AD29" s="21" t="n">
        <x:v>5</x:v>
      </x:c>
      <x:c r="AE29" s="21" t="n">
        <x:v>5</x:v>
      </x:c>
      <x:c r="AF29" s="21" t="n">
        <x:v>1</x:v>
      </x:c>
      <x:c r="AG29" s="21" t="n">
        <x:v>1</x:v>
      </x:c>
      <x:c r="AH29" s="21" t="n">
        <x:v>1</x:v>
      </x:c>
      <x:c r="AI29" s="21" t="n">
        <x:v>5</x:v>
      </x:c>
      <x:c r="AJ29" s="22" t="str">
        <x:v>มีความปลอดภัยอย่างยิ่ง</x:v>
      </x:c>
    </x:row>
    <x:row r="30">
      <x:c r="A30" s="27" t="n">
        <x:v>46246.38982221065</x:v>
      </x:c>
      <x:c r="B30" s="21" t="str">
        <x:v>สายสนับสนุนทั่วไป</x:v>
      </x:c>
      <x:c r="C30" s="21" t="str">
        <x:v>การเงิน</x:v>
      </x:c>
      <x:c r="D30" s="21" t="n">
        <x:v>4</x:v>
      </x:c>
      <x:c r="E30" s="21" t="n">
        <x:v>4</x:v>
      </x:c>
      <x:c r="F30" s="21" t="n">
        <x:v>3</x:v>
      </x:c>
      <x:c r="G30" s="21" t="n">
        <x:v>4</x:v>
      </x:c>
      <x:c r="H30" s="21" t="n">
        <x:v>3</x:v>
      </x:c>
      <x:c r="I30" s="21" t="n">
        <x:v>3</x:v>
      </x:c>
      <x:c r="J30" s="21" t="n">
        <x:v>2</x:v>
      </x:c>
      <x:c r="K30" s="21" t="n">
        <x:v>4</x:v>
      </x:c>
      <x:c r="L30" s="21" t="n">
        <x:v>3</x:v>
      </x:c>
      <x:c r="M30" s="21" t="n">
        <x:v>3</x:v>
      </x:c>
      <x:c r="N30" s="21" t="n">
        <x:v>3</x:v>
      </x:c>
      <x:c r="O30" s="21" t="n">
        <x:v>3</x:v>
      </x:c>
      <x:c r="P30" s="21" t="n">
        <x:v>2</x:v>
      </x:c>
      <x:c r="Q30" s="21" t="n">
        <x:v>2</x:v>
      </x:c>
      <x:c r="R30" s="21" t="n">
        <x:v>4</x:v>
      </x:c>
      <x:c r="S30" s="21" t="n">
        <x:v>3</x:v>
      </x:c>
      <x:c r="T30" s="21" t="n">
        <x:v>4</x:v>
      </x:c>
      <x:c r="U30" s="21" t="n">
        <x:v>3</x:v>
      </x:c>
      <x:c r="V30" s="21" t="n">
        <x:v>4</x:v>
      </x:c>
      <x:c r="W30" s="21" t="n">
        <x:v>4</x:v>
      </x:c>
      <x:c r="X30" s="21" t="n">
        <x:v>3</x:v>
      </x:c>
      <x:c r="Y30" s="21" t="n">
        <x:v>3</x:v>
      </x:c>
      <x:c r="Z30" s="21" t="n">
        <x:v>3</x:v>
      </x:c>
      <x:c r="AA30" s="21" t="n">
        <x:v>2</x:v>
      </x:c>
      <x:c r="AB30" s="21" t="n">
        <x:v>3</x:v>
      </x:c>
      <x:c r="AC30" s="21" t="n">
        <x:v>3</x:v>
      </x:c>
      <x:c r="AD30" s="21" t="n">
        <x:v>4</x:v>
      </x:c>
      <x:c r="AE30" s="21" t="n">
        <x:v>4</x:v>
      </x:c>
      <x:c r="AF30" s="21" t="n">
        <x:v>3</x:v>
      </x:c>
      <x:c r="AG30" s="21" t="n">
        <x:v>2</x:v>
      </x:c>
      <x:c r="AH30" s="21" t="n">
        <x:v>2</x:v>
      </x:c>
      <x:c r="AI30" s="21" t="n">
        <x:v>4</x:v>
      </x:c>
      <x:c r="AJ30" s="22" t="str">
        <x:v>_</x:v>
      </x:c>
    </x:row>
    <x:row r="31">
      <x:c r="A31" s="27" t="n">
        <x:v>46246.391639884256</x:v>
      </x:c>
      <x:c r="B31" s="21" t="str">
        <x:v>สายวิชาชีพสาธารณสุข</x:v>
      </x:c>
      <x:c r="C31" s="21" t="str">
        <x:v>ICU</x:v>
      </x:c>
      <x:c r="D31" s="21" t="n">
        <x:v>5</x:v>
      </x:c>
      <x:c r="E31" s="21" t="n">
        <x:v>3</x:v>
      </x:c>
      <x:c r="F31" s="21" t="n">
        <x:v>3</x:v>
      </x:c>
      <x:c r="G31" s="21" t="n">
        <x:v>4</x:v>
      </x:c>
      <x:c r="H31" s="21" t="n">
        <x:v>3</x:v>
      </x:c>
      <x:c r="I31" s="21" t="n">
        <x:v>2</x:v>
      </x:c>
      <x:c r="J31" s="21" t="n">
        <x:v>1</x:v>
      </x:c>
      <x:c r="K31" s="21" t="n">
        <x:v>5</x:v>
      </x:c>
      <x:c r="L31" s="21" t="n">
        <x:v>1</x:v>
      </x:c>
      <x:c r="M31" s="21" t="n">
        <x:v>4</x:v>
      </x:c>
      <x:c r="N31" s="21" t="n">
        <x:v>1</x:v>
      </x:c>
      <x:c r="O31" s="21" t="n">
        <x:v>4</x:v>
      </x:c>
      <x:c r="P31" s="21" t="n">
        <x:v>3</x:v>
      </x:c>
      <x:c r="Q31" s="21" t="n">
        <x:v>3</x:v>
      </x:c>
      <x:c r="R31" s="21" t="n">
        <x:v>3</x:v>
      </x:c>
      <x:c r="S31" s="21" t="n">
        <x:v>3</x:v>
      </x:c>
      <x:c r="T31" s="21" t="n">
        <x:v>3</x:v>
      </x:c>
      <x:c r="U31" s="21" t="n">
        <x:v>3</x:v>
      </x:c>
      <x:c r="V31" s="21" t="n">
        <x:v>4</x:v>
      </x:c>
      <x:c r="W31" s="21" t="n">
        <x:v>3</x:v>
      </x:c>
      <x:c r="X31" s="21" t="n">
        <x:v>2</x:v>
      </x:c>
      <x:c r="Y31" s="21" t="n">
        <x:v>3</x:v>
      </x:c>
      <x:c r="Z31" s="21" t="n">
        <x:v>3</x:v>
      </x:c>
      <x:c r="AA31" s="21" t="n">
        <x:v>2</x:v>
      </x:c>
      <x:c r="AB31" s="21" t="n">
        <x:v>4</x:v>
      </x:c>
      <x:c r="AC31" s="21" t="n">
        <x:v>4</x:v>
      </x:c>
      <x:c r="AD31" s="21" t="n">
        <x:v>4</x:v>
      </x:c>
      <x:c r="AE31" s="21" t="n">
        <x:v>4</x:v>
      </x:c>
      <x:c r="AF31" s="21" t="n">
        <x:v>4</x:v>
      </x:c>
      <x:c r="AG31" s="21" t="n">
        <x:v>2</x:v>
      </x:c>
      <x:c r="AH31" s="21" t="n">
        <x:v>1</x:v>
      </x:c>
      <x:c r="AI31" s="21" t="n">
        <x:v>3</x:v>
      </x:c>
      <x:c r="AJ31" s="22" t="str">
        <x:v>เราต้องสร้างมาตรการที่จะจัดการกับความเสี่ยงที่อาจจะเกิดขึ้นก่อนที่จะเกิดความเสี่ยงนั้นๆเน้นแก้ระบบมากกว่าตัวบุคคลๆ</x:v>
      </x:c>
    </x:row>
    <x:row r="32">
      <x:c r="A32" s="27" t="n">
        <x:v>46246.58512116898</x:v>
      </x:c>
      <x:c r="B32" s="21" t="str">
        <x:v>สายวิชาชีพสาธารณสุข</x:v>
      </x:c>
      <x:c r="C32" s="21" t="str">
        <x:v>ICU</x:v>
      </x:c>
      <x:c r="D32" s="21" t="n">
        <x:v>5</x:v>
      </x:c>
      <x:c r="E32" s="21" t="n">
        <x:v>3</x:v>
      </x:c>
      <x:c r="F32" s="21" t="n">
        <x:v>3</x:v>
      </x:c>
      <x:c r="G32" s="21" t="n">
        <x:v>4</x:v>
      </x:c>
      <x:c r="H32" s="21" t="n">
        <x:v>3</x:v>
      </x:c>
      <x:c r="I32" s="21" t="n">
        <x:v>2</x:v>
      </x:c>
      <x:c r="J32" s="21" t="n">
        <x:v>1</x:v>
      </x:c>
      <x:c r="K32" s="21" t="n">
        <x:v>4</x:v>
      </x:c>
      <x:c r="L32" s="21" t="n">
        <x:v>1</x:v>
      </x:c>
      <x:c r="M32" s="21" t="n">
        <x:v>3</x:v>
      </x:c>
      <x:c r="N32" s="21" t="n">
        <x:v>2</x:v>
      </x:c>
      <x:c r="O32" s="21" t="n">
        <x:v>3</x:v>
      </x:c>
      <x:c r="P32" s="21" t="n">
        <x:v>2</x:v>
      </x:c>
      <x:c r="Q32" s="21" t="n">
        <x:v>2</x:v>
      </x:c>
      <x:c r="R32" s="21" t="n">
        <x:v>4</x:v>
      </x:c>
      <x:c r="S32" s="21" t="n">
        <x:v>3</x:v>
      </x:c>
      <x:c r="T32" s="21" t="n">
        <x:v>5</x:v>
      </x:c>
      <x:c r="U32" s="21" t="n">
        <x:v>3</x:v>
      </x:c>
      <x:c r="V32" s="21" t="n">
        <x:v>4</x:v>
      </x:c>
      <x:c r="W32" s="21" t="n">
        <x:v>4</x:v>
      </x:c>
      <x:c r="X32" s="21" t="n">
        <x:v>4</x:v>
      </x:c>
      <x:c r="Y32" s="21" t="n">
        <x:v>4</x:v>
      </x:c>
      <x:c r="Z32" s="21" t="n">
        <x:v>4</x:v>
      </x:c>
      <x:c r="AA32" s="21" t="n">
        <x:v>4</x:v>
      </x:c>
      <x:c r="AB32" s="21" t="n">
        <x:v>4</x:v>
      </x:c>
      <x:c r="AC32" s="21" t="n">
        <x:v>3</x:v>
      </x:c>
      <x:c r="AD32" s="21" t="n">
        <x:v>4</x:v>
      </x:c>
      <x:c r="AE32" s="21" t="n">
        <x:v>4</x:v>
      </x:c>
      <x:c r="AF32" s="21" t="n">
        <x:v>1</x:v>
      </x:c>
      <x:c r="AG32" s="21" t="n">
        <x:v>1</x:v>
      </x:c>
      <x:c r="AH32" s="21" t="n">
        <x:v>1</x:v>
      </x:c>
      <x:c r="AI32" s="21" t="n">
        <x:v>4</x:v>
      </x:c>
      <x:c r="AJ32" s="22" t="str">
        <x:v>-</x:v>
      </x:c>
    </x:row>
    <x:row r="33">
      <x:c r="A33" s="27" t="n">
        <x:v>46246.58996974537</x:v>
      </x:c>
      <x:c r="B33" s="21" t="str">
        <x:v>สายสนับสนุนทางการแพทย์</x:v>
      </x:c>
      <x:c r="C33" s="21" t="str">
        <x:v>ห้องยา</x:v>
      </x:c>
      <x:c r="D33" s="21" t="n">
        <x:v>5</x:v>
      </x:c>
      <x:c r="E33" s="21" t="n">
        <x:v>3</x:v>
      </x:c>
      <x:c r="F33" s="21" t="n">
        <x:v>3</x:v>
      </x:c>
      <x:c r="G33" s="21" t="n">
        <x:v>4</x:v>
      </x:c>
      <x:c r="H33" s="21" t="n">
        <x:v>4</x:v>
      </x:c>
      <x:c r="I33" s="21" t="n">
        <x:v>4</x:v>
      </x:c>
      <x:c r="J33" s="21" t="n">
        <x:v>3</x:v>
      </x:c>
      <x:c r="K33" s="21" t="n">
        <x:v>5</x:v>
      </x:c>
      <x:c r="L33" s="21" t="n">
        <x:v>4</x:v>
      </x:c>
      <x:c r="M33" s="21" t="n">
        <x:v>3</x:v>
      </x:c>
      <x:c r="N33" s="21" t="n">
        <x:v>3</x:v>
      </x:c>
      <x:c r="O33" s="21" t="n">
        <x:v>3</x:v>
      </x:c>
      <x:c r="P33" s="21" t="n">
        <x:v>4</x:v>
      </x:c>
      <x:c r="Q33" s="21" t="n">
        <x:v>4</x:v>
      </x:c>
      <x:c r="R33" s="21" t="n">
        <x:v>4</x:v>
      </x:c>
      <x:c r="S33" s="21" t="n">
        <x:v>4</x:v>
      </x:c>
      <x:c r="T33" s="21" t="n">
        <x:v>4</x:v>
      </x:c>
      <x:c r="U33" s="21" t="n">
        <x:v>3</x:v>
      </x:c>
      <x:c r="V33" s="21" t="n">
        <x:v>5</x:v>
      </x:c>
      <x:c r="W33" s="21" t="n">
        <x:v>4</x:v>
      </x:c>
      <x:c r="X33" s="21" t="n">
        <x:v>5</x:v>
      </x:c>
      <x:c r="Y33" s="21" t="n">
        <x:v>5</x:v>
      </x:c>
      <x:c r="Z33" s="21" t="n">
        <x:v>5</x:v>
      </x:c>
      <x:c r="AA33" s="21" t="n">
        <x:v>4</x:v>
      </x:c>
      <x:c r="AB33" s="21" t="n">
        <x:v>5</x:v>
      </x:c>
      <x:c r="AC33" s="21" t="n">
        <x:v>5</x:v>
      </x:c>
      <x:c r="AD33" s="21" t="n">
        <x:v>5</x:v>
      </x:c>
      <x:c r="AE33" s="21" t="n">
        <x:v>5</x:v>
      </x:c>
      <x:c r="AF33" s="21" t="n">
        <x:v>5</x:v>
      </x:c>
      <x:c r="AG33" s="21" t="n">
        <x:v>2</x:v>
      </x:c>
      <x:c r="AH33" s="21" t="n">
        <x:v>2</x:v>
      </x:c>
      <x:c r="AI33" s="21" t="n">
        <x:v>2</x:v>
      </x:c>
      <x:c r="AJ33" s="22" t="str">
        <x:v>-</x:v>
      </x:c>
    </x:row>
    <x:row r="34">
      <x:c r="A34" s="27" t="n">
        <x:v>46246.59077851852</x:v>
      </x:c>
      <x:c r="B34" s="21" t="str">
        <x:v>สายสนับสนุนทางการแพทย์</x:v>
      </x:c>
      <x:c r="C34" s="21" t="str">
        <x:v>ห้องยา</x:v>
      </x:c>
      <x:c r="D34" s="21" t="n">
        <x:v>4</x:v>
      </x:c>
      <x:c r="E34" s="21" t="n">
        <x:v>5</x:v>
      </x:c>
      <x:c r="F34" s="21" t="n">
        <x:v>4</x:v>
      </x:c>
      <x:c r="G34" s="21" t="n">
        <x:v>5</x:v>
      </x:c>
      <x:c r="H34" s="21" t="n">
        <x:v>2</x:v>
      </x:c>
      <x:c r="I34" s="21" t="n">
        <x:v>3</x:v>
      </x:c>
      <x:c r="J34" s="21" t="n">
        <x:v>2</x:v>
      </x:c>
      <x:c r="K34" s="21" t="n">
        <x:v>5</x:v>
      </x:c>
      <x:c r="L34" s="21" t="n">
        <x:v>4</x:v>
      </x:c>
      <x:c r="M34" s="21" t="n">
        <x:v>5</x:v>
      </x:c>
      <x:c r="N34" s="21" t="n">
        <x:v>2</x:v>
      </x:c>
      <x:c r="O34" s="21" t="n">
        <x:v>5</x:v>
      </x:c>
      <x:c r="P34" s="21" t="n">
        <x:v>1</x:v>
      </x:c>
      <x:c r="Q34" s="21" t="n">
        <x:v>1</x:v>
      </x:c>
      <x:c r="R34" s="21" t="n">
        <x:v>5</x:v>
      </x:c>
      <x:c r="S34" s="21" t="n">
        <x:v>1</x:v>
      </x:c>
      <x:c r="T34" s="21" t="n">
        <x:v>5</x:v>
      </x:c>
      <x:c r="U34" s="21" t="n">
        <x:v>5</x:v>
      </x:c>
      <x:c r="V34" s="21" t="n">
        <x:v>5</x:v>
      </x:c>
      <x:c r="W34" s="21" t="n">
        <x:v>5</x:v>
      </x:c>
      <x:c r="X34" s="21" t="n">
        <x:v>5</x:v>
      </x:c>
      <x:c r="Y34" s="21" t="n">
        <x:v>5</x:v>
      </x:c>
      <x:c r="Z34" s="21" t="n">
        <x:v>5</x:v>
      </x:c>
      <x:c r="AA34" s="21" t="n">
        <x:v>1</x:v>
      </x:c>
      <x:c r="AB34" s="21" t="n">
        <x:v>5</x:v>
      </x:c>
      <x:c r="AC34" s="21" t="n">
        <x:v>2</x:v>
      </x:c>
      <x:c r="AD34" s="21" t="n">
        <x:v>4</x:v>
      </x:c>
      <x:c r="AE34" s="21" t="n">
        <x:v>4</x:v>
      </x:c>
      <x:c r="AF34" s="21" t="n">
        <x:v>3</x:v>
      </x:c>
      <x:c r="AG34" s="21" t="n">
        <x:v>3</x:v>
      </x:c>
      <x:c r="AH34" s="21" t="n">
        <x:v>2</x:v>
      </x:c>
      <x:c r="AI34" s="21" t="n">
        <x:v>4</x:v>
      </x:c>
      <x:c r="AJ34" s="22" t="str">
        <x:v>อยากให้มีการรายงานในส่วน pre admin มากขึ้น เพื่อจะได้นำข้อมูลไปใช้ในการหาวิธีป้องกันการเกิดเหตุซ้ำต่อไป</x:v>
      </x:c>
    </x:row>
    <x:row r="35">
      <x:c r="A35" s="27" t="n">
        <x:v>46246.59632344908</x:v>
      </x:c>
      <x:c r="B35" s="21" t="str">
        <x:v>สายสนับสนุนทางการแพทย์</x:v>
      </x:c>
      <x:c r="C35" s="21" t="str">
        <x:v>ห้องยา</x:v>
      </x:c>
      <x:c r="D35" s="21" t="n">
        <x:v>5</x:v>
      </x:c>
      <x:c r="E35" s="21" t="n">
        <x:v>4</x:v>
      </x:c>
      <x:c r="F35" s="21" t="n">
        <x:v>3</x:v>
      </x:c>
      <x:c r="G35" s="21" t="n">
        <x:v>5</x:v>
      </x:c>
      <x:c r="H35" s="21" t="n">
        <x:v>3</x:v>
      </x:c>
      <x:c r="I35" s="21" t="n">
        <x:v>3</x:v>
      </x:c>
      <x:c r="J35" s="21" t="n">
        <x:v>3</x:v>
      </x:c>
      <x:c r="K35" s="21" t="n">
        <x:v>5</x:v>
      </x:c>
      <x:c r="L35" s="21" t="n">
        <x:v>2</x:v>
      </x:c>
      <x:c r="M35" s="21" t="n">
        <x:v>3</x:v>
      </x:c>
      <x:c r="N35" s="21" t="n">
        <x:v>3</x:v>
      </x:c>
      <x:c r="O35" s="21" t="n">
        <x:v>4</x:v>
      </x:c>
      <x:c r="P35" s="21" t="n">
        <x:v>1</x:v>
      </x:c>
      <x:c r="Q35" s="21" t="n">
        <x:v>3</x:v>
      </x:c>
      <x:c r="R35" s="21" t="n">
        <x:v>4</x:v>
      </x:c>
      <x:c r="S35" s="21" t="n">
        <x:v>4</x:v>
      </x:c>
      <x:c r="T35" s="21" t="n">
        <x:v>4</x:v>
      </x:c>
      <x:c r="U35" s="21" t="n">
        <x:v>3</x:v>
      </x:c>
      <x:c r="V35" s="21" t="n">
        <x:v>5</x:v>
      </x:c>
      <x:c r="W35" s="21" t="n">
        <x:v>4</x:v>
      </x:c>
      <x:c r="X35" s="21" t="n">
        <x:v>5</x:v>
      </x:c>
      <x:c r="Y35" s="21" t="n">
        <x:v>5</x:v>
      </x:c>
      <x:c r="Z35" s="21" t="n">
        <x:v>5</x:v>
      </x:c>
      <x:c r="AA35" s="21" t="n">
        <x:v>1</x:v>
      </x:c>
      <x:c r="AB35" s="21" t="n">
        <x:v>5</x:v>
      </x:c>
      <x:c r="AC35" s="21" t="n">
        <x:v>5</x:v>
      </x:c>
      <x:c r="AD35" s="21" t="n">
        <x:v>5</x:v>
      </x:c>
      <x:c r="AE35" s="21" t="n">
        <x:v>5</x:v>
      </x:c>
      <x:c r="AF35" s="21" t="n">
        <x:v>5</x:v>
      </x:c>
      <x:c r="AG35" s="21" t="n">
        <x:v>1</x:v>
      </x:c>
      <x:c r="AH35" s="21" t="n">
        <x:v>1</x:v>
      </x:c>
      <x:c r="AI35" s="21" t="n">
        <x:v>5</x:v>
      </x:c>
      <x:c r="AJ35" s="22" t="str">
        <x:v>-</x:v>
      </x:c>
    </x:row>
    <x:row r="36">
      <x:c r="A36" s="27" t="n">
        <x:v>46246.600970300926</x:v>
      </x:c>
      <x:c r="B36" s="21" t="str">
        <x:v>สายสนับสนุนทางการแพทย์</x:v>
      </x:c>
      <x:c r="C36" s="21" t="str">
        <x:v>IPD</x:v>
      </x:c>
      <x:c r="D36" s="21" t="n">
        <x:v>5</x:v>
      </x:c>
      <x:c r="E36" s="21" t="n">
        <x:v>4</x:v>
      </x:c>
      <x:c r="F36" s="21" t="n">
        <x:v>2</x:v>
      </x:c>
      <x:c r="G36" s="21" t="n">
        <x:v>4</x:v>
      </x:c>
      <x:c r="H36" s="21" t="n">
        <x:v>4</x:v>
      </x:c>
      <x:c r="I36" s="21" t="n">
        <x:v>4</x:v>
      </x:c>
      <x:c r="J36" s="21" t="n">
        <x:v>3</x:v>
      </x:c>
      <x:c r="K36" s="21" t="n">
        <x:v>4</x:v>
      </x:c>
      <x:c r="L36" s="21" t="n">
        <x:v>3</x:v>
      </x:c>
      <x:c r="M36" s="21" t="n">
        <x:v>3</x:v>
      </x:c>
      <x:c r="N36" s="21" t="n">
        <x:v>3</x:v>
      </x:c>
      <x:c r="O36" s="21" t="n">
        <x:v>4</x:v>
      </x:c>
      <x:c r="P36" s="21" t="n">
        <x:v>3</x:v>
      </x:c>
      <x:c r="Q36" s="21" t="n">
        <x:v>3</x:v>
      </x:c>
      <x:c r="R36" s="21" t="n">
        <x:v>3</x:v>
      </x:c>
      <x:c r="S36" s="21" t="n">
        <x:v>3</x:v>
      </x:c>
      <x:c r="T36" s="21" t="n">
        <x:v>4</x:v>
      </x:c>
      <x:c r="U36" s="21" t="n">
        <x:v>4</x:v>
      </x:c>
      <x:c r="V36" s="21" t="n">
        <x:v>4</x:v>
      </x:c>
      <x:c r="W36" s="21" t="n">
        <x:v>4</x:v>
      </x:c>
      <x:c r="X36" s="21" t="n">
        <x:v>3</x:v>
      </x:c>
      <x:c r="Y36" s="21" t="n">
        <x:v>3</x:v>
      </x:c>
      <x:c r="Z36" s="21" t="n">
        <x:v>3</x:v>
      </x:c>
      <x:c r="AA36" s="21" t="n">
        <x:v>4</x:v>
      </x:c>
      <x:c r="AB36" s="21" t="n">
        <x:v>3</x:v>
      </x:c>
      <x:c r="AC36" s="21" t="n">
        <x:v>3</x:v>
      </x:c>
      <x:c r="AD36" s="21" t="n">
        <x:v>4</x:v>
      </x:c>
      <x:c r="AE36" s="21" t="n">
        <x:v>4</x:v>
      </x:c>
      <x:c r="AF36" s="21" t="n">
        <x:v>4</x:v>
      </x:c>
      <x:c r="AG36" s="21" t="n">
        <x:v>3</x:v>
      </x:c>
      <x:c r="AH36" s="21" t="n">
        <x:v>3</x:v>
      </x:c>
      <x:c r="AI36" s="21" t="n">
        <x:v>4</x:v>
      </x:c>
      <x:c r="AJ36" s="22" t="str">
        <x:v>ไม่มี</x:v>
      </x:c>
    </x:row>
    <x:row r="37">
      <x:c r="A37" s="27" t="n">
        <x:v>46246.663210150466</x:v>
      </x:c>
      <x:c r="B37" s="21" t="str">
        <x:v>สายสนับสนุนทั่วไป</x:v>
      </x:c>
      <x:c r="C37" s="21" t="str">
        <x:v>ICU</x:v>
      </x:c>
      <x:c r="D37" s="21" t="n">
        <x:v>5</x:v>
      </x:c>
      <x:c r="E37" s="21" t="n">
        <x:v>1</x:v>
      </x:c>
      <x:c r="F37" s="21" t="n">
        <x:v>2</x:v>
      </x:c>
      <x:c r="G37" s="21" t="n">
        <x:v>5</x:v>
      </x:c>
      <x:c r="H37" s="21" t="n">
        <x:v>3</x:v>
      </x:c>
      <x:c r="I37" s="21" t="n">
        <x:v>3</x:v>
      </x:c>
      <x:c r="J37" s="21" t="n">
        <x:v>3</x:v>
      </x:c>
      <x:c r="K37" s="21" t="n">
        <x:v>4</x:v>
      </x:c>
      <x:c r="L37" s="21" t="n">
        <x:v>3</x:v>
      </x:c>
      <x:c r="M37" s="21" t="n">
        <x:v>1</x:v>
      </x:c>
      <x:c r="N37" s="21" t="n">
        <x:v>2</x:v>
      </x:c>
      <x:c r="O37" s="21" t="n">
        <x:v>3</x:v>
      </x:c>
      <x:c r="P37" s="21" t="n">
        <x:v>4</x:v>
      </x:c>
      <x:c r="Q37" s="21" t="n">
        <x:v>3</x:v>
      </x:c>
      <x:c r="R37" s="21" t="n">
        <x:v>3</x:v>
      </x:c>
      <x:c r="S37" s="21" t="n">
        <x:v>3</x:v>
      </x:c>
      <x:c r="T37" s="21" t="n">
        <x:v>3</x:v>
      </x:c>
      <x:c r="U37" s="21" t="n">
        <x:v>3</x:v>
      </x:c>
      <x:c r="V37" s="21" t="n">
        <x:v>3</x:v>
      </x:c>
      <x:c r="W37" s="21" t="n">
        <x:v>3</x:v>
      </x:c>
      <x:c r="X37" s="21" t="n">
        <x:v>3</x:v>
      </x:c>
      <x:c r="Y37" s="21" t="n">
        <x:v>3</x:v>
      </x:c>
      <x:c r="Z37" s="21" t="n">
        <x:v>3</x:v>
      </x:c>
      <x:c r="AA37" s="21" t="n">
        <x:v>3</x:v>
      </x:c>
      <x:c r="AB37" s="21" t="n">
        <x:v>3</x:v>
      </x:c>
      <x:c r="AC37" s="21" t="n">
        <x:v>3</x:v>
      </x:c>
      <x:c r="AD37" s="21" t="n">
        <x:v>2</x:v>
      </x:c>
      <x:c r="AE37" s="21" t="n">
        <x:v>2</x:v>
      </x:c>
      <x:c r="AF37" s="21" t="n">
        <x:v>3</x:v>
      </x:c>
      <x:c r="AG37" s="21" t="n">
        <x:v>3</x:v>
      </x:c>
      <x:c r="AH37" s="21" t="n">
        <x:v>3</x:v>
      </x:c>
      <x:c r="AI37" s="21" t="n">
        <x:v>3</x:v>
      </x:c>
      <x:c r="AJ37" s="22" t="str">
        <x:v>อยากให้ส่งเสริมและทักษะความรู้ด้านต่างๆให้บุคลากรมากกว่านี้</x:v>
      </x:c>
    </x:row>
    <x:row r="38">
      <x:c r="A38" s="27" t="n">
        <x:v>46246.73866271991</x:v>
      </x:c>
      <x:c r="B38" s="21" t="str">
        <x:v>สายสนับสนุนทางการแพทย์</x:v>
      </x:c>
      <x:c r="C38" s="21" t="str">
        <x:v>ผู้ป่วยสัมพันธ์</x:v>
      </x:c>
      <x:c r="D38" s="21" t="n">
        <x:v>4</x:v>
      </x:c>
      <x:c r="E38" s="21" t="n">
        <x:v>2</x:v>
      </x:c>
      <x:c r="F38" s="21" t="n">
        <x:v>3</x:v>
      </x:c>
      <x:c r="G38" s="21" t="n">
        <x:v>4</x:v>
      </x:c>
      <x:c r="H38" s="21" t="n">
        <x:v>3</x:v>
      </x:c>
      <x:c r="I38" s="21" t="n">
        <x:v>1</x:v>
      </x:c>
      <x:c r="J38" s="21" t="n">
        <x:v>1</x:v>
      </x:c>
      <x:c r="K38" s="21" t="n">
        <x:v>5</x:v>
      </x:c>
      <x:c r="L38" s="21" t="n">
        <x:v>1</x:v>
      </x:c>
      <x:c r="M38" s="21" t="n">
        <x:v>4</x:v>
      </x:c>
      <x:c r="N38" s="21" t="n">
        <x:v>2</x:v>
      </x:c>
      <x:c r="O38" s="21" t="n">
        <x:v>3</x:v>
      </x:c>
      <x:c r="P38" s="21" t="n">
        <x:v>2</x:v>
      </x:c>
      <x:c r="Q38" s="21" t="n">
        <x:v>2</x:v>
      </x:c>
      <x:c r="R38" s="21" t="n">
        <x:v>3</x:v>
      </x:c>
      <x:c r="S38" s="21" t="n">
        <x:v>2</x:v>
      </x:c>
      <x:c r="T38" s="21" t="n">
        <x:v>3</x:v>
      </x:c>
      <x:c r="U38" s="21" t="n">
        <x:v>4</x:v>
      </x:c>
      <x:c r="V38" s="21" t="n">
        <x:v>4</x:v>
      </x:c>
      <x:c r="W38" s="21" t="n">
        <x:v>3</x:v>
      </x:c>
      <x:c r="X38" s="21" t="n">
        <x:v>4</x:v>
      </x:c>
      <x:c r="Y38" s="21" t="n">
        <x:v>4</x:v>
      </x:c>
      <x:c r="Z38" s="21" t="n">
        <x:v>4</x:v>
      </x:c>
      <x:c r="AA38" s="21" t="n">
        <x:v>1</x:v>
      </x:c>
      <x:c r="AB38" s="21" t="n">
        <x:v>3</x:v>
      </x:c>
      <x:c r="AC38" s="21" t="n">
        <x:v>3</x:v>
      </x:c>
      <x:c r="AD38" s="21" t="n">
        <x:v>5</x:v>
      </x:c>
      <x:c r="AE38" s="21" t="n">
        <x:v>5</x:v>
      </x:c>
      <x:c r="AF38" s="21" t="n">
        <x:v>2</x:v>
      </x:c>
      <x:c r="AG38" s="21" t="n">
        <x:v>1</x:v>
      </x:c>
      <x:c r="AH38" s="21" t="n">
        <x:v>1</x:v>
      </x:c>
      <x:c r="AI38" s="21" t="n">
        <x:v>5</x:v>
      </x:c>
      <x:c r="AJ38" s="22" t="str">
        <x:v>เจ้าหน้าที่ทุกคนให้ความสำคัญและความปลอดภัยแก่ผู้ป่วยและผู้รับบริการเป็นอันดับแรกเสมอ</x:v>
      </x:c>
    </x:row>
    <x:row r="39">
      <x:c r="A39" s="27" t="n">
        <x:v>46246.74071225694</x:v>
      </x:c>
      <x:c r="B39" s="21" t="str">
        <x:v>สายวิชาชีพสาธารณสุข</x:v>
      </x:c>
      <x:c r="C39" s="21" t="str">
        <x:v>ERและเปล</x:v>
      </x:c>
      <x:c r="D39" s="21" t="n">
        <x:v>1</x:v>
      </x:c>
      <x:c r="E39" s="21" t="n">
        <x:v>2</x:v>
      </x:c>
      <x:c r="F39" s="21" t="n">
        <x:v>3</x:v>
      </x:c>
      <x:c r="G39" s="21" t="n">
        <x:v>3</x:v>
      </x:c>
      <x:c r="H39" s="21" t="n">
        <x:v>3</x:v>
      </x:c>
      <x:c r="I39" s="21" t="n">
        <x:v>3</x:v>
      </x:c>
      <x:c r="J39" s="21" t="n">
        <x:v>4</x:v>
      </x:c>
      <x:c r="K39" s="21" t="n">
        <x:v>3</x:v>
      </x:c>
      <x:c r="L39" s="21" t="n">
        <x:v>3</x:v>
      </x:c>
      <x:c r="M39" s="21" t="n">
        <x:v>3</x:v>
      </x:c>
      <x:c r="N39" s="21" t="n">
        <x:v>3</x:v>
      </x:c>
      <x:c r="O39" s="21" t="n">
        <x:v>3</x:v>
      </x:c>
      <x:c r="P39" s="21" t="n">
        <x:v>2</x:v>
      </x:c>
      <x:c r="Q39" s="21" t="n">
        <x:v>3</x:v>
      </x:c>
      <x:c r="R39" s="21" t="n">
        <x:v>3</x:v>
      </x:c>
      <x:c r="S39" s="21" t="n">
        <x:v>3</x:v>
      </x:c>
      <x:c r="T39" s="21" t="n">
        <x:v>3</x:v>
      </x:c>
      <x:c r="U39" s="21" t="n">
        <x:v>2</x:v>
      </x:c>
      <x:c r="V39" s="21" t="n">
        <x:v>3</x:v>
      </x:c>
      <x:c r="W39" s="21" t="n">
        <x:v>3</x:v>
      </x:c>
      <x:c r="X39" s="21" t="n">
        <x:v>2</x:v>
      </x:c>
      <x:c r="Y39" s="21" t="n">
        <x:v>2</x:v>
      </x:c>
      <x:c r="Z39" s="21" t="n">
        <x:v>3</x:v>
      </x:c>
      <x:c r="AA39" s="21" t="n">
        <x:v>3</x:v>
      </x:c>
      <x:c r="AB39" s="21" t="n">
        <x:v>4</x:v>
      </x:c>
      <x:c r="AC39" s="21" t="n">
        <x:v>4</x:v>
      </x:c>
      <x:c r="AD39" s="21" t="n">
        <x:v>4</x:v>
      </x:c>
      <x:c r="AE39" s="21" t="n">
        <x:v>3</x:v>
      </x:c>
      <x:c r="AF39" s="21" t="n">
        <x:v>4</x:v>
      </x:c>
      <x:c r="AG39" s="21" t="n">
        <x:v>2</x:v>
      </x:c>
      <x:c r="AH39" s="21" t="n">
        <x:v>2</x:v>
      </x:c>
      <x:c r="AI39" s="21" t="n">
        <x:v>4</x:v>
      </x:c>
      <x:c r="AJ39" s="22" t="str">
        <x:v>ควรจัดสรรทรัพยากรบุคคลให้เพียงพอเพื่อแบ่งหน้าที่ของแต่ละคนชัดเจนยิ่งขึ้น เช่น เเบ่งงาน OPD และ ER ให้ชัดเจน เพื่อการทำงานเป็นไปด้วยความเรียบร้อย</x:v>
      </x:c>
    </x:row>
    <x:row r="40">
      <x:c r="A40" s="27" t="n">
        <x:v>46246.75448096065</x:v>
      </x:c>
      <x:c r="B40" s="21" t="str">
        <x:v>สายสนับสนุนทั่วไป</x:v>
      </x:c>
      <x:c r="C40" s="21" t="str">
        <x:v>จ่ายกลาง</x:v>
      </x:c>
      <x:c r="D40" s="21" t="n">
        <x:v>5</x:v>
      </x:c>
      <x:c r="E40" s="21" t="n">
        <x:v>4</x:v>
      </x:c>
      <x:c r="F40" s="21" t="n">
        <x:v>5</x:v>
      </x:c>
      <x:c r="G40" s="21" t="n">
        <x:v>5</x:v>
      </x:c>
      <x:c r="H40" s="21" t="n">
        <x:v>4</x:v>
      </x:c>
      <x:c r="I40" s="21" t="n">
        <x:v>3</x:v>
      </x:c>
      <x:c r="J40" s="21" t="n">
        <x:v>4</x:v>
      </x:c>
      <x:c r="K40" s="21" t="n">
        <x:v>5</x:v>
      </x:c>
      <x:c r="L40" s="21" t="n">
        <x:v>1</x:v>
      </x:c>
      <x:c r="M40" s="21" t="n">
        <x:v>3</x:v>
      </x:c>
      <x:c r="N40" s="21" t="n">
        <x:v>3</x:v>
      </x:c>
      <x:c r="O40" s="21" t="n">
        <x:v>5</x:v>
      </x:c>
      <x:c r="P40" s="21" t="n">
        <x:v>4</x:v>
      </x:c>
      <x:c r="Q40" s="21" t="n">
        <x:v>3</x:v>
      </x:c>
      <x:c r="R40" s="21" t="n">
        <x:v>5</x:v>
      </x:c>
      <x:c r="S40" s="21" t="n">
        <x:v>5</x:v>
      </x:c>
      <x:c r="T40" s="21" t="n">
        <x:v>5</x:v>
      </x:c>
      <x:c r="U40" s="21" t="n">
        <x:v>5</x:v>
      </x:c>
      <x:c r="V40" s="21" t="n">
        <x:v>5</x:v>
      </x:c>
      <x:c r="W40" s="21" t="n">
        <x:v>5</x:v>
      </x:c>
      <x:c r="X40" s="21" t="n">
        <x:v>5</x:v>
      </x:c>
      <x:c r="Y40" s="21" t="n">
        <x:v>4</x:v>
      </x:c>
      <x:c r="Z40" s="21" t="n">
        <x:v>4</x:v>
      </x:c>
      <x:c r="AA40" s="21" t="n">
        <x:v>4</x:v>
      </x:c>
      <x:c r="AB40" s="21" t="n">
        <x:v>3</x:v>
      </x:c>
      <x:c r="AC40" s="21" t="n">
        <x:v>3</x:v>
      </x:c>
      <x:c r="AD40" s="21" t="n">
        <x:v>5</x:v>
      </x:c>
      <x:c r="AE40" s="21" t="n">
        <x:v>5</x:v>
      </x:c>
      <x:c r="AF40" s="21" t="n">
        <x:v>1</x:v>
      </x:c>
      <x:c r="AG40" s="21" t="n">
        <x:v>1</x:v>
      </x:c>
      <x:c r="AH40" s="21" t="n">
        <x:v>1</x:v>
      </x:c>
      <x:c r="AI40" s="21" t="n">
        <x:v>5</x:v>
      </x:c>
      <x:c r="AJ40" s="22" t="str">
        <x:v>ควรทำงานร่วมกันอย่างมีประสิทธิภาพ</x:v>
      </x:c>
    </x:row>
    <x:row r="41">
      <x:c r="A41" s="27" t="n">
        <x:v>46246.75751149305</x:v>
      </x:c>
      <x:c r="B41" s="21" t="str">
        <x:v>สายวิชาชีพสาธารณสุข</x:v>
      </x:c>
      <x:c r="C41" s="21" t="str">
        <x:v>ERและเปล</x:v>
      </x:c>
      <x:c r="D41" s="21" t="n">
        <x:v>3</x:v>
      </x:c>
      <x:c r="E41" s="21" t="n">
        <x:v>3</x:v>
      </x:c>
      <x:c r="F41" s="21" t="n">
        <x:v>4</x:v>
      </x:c>
      <x:c r="G41" s="21" t="n">
        <x:v>3</x:v>
      </x:c>
      <x:c r="H41" s="21" t="n">
        <x:v>4</x:v>
      </x:c>
      <x:c r="I41" s="21" t="n">
        <x:v>4</x:v>
      </x:c>
      <x:c r="J41" s="21" t="n">
        <x:v>4</x:v>
      </x:c>
      <x:c r="K41" s="21" t="n">
        <x:v>3</x:v>
      </x:c>
      <x:c r="L41" s="21" t="n">
        <x:v>3</x:v>
      </x:c>
      <x:c r="M41" s="21" t="n">
        <x:v>3</x:v>
      </x:c>
      <x:c r="N41" s="21" t="n">
        <x:v>4</x:v>
      </x:c>
      <x:c r="O41" s="21" t="n">
        <x:v>3</x:v>
      </x:c>
      <x:c r="P41" s="21" t="n">
        <x:v>3</x:v>
      </x:c>
      <x:c r="Q41" s="21" t="n">
        <x:v>4</x:v>
      </x:c>
      <x:c r="R41" s="21" t="n">
        <x:v>3</x:v>
      </x:c>
      <x:c r="S41" s="21" t="n">
        <x:v>4</x:v>
      </x:c>
      <x:c r="T41" s="21" t="n">
        <x:v>4</x:v>
      </x:c>
      <x:c r="U41" s="21" t="n">
        <x:v>3</x:v>
      </x:c>
      <x:c r="V41" s="21" t="n">
        <x:v>3</x:v>
      </x:c>
      <x:c r="W41" s="21" t="n">
        <x:v>3</x:v>
      </x:c>
      <x:c r="X41" s="21" t="n">
        <x:v>3</x:v>
      </x:c>
      <x:c r="Y41" s="21" t="n">
        <x:v>4</x:v>
      </x:c>
      <x:c r="Z41" s="21" t="n">
        <x:v>3</x:v>
      </x:c>
      <x:c r="AA41" s="21" t="n">
        <x:v>4</x:v>
      </x:c>
      <x:c r="AB41" s="21" t="n">
        <x:v>3</x:v>
      </x:c>
      <x:c r="AC41" s="21" t="n">
        <x:v>3</x:v>
      </x:c>
      <x:c r="AD41" s="21" t="n">
        <x:v>4</x:v>
      </x:c>
      <x:c r="AE41" s="21" t="n">
        <x:v>3</x:v>
      </x:c>
      <x:c r="AF41" s="21" t="n">
        <x:v>4</x:v>
      </x:c>
      <x:c r="AG41" s="21" t="n">
        <x:v>2</x:v>
      </x:c>
      <x:c r="AH41" s="21" t="n">
        <x:v>4</x:v>
      </x:c>
      <x:c r="AI41" s="21" t="n">
        <x:v>3</x:v>
      </x:c>
      <x:c r="AJ41" s="22" t="str">
        <x:v>1. ควรมี Assign ที่ชัดเจน เพื่อป้องกันการเกี่ยงงานเมื่อคนขาดหรือลงพัก และให้ jobงานหรือหน้าที่ชัดเจนขึ้น ตอนนี้มี assign จริง แต่ควรให้มี incharge และ member ที่ชัดเจน ไม่ใช่ช่วยๆกันทำ เปลี่ยนหน้าที่ในเวรไปเรื่อยๆ เดี๋ยวinchargeเป็นmember สักพัก member มานั่งเป็น incharge  2.ควรกระจาย assignและเวรให้เท่ากัน เพื่อลดความเลื่อมล้ำหรือความลำเอียง</x:v>
      </x:c>
    </x:row>
    <x:row r="42">
      <x:c r="A42" s="27" t="n">
        <x:v>46246.76010005787</x:v>
      </x:c>
      <x:c r="B42" s="21" t="str">
        <x:v>สายวิชาชีพสาธารณสุข</x:v>
      </x:c>
      <x:c r="C42" s="21" t="str">
        <x:v>ERและเปล</x:v>
      </x:c>
      <x:c r="D42" s="21" t="n">
        <x:v>2</x:v>
      </x:c>
      <x:c r="E42" s="21" t="n">
        <x:v>2</x:v>
      </x:c>
      <x:c r="F42" s="21" t="n">
        <x:v>3</x:v>
      </x:c>
      <x:c r="G42" s="21" t="n">
        <x:v>2</x:v>
      </x:c>
      <x:c r="H42" s="21" t="n">
        <x:v>5</x:v>
      </x:c>
      <x:c r="I42" s="21" t="n">
        <x:v>4</x:v>
      </x:c>
      <x:c r="J42" s="21" t="n">
        <x:v>4</x:v>
      </x:c>
      <x:c r="K42" s="21" t="n">
        <x:v>3</x:v>
      </x:c>
      <x:c r="L42" s="21" t="n">
        <x:v>3</x:v>
      </x:c>
      <x:c r="M42" s="21" t="n">
        <x:v>2</x:v>
      </x:c>
      <x:c r="N42" s="21" t="n">
        <x:v>2</x:v>
      </x:c>
      <x:c r="O42" s="21" t="n">
        <x:v>3</x:v>
      </x:c>
      <x:c r="P42" s="21" t="n">
        <x:v>2</x:v>
      </x:c>
      <x:c r="Q42" s="21" t="n">
        <x:v>3</x:v>
      </x:c>
      <x:c r="R42" s="21" t="n">
        <x:v>2</x:v>
      </x:c>
      <x:c r="S42" s="21" t="n">
        <x:v>4</x:v>
      </x:c>
      <x:c r="T42" s="21" t="n">
        <x:v>5</x:v>
      </x:c>
      <x:c r="U42" s="21" t="n">
        <x:v>3</x:v>
      </x:c>
      <x:c r="V42" s="21" t="n">
        <x:v>3</x:v>
      </x:c>
      <x:c r="W42" s="21" t="n">
        <x:v>3</x:v>
      </x:c>
      <x:c r="X42" s="21" t="n">
        <x:v>2</x:v>
      </x:c>
      <x:c r="Y42" s="21" t="n">
        <x:v>2</x:v>
      </x:c>
      <x:c r="Z42" s="21" t="n">
        <x:v>2</x:v>
      </x:c>
      <x:c r="AA42" s="21" t="n">
        <x:v>3</x:v>
      </x:c>
      <x:c r="AB42" s="21" t="n">
        <x:v>3</x:v>
      </x:c>
      <x:c r="AC42" s="21" t="n">
        <x:v>3</x:v>
      </x:c>
      <x:c r="AD42" s="21" t="n">
        <x:v>3</x:v>
      </x:c>
      <x:c r="AE42" s="21" t="n">
        <x:v>1</x:v>
      </x:c>
      <x:c r="AF42" s="21" t="n">
        <x:v>3</x:v>
      </x:c>
      <x:c r="AG42" s="21" t="n">
        <x:v>2</x:v>
      </x:c>
      <x:c r="AH42" s="21" t="n">
        <x:v>2</x:v>
      </x:c>
      <x:c r="AI42" s="21" t="n">
        <x:v>3</x:v>
      </x:c>
      <x:c r="AJ42" s="22" t="str">
        <x:v>อยากเสนอให้พิจารณาเรื่องการจัดสรรบุคลากรระหว่างแผนกผู้ป่วยนอก (OPD) และแผนกฉุกเฉิน (ER) ให้มีความชัดเจนมากขึ้น เนื่องจากปัจจุบันยังใช้บุคลากรร่วมกันและมีการกำหนดในแต่ละวันว่าใครจะไปปฏิบัติงานที่แผนกใด ซึ่งบุคลากรแต่ละคนมีความถนัด ประสบการณ์ และความคุ้นเคยกับงานที่แตกต่างกัน  จึงอาจทำให้เกิดปัญหาเรื่องความต่อเนื่องของงาน ภาระงาน และความรับผิดชอบ รวมถึงอาจส่งผลต่อประสิทธิภาพและความปลอดภัยในการให้บริการ</x:v>
      </x:c>
    </x:row>
    <x:row r="43">
      <x:c r="A43" s="27" t="n">
        <x:v>46246.76690077546</x:v>
      </x:c>
      <x:c r="B43" s="21" t="str">
        <x:v>สายสนับสนุนทางการแพทย์</x:v>
      </x:c>
      <x:c r="C43" s="21" t="str">
        <x:v>ผู้ป่วยสัมพันธ์</x:v>
      </x:c>
      <x:c r="D43" s="21" t="n">
        <x:v>4</x:v>
      </x:c>
      <x:c r="E43" s="21" t="n">
        <x:v>3</x:v>
      </x:c>
      <x:c r="F43" s="21" t="n">
        <x:v>3</x:v>
      </x:c>
      <x:c r="G43" s="21" t="n">
        <x:v>2</x:v>
      </x:c>
      <x:c r="H43" s="21" t="n">
        <x:v>1</x:v>
      </x:c>
      <x:c r="I43" s="21" t="n">
        <x:v>2</x:v>
      </x:c>
      <x:c r="J43" s="21" t="n">
        <x:v>2</x:v>
      </x:c>
      <x:c r="K43" s="21" t="n">
        <x:v>3</x:v>
      </x:c>
      <x:c r="L43" s="21" t="n">
        <x:v>1</x:v>
      </x:c>
      <x:c r="M43" s="21" t="n">
        <x:v>3</x:v>
      </x:c>
      <x:c r="N43" s="21" t="n">
        <x:v>1</x:v>
      </x:c>
      <x:c r="O43" s="21" t="n">
        <x:v>4</x:v>
      </x:c>
      <x:c r="P43" s="21" t="n">
        <x:v>1</x:v>
      </x:c>
      <x:c r="Q43" s="21" t="n">
        <x:v>3</x:v>
      </x:c>
      <x:c r="R43" s="21" t="n">
        <x:v>3</x:v>
      </x:c>
      <x:c r="S43" s="21" t="n">
        <x:v>2</x:v>
      </x:c>
      <x:c r="T43" s="21" t="n">
        <x:v>3</x:v>
      </x:c>
      <x:c r="U43" s="21" t="n">
        <x:v>4</x:v>
      </x:c>
      <x:c r="V43" s="21" t="n">
        <x:v>4</x:v>
      </x:c>
      <x:c r="W43" s="21" t="n">
        <x:v>4</x:v>
      </x:c>
      <x:c r="X43" s="21" t="n">
        <x:v>4</x:v>
      </x:c>
      <x:c r="Y43" s="21" t="n">
        <x:v>3</x:v>
      </x:c>
      <x:c r="Z43" s="21" t="n">
        <x:v>3</x:v>
      </x:c>
      <x:c r="AA43" s="21" t="n">
        <x:v>1</x:v>
      </x:c>
      <x:c r="AB43" s="21" t="n">
        <x:v>4</x:v>
      </x:c>
      <x:c r="AC43" s="21" t="n">
        <x:v>3</x:v>
      </x:c>
      <x:c r="AD43" s="21" t="n">
        <x:v>4</x:v>
      </x:c>
      <x:c r="AE43" s="21" t="n">
        <x:v>4</x:v>
      </x:c>
      <x:c r="AF43" s="21" t="n">
        <x:v>3</x:v>
      </x:c>
      <x:c r="AG43" s="21" t="n">
        <x:v>1</x:v>
      </x:c>
      <x:c r="AH43" s="21" t="n">
        <x:v>1</x:v>
      </x:c>
      <x:c r="AI43" s="21" t="n">
        <x:v>2</x:v>
      </x:c>
      <x:c r="AJ43" s="22" t="str">
        <x:v>ควรมีความปลอดภัยมากขึ้นกว่านี้ เช่น การมีกล้องวงจรปิดทุกจุดที่มีความเสี่ยง</x:v>
      </x:c>
    </x:row>
    <x:row r="44">
      <x:c r="A44" s="27" t="n">
        <x:v>46246.78778284723</x:v>
      </x:c>
      <x:c r="B44" s="21" t="str">
        <x:v>สายวิชาชีพสาธารณสุข</x:v>
      </x:c>
      <x:c r="C44" s="21" t="str">
        <x:v>ERและเปล</x:v>
      </x:c>
      <x:c r="D44" s="21" t="n">
        <x:v>2</x:v>
      </x:c>
      <x:c r="E44" s="21" t="n">
        <x:v>3</x:v>
      </x:c>
      <x:c r="F44" s="21" t="n">
        <x:v>4</x:v>
      </x:c>
      <x:c r="G44" s="21" t="n">
        <x:v>3</x:v>
      </x:c>
      <x:c r="H44" s="21" t="n">
        <x:v>5</x:v>
      </x:c>
      <x:c r="I44" s="21" t="n">
        <x:v>5</x:v>
      </x:c>
      <x:c r="J44" s="21" t="n">
        <x:v>5</x:v>
      </x:c>
      <x:c r="K44" s="21" t="n">
        <x:v>1</x:v>
      </x:c>
      <x:c r="L44" s="21" t="n">
        <x:v>5</x:v>
      </x:c>
      <x:c r="M44" s="21" t="n">
        <x:v>2</x:v>
      </x:c>
      <x:c r="N44" s="21" t="n">
        <x:v>4</x:v>
      </x:c>
      <x:c r="O44" s="21" t="n">
        <x:v>3</x:v>
      </x:c>
      <x:c r="P44" s="21" t="n">
        <x:v>3</x:v>
      </x:c>
      <x:c r="Q44" s="21" t="n">
        <x:v>3</x:v>
      </x:c>
      <x:c r="R44" s="21" t="n">
        <x:v>3</x:v>
      </x:c>
      <x:c r="S44" s="21" t="n">
        <x:v>4</x:v>
      </x:c>
      <x:c r="T44" s="21" t="n">
        <x:v>4</x:v>
      </x:c>
      <x:c r="U44" s="21" t="n">
        <x:v>1</x:v>
      </x:c>
      <x:c r="V44" s="21" t="n">
        <x:v>3</x:v>
      </x:c>
      <x:c r="W44" s="21" t="n">
        <x:v>2</x:v>
      </x:c>
      <x:c r="X44" s="21" t="n">
        <x:v>1</x:v>
      </x:c>
      <x:c r="Y44" s="21" t="n">
        <x:v>1</x:v>
      </x:c>
      <x:c r="Z44" s="21" t="n">
        <x:v>2</x:v>
      </x:c>
      <x:c r="AA44" s="21" t="n">
        <x:v>5</x:v>
      </x:c>
      <x:c r="AB44" s="21" t="n">
        <x:v>2</x:v>
      </x:c>
      <x:c r="AC44" s="21" t="n">
        <x:v>2</x:v>
      </x:c>
      <x:c r="AD44" s="21" t="n">
        <x:v>4</x:v>
      </x:c>
      <x:c r="AE44" s="21" t="n">
        <x:v>3</x:v>
      </x:c>
      <x:c r="AF44" s="21" t="n">
        <x:v>4</x:v>
      </x:c>
      <x:c r="AG44" s="21" t="n">
        <x:v>4</x:v>
      </x:c>
      <x:c r="AH44" s="21" t="n">
        <x:v>4</x:v>
      </x:c>
      <x:c r="AI44" s="21" t="n">
        <x:v>3</x:v>
      </x:c>
      <x:c r="AJ44" s="22" t="str">
        <x:v>คนรายงานความเสี่ยงมักถูกมองว่าเป็นคนไม่ดี เลยไม่มีใครกล้าทำ</x:v>
      </x:c>
    </x:row>
    <x:row r="45">
      <x:c r="A45" s="27" t="n">
        <x:v>46246.79125724537</x:v>
      </x:c>
      <x:c r="B45" s="21" t="str">
        <x:v>สายสนับสนุนทั่วไป</x:v>
      </x:c>
      <x:c r="C45" s="21" t="str">
        <x:v>ERและเปล</x:v>
      </x:c>
      <x:c r="D45" s="21" t="n">
        <x:v>3</x:v>
      </x:c>
      <x:c r="E45" s="21" t="n">
        <x:v>3</x:v>
      </x:c>
      <x:c r="F45" s="21" t="n">
        <x:v>3</x:v>
      </x:c>
      <x:c r="G45" s="21" t="n">
        <x:v>4</x:v>
      </x:c>
      <x:c r="H45" s="21" t="n">
        <x:v>2</x:v>
      </x:c>
      <x:c r="I45" s="21" t="n">
        <x:v>4</x:v>
      </x:c>
      <x:c r="J45" s="21" t="n">
        <x:v>4</x:v>
      </x:c>
      <x:c r="K45" s="21" t="n">
        <x:v>4</x:v>
      </x:c>
      <x:c r="L45" s="21" t="n">
        <x:v>2</x:v>
      </x:c>
      <x:c r="M45" s="21" t="n">
        <x:v>2</x:v>
      </x:c>
      <x:c r="N45" s="21" t="n">
        <x:v>2</x:v>
      </x:c>
      <x:c r="O45" s="21" t="n">
        <x:v>4</x:v>
      </x:c>
      <x:c r="P45" s="21" t="n">
        <x:v>1</x:v>
      </x:c>
      <x:c r="Q45" s="21" t="n">
        <x:v>3</x:v>
      </x:c>
      <x:c r="R45" s="21" t="n">
        <x:v>4</x:v>
      </x:c>
      <x:c r="S45" s="21" t="n">
        <x:v>2</x:v>
      </x:c>
      <x:c r="T45" s="21" t="n">
        <x:v>3</x:v>
      </x:c>
      <x:c r="U45" s="21" t="n">
        <x:v>2</x:v>
      </x:c>
      <x:c r="V45" s="21" t="n">
        <x:v>2</x:v>
      </x:c>
      <x:c r="W45" s="21" t="n">
        <x:v>4</x:v>
      </x:c>
      <x:c r="X45" s="21" t="n">
        <x:v>3</x:v>
      </x:c>
      <x:c r="Y45" s="21" t="n">
        <x:v>2</x:v>
      </x:c>
      <x:c r="Z45" s="21" t="n">
        <x:v>2</x:v>
      </x:c>
      <x:c r="AA45" s="21" t="n">
        <x:v>2</x:v>
      </x:c>
      <x:c r="AB45" s="21" t="n">
        <x:v>2</x:v>
      </x:c>
      <x:c r="AC45" s="21" t="n">
        <x:v>3</x:v>
      </x:c>
      <x:c r="AD45" s="21" t="n">
        <x:v>5</x:v>
      </x:c>
      <x:c r="AE45" s="21" t="n">
        <x:v>3</x:v>
      </x:c>
      <x:c r="AF45" s="21" t="n">
        <x:v>2</x:v>
      </x:c>
      <x:c r="AG45" s="21" t="n">
        <x:v>2</x:v>
      </x:c>
      <x:c r="AH45" s="21" t="n">
        <x:v>4</x:v>
      </x:c>
      <x:c r="AI45" s="21" t="n">
        <x:v>3</x:v>
      </x:c>
      <x:c r="AJ45" s="22" t="str">
        <x:v>โอเค</x:v>
      </x:c>
    </x:row>
    <x:row r="46">
      <x:c r="A46" s="27" t="n">
        <x:v>46246.8589022338</x:v>
      </x:c>
      <x:c r="B46" s="21" t="str">
        <x:v>สายสนับสนุนทางการแพทย์</x:v>
      </x:c>
      <x:c r="C46" s="21" t="str">
        <x:v>ERและเปล</x:v>
      </x:c>
      <x:c r="D46" s="21" t="n">
        <x:v>3</x:v>
      </x:c>
      <x:c r="E46" s="21" t="n">
        <x:v>3</x:v>
      </x:c>
      <x:c r="F46" s="21" t="n">
        <x:v>3</x:v>
      </x:c>
      <x:c r="G46" s="21" t="n">
        <x:v>4</x:v>
      </x:c>
      <x:c r="H46" s="21" t="n">
        <x:v>3</x:v>
      </x:c>
      <x:c r="I46" s="21" t="n">
        <x:v>3</x:v>
      </x:c>
      <x:c r="J46" s="21" t="n">
        <x:v>2</x:v>
      </x:c>
      <x:c r="K46" s="21" t="n">
        <x:v>3</x:v>
      </x:c>
      <x:c r="L46" s="21" t="n">
        <x:v>3</x:v>
      </x:c>
      <x:c r="M46" s="21" t="n">
        <x:v>4</x:v>
      </x:c>
      <x:c r="N46" s="21" t="n">
        <x:v>3</x:v>
      </x:c>
      <x:c r="O46" s="21" t="n">
        <x:v>4</x:v>
      </x:c>
      <x:c r="P46" s="21" t="n">
        <x:v>2</x:v>
      </x:c>
      <x:c r="Q46" s="21" t="n">
        <x:v>4</x:v>
      </x:c>
      <x:c r="R46" s="21" t="n">
        <x:v>3</x:v>
      </x:c>
      <x:c r="S46" s="21" t="n">
        <x:v>3</x:v>
      </x:c>
      <x:c r="T46" s="21" t="n">
        <x:v>4</x:v>
      </x:c>
      <x:c r="U46" s="21" t="n">
        <x:v>3</x:v>
      </x:c>
      <x:c r="V46" s="21" t="n">
        <x:v>4</x:v>
      </x:c>
      <x:c r="W46" s="21" t="n">
        <x:v>3</x:v>
      </x:c>
      <x:c r="X46" s="21" t="n">
        <x:v>4</x:v>
      </x:c>
      <x:c r="Y46" s="21" t="n">
        <x:v>3</x:v>
      </x:c>
      <x:c r="Z46" s="21" t="n">
        <x:v>3</x:v>
      </x:c>
      <x:c r="AA46" s="21" t="n">
        <x:v>3</x:v>
      </x:c>
      <x:c r="AB46" s="21" t="n">
        <x:v>3</x:v>
      </x:c>
      <x:c r="AC46" s="21" t="n">
        <x:v>4</x:v>
      </x:c>
      <x:c r="AD46" s="21" t="n">
        <x:v>3</x:v>
      </x:c>
      <x:c r="AE46" s="21" t="n">
        <x:v>3</x:v>
      </x:c>
      <x:c r="AF46" s="21" t="n">
        <x:v>3</x:v>
      </x:c>
      <x:c r="AG46" s="21" t="n">
        <x:v>3</x:v>
      </x:c>
      <x:c r="AH46" s="21" t="n">
        <x:v>2</x:v>
      </x:c>
      <x:c r="AI46" s="21" t="n">
        <x:v>3</x:v>
      </x:c>
      <x:c r="AJ46" s="22" t="str">
        <x:v>.</x:v>
      </x:c>
    </x:row>
    <x:row r="47">
      <x:c r="A47" s="27" t="n">
        <x:v>46246.93563269676</x:v>
      </x:c>
      <x:c r="B47" s="21" t="str">
        <x:v>สายสนับสนุนทั่วไป</x:v>
      </x:c>
      <x:c r="C47" s="21" t="str">
        <x:v>IPD</x:v>
      </x:c>
      <x:c r="D47" s="21" t="n">
        <x:v>3</x:v>
      </x:c>
      <x:c r="E47" s="21" t="n">
        <x:v>3</x:v>
      </x:c>
      <x:c r="F47" s="21" t="n">
        <x:v>3</x:v>
      </x:c>
      <x:c r="G47" s="21" t="n">
        <x:v>3</x:v>
      </x:c>
      <x:c r="H47" s="21" t="n">
        <x:v>4</x:v>
      </x:c>
      <x:c r="I47" s="21" t="n">
        <x:v>4</x:v>
      </x:c>
      <x:c r="J47" s="21" t="n">
        <x:v>3</x:v>
      </x:c>
      <x:c r="K47" s="21" t="n">
        <x:v>3</x:v>
      </x:c>
      <x:c r="L47" s="21" t="n">
        <x:v>4</x:v>
      </x:c>
      <x:c r="M47" s="21" t="n">
        <x:v>3</x:v>
      </x:c>
      <x:c r="N47" s="21" t="n">
        <x:v>3</x:v>
      </x:c>
      <x:c r="O47" s="21" t="n">
        <x:v>3</x:v>
      </x:c>
      <x:c r="P47" s="21" t="n">
        <x:v>4</x:v>
      </x:c>
      <x:c r="Q47" s="21" t="n">
        <x:v>3</x:v>
      </x:c>
      <x:c r="R47" s="21" t="n">
        <x:v>3</x:v>
      </x:c>
      <x:c r="S47" s="21" t="n">
        <x:v>3</x:v>
      </x:c>
      <x:c r="T47" s="21" t="n">
        <x:v>3</x:v>
      </x:c>
      <x:c r="U47" s="21" t="n">
        <x:v>3</x:v>
      </x:c>
      <x:c r="V47" s="21" t="n">
        <x:v>4</x:v>
      </x:c>
      <x:c r="W47" s="21" t="n">
        <x:v>2</x:v>
      </x:c>
      <x:c r="X47" s="21" t="n">
        <x:v>3</x:v>
      </x:c>
      <x:c r="Y47" s="21" t="n">
        <x:v>3</x:v>
      </x:c>
      <x:c r="Z47" s="21" t="n">
        <x:v>3</x:v>
      </x:c>
      <x:c r="AA47" s="21" t="n">
        <x:v>3</x:v>
      </x:c>
      <x:c r="AB47" s="21" t="n">
        <x:v>3</x:v>
      </x:c>
      <x:c r="AC47" s="21" t="n">
        <x:v>3</x:v>
      </x:c>
      <x:c r="AD47" s="21" t="n">
        <x:v>2</x:v>
      </x:c>
      <x:c r="AE47" s="21" t="n">
        <x:v>3</x:v>
      </x:c>
      <x:c r="AF47" s="21" t="n">
        <x:v>3</x:v>
      </x:c>
      <x:c r="AG47" s="21" t="n">
        <x:v>4</x:v>
      </x:c>
      <x:c r="AH47" s="21" t="n">
        <x:v>4</x:v>
      </x:c>
      <x:c r="AI47" s="21" t="n">
        <x:v>3</x:v>
      </x:c>
      <x:c r="AJ47" s="22" t="str">
        <x:v>ความปลอดภัยเป็นอย่างดีเยี่ยม</x:v>
      </x:c>
    </x:row>
    <x:row r="48">
      <x:c r="A48" s="27" t="n">
        <x:v>46247.022123483795</x:v>
      </x:c>
      <x:c r="B48" s="21" t="str">
        <x:v>สายสนับสนุนทางการแพทย์</x:v>
      </x:c>
      <x:c r="C48" s="21" t="str">
        <x:v>ICU</x:v>
      </x:c>
      <x:c r="D48" s="21" t="n">
        <x:v>4</x:v>
      </x:c>
      <x:c r="E48" s="21" t="n">
        <x:v>4</x:v>
      </x:c>
      <x:c r="F48" s="21" t="n">
        <x:v>4</x:v>
      </x:c>
      <x:c r="G48" s="21" t="n">
        <x:v>4</x:v>
      </x:c>
      <x:c r="H48" s="21" t="n">
        <x:v>3</x:v>
      </x:c>
      <x:c r="I48" s="21" t="n">
        <x:v>3</x:v>
      </x:c>
      <x:c r="J48" s="21" t="n">
        <x:v>3</x:v>
      </x:c>
      <x:c r="K48" s="21" t="n">
        <x:v>5</x:v>
      </x:c>
      <x:c r="L48" s="21" t="n">
        <x:v>4</x:v>
      </x:c>
      <x:c r="M48" s="21" t="n">
        <x:v>4</x:v>
      </x:c>
      <x:c r="N48" s="21" t="n">
        <x:v>2</x:v>
      </x:c>
      <x:c r="O48" s="21" t="n">
        <x:v>4</x:v>
      </x:c>
      <x:c r="P48" s="21" t="n">
        <x:v>1</x:v>
      </x:c>
      <x:c r="Q48" s="21" t="n">
        <x:v>1</x:v>
      </x:c>
      <x:c r="R48" s="21" t="n">
        <x:v>5</x:v>
      </x:c>
      <x:c r="S48" s="21" t="n">
        <x:v>4</x:v>
      </x:c>
      <x:c r="T48" s="21" t="n">
        <x:v>4</x:v>
      </x:c>
      <x:c r="U48" s="21" t="n">
        <x:v>5</x:v>
      </x:c>
      <x:c r="V48" s="21" t="n">
        <x:v>5</x:v>
      </x:c>
      <x:c r="W48" s="21" t="n">
        <x:v>5</x:v>
      </x:c>
      <x:c r="X48" s="21" t="n">
        <x:v>4</x:v>
      </x:c>
      <x:c r="Y48" s="21" t="n">
        <x:v>4</x:v>
      </x:c>
      <x:c r="Z48" s="21" t="n">
        <x:v>4</x:v>
      </x:c>
      <x:c r="AA48" s="21" t="n">
        <x:v>2</x:v>
      </x:c>
      <x:c r="AB48" s="21" t="n">
        <x:v>2</x:v>
      </x:c>
      <x:c r="AC48" s="21" t="n">
        <x:v>2</x:v>
      </x:c>
      <x:c r="AD48" s="21" t="n">
        <x:v>5</x:v>
      </x:c>
      <x:c r="AE48" s="21" t="n">
        <x:v>4</x:v>
      </x:c>
      <x:c r="AF48" s="21" t="n">
        <x:v>1</x:v>
      </x:c>
      <x:c r="AG48" s="21" t="n">
        <x:v>1</x:v>
      </x:c>
      <x:c r="AH48" s="21" t="n">
        <x:v>1</x:v>
      </x:c>
      <x:c r="AI48" s="21" t="n">
        <x:v>4</x:v>
      </x:c>
      <x:c r="AJ48" s="22" t="str">
        <x:v>ตอนนี้มีระบบการจัดการความปลอดภัยในรพ.ได้ดี มีเครื่องมือคู่มือต่างๆมาช่วยมากขึ้น แม้มีเหตุการณ์/ปัญหาที่เกิดขึ้นมาในหลากหลายแบบ สามารถมีแนวทางจากคู่มือที่จัดทำขึ้น ช่วยเป็นแนวทางแก้ปัญหาและทบทวนได้ดี</x:v>
      </x:c>
    </x:row>
    <x:row r="49">
      <x:c r="A49" s="27" t="n">
        <x:v>46247.31691980324</x:v>
      </x:c>
      <x:c r="B49" s="21" t="str">
        <x:v>สายสนับสนุนทั่วไป</x:v>
      </x:c>
      <x:c r="C49" s="21" t="str">
        <x:v>ERและเปล</x:v>
      </x:c>
      <x:c r="D49" s="21" t="n">
        <x:v>5</x:v>
      </x:c>
      <x:c r="E49" s="21" t="n">
        <x:v>5</x:v>
      </x:c>
      <x:c r="F49" s="21" t="n">
        <x:v>4</x:v>
      </x:c>
      <x:c r="G49" s="21" t="n">
        <x:v>5</x:v>
      </x:c>
      <x:c r="H49" s="21" t="n">
        <x:v>5</x:v>
      </x:c>
      <x:c r="I49" s="21" t="n">
        <x:v>1</x:v>
      </x:c>
      <x:c r="J49" s="21" t="n">
        <x:v>1</x:v>
      </x:c>
      <x:c r="K49" s="21" t="n">
        <x:v>5</x:v>
      </x:c>
      <x:c r="L49" s="21" t="n">
        <x:v>1</x:v>
      </x:c>
      <x:c r="M49" s="21" t="n">
        <x:v>1</x:v>
      </x:c>
      <x:c r="N49" s="21" t="n">
        <x:v>5</x:v>
      </x:c>
      <x:c r="O49" s="21" t="n">
        <x:v>5</x:v>
      </x:c>
      <x:c r="P49" s="21" t="n">
        <x:v>1</x:v>
      </x:c>
      <x:c r="Q49" s="21" t="n">
        <x:v>2</x:v>
      </x:c>
      <x:c r="R49" s="21" t="n">
        <x:v>5</x:v>
      </x:c>
      <x:c r="S49" s="21" t="n">
        <x:v>5</x:v>
      </x:c>
      <x:c r="T49" s="21" t="n">
        <x:v>5</x:v>
      </x:c>
      <x:c r="U49" s="21" t="n">
        <x:v>5</x:v>
      </x:c>
      <x:c r="V49" s="21" t="n">
        <x:v>5</x:v>
      </x:c>
      <x:c r="W49" s="21" t="n">
        <x:v>5</x:v>
      </x:c>
      <x:c r="X49" s="21" t="n">
        <x:v>5</x:v>
      </x:c>
      <x:c r="Y49" s="21" t="n">
        <x:v>5</x:v>
      </x:c>
      <x:c r="Z49" s="21" t="n">
        <x:v>5</x:v>
      </x:c>
      <x:c r="AA49" s="21" t="n">
        <x:v>5</x:v>
      </x:c>
      <x:c r="AB49" s="21" t="n">
        <x:v>1</x:v>
      </x:c>
      <x:c r="AC49" s="21" t="n">
        <x:v>1</x:v>
      </x:c>
      <x:c r="AD49" s="21" t="n">
        <x:v>5</x:v>
      </x:c>
      <x:c r="AE49" s="21" t="n">
        <x:v>5</x:v>
      </x:c>
      <x:c r="AF49" s="21" t="n">
        <x:v>5</x:v>
      </x:c>
      <x:c r="AG49" s="21" t="n">
        <x:v>1</x:v>
      </x:c>
      <x:c r="AH49" s="21" t="n">
        <x:v>1</x:v>
      </x:c>
      <x:c r="AI49" s="21" t="n">
        <x:v>5</x:v>
      </x:c>
      <x:c r="AJ49" s="22" t="str">
        <x:v>เห็นด้วยคะ เพื่อความปลอดภัยของโรงพยาบาล</x:v>
      </x:c>
    </x:row>
    <x:row r="50">
      <x:c r="A50" s="27" t="n">
        <x:v>46247.44433636574</x:v>
      </x:c>
      <x:c r="B50" s="21" t="str">
        <x:v>สายสนับสนุนทั่วไป</x:v>
      </x:c>
      <x:c r="C50" s="21" t="str">
        <x:v>การเงิน</x:v>
      </x:c>
      <x:c r="D50" s="21" t="n">
        <x:v>1</x:v>
      </x:c>
      <x:c r="E50" s="21" t="n">
        <x:v>1</x:v>
      </x:c>
      <x:c r="F50" s="21" t="n">
        <x:v>1</x:v>
      </x:c>
      <x:c r="G50" s="21" t="n">
        <x:v>1</x:v>
      </x:c>
      <x:c r="H50" s="21" t="n">
        <x:v>1</x:v>
      </x:c>
      <x:c r="I50" s="21" t="n">
        <x:v>2</x:v>
      </x:c>
      <x:c r="J50" s="21" t="n">
        <x:v>5</x:v>
      </x:c>
      <x:c r="K50" s="21" t="n">
        <x:v>3</x:v>
      </x:c>
      <x:c r="L50" s="21" t="n">
        <x:v>2</x:v>
      </x:c>
      <x:c r="M50" s="21" t="n">
        <x:v>2</x:v>
      </x:c>
      <x:c r="N50" s="21" t="n">
        <x:v>1</x:v>
      </x:c>
      <x:c r="O50" s="21" t="n">
        <x:v>5</x:v>
      </x:c>
      <x:c r="P50" s="21" t="n">
        <x:v>5</x:v>
      </x:c>
      <x:c r="Q50" s="21" t="n">
        <x:v>3</x:v>
      </x:c>
      <x:c r="R50" s="21" t="n">
        <x:v>1</x:v>
      </x:c>
      <x:c r="S50" s="21" t="n">
        <x:v>1</x:v>
      </x:c>
      <x:c r="T50" s="21" t="n">
        <x:v>2</x:v>
      </x:c>
      <x:c r="U50" s="21" t="n">
        <x:v>2</x:v>
      </x:c>
      <x:c r="V50" s="21" t="n">
        <x:v>2</x:v>
      </x:c>
      <x:c r="W50" s="21" t="n">
        <x:v>3</x:v>
      </x:c>
      <x:c r="X50" s="21" t="n">
        <x:v>4</x:v>
      </x:c>
      <x:c r="Y50" s="21" t="n">
        <x:v>3</x:v>
      </x:c>
      <x:c r="Z50" s="21" t="n">
        <x:v>2</x:v>
      </x:c>
      <x:c r="AA50" s="21" t="n">
        <x:v>2</x:v>
      </x:c>
      <x:c r="AB50" s="21" t="n">
        <x:v>2</x:v>
      </x:c>
      <x:c r="AC50" s="21" t="n">
        <x:v>3</x:v>
      </x:c>
      <x:c r="AD50" s="21" t="n">
        <x:v>2</x:v>
      </x:c>
      <x:c r="AE50" s="21" t="n">
        <x:v>3</x:v>
      </x:c>
      <x:c r="AF50" s="21" t="n">
        <x:v>2</x:v>
      </x:c>
      <x:c r="AG50" s="21" t="n">
        <x:v>2</x:v>
      </x:c>
      <x:c r="AH50" s="21" t="n">
        <x:v>2</x:v>
      </x:c>
      <x:c r="AI50" s="21" t="n">
        <x:v>3</x:v>
      </x:c>
      <x:c r="AJ50" s="22" t="str">
        <x:v>ขอทำเคาน์เตอร์ระบบเปิดปิด.เพือความปลอดภัยเวรกลางคืน</x:v>
      </x:c>
    </x:row>
    <x:row r="51">
      <x:c r="A51" s="27" t="n">
        <x:v>46248.88288826389</x:v>
      </x:c>
      <x:c r="B51" s="21" t="str">
        <x:v>สายวิชาชีพสาธารณสุข</x:v>
      </x:c>
      <x:c r="C51" s="21" t="str">
        <x:v>ERและเปล</x:v>
      </x:c>
      <x:c r="D51" s="21" t="n">
        <x:v>2</x:v>
      </x:c>
      <x:c r="E51" s="21" t="n">
        <x:v>1</x:v>
      </x:c>
      <x:c r="F51" s="21" t="n">
        <x:v>5</x:v>
      </x:c>
      <x:c r="G51" s="21" t="n">
        <x:v>2</x:v>
      </x:c>
      <x:c r="H51" s="21" t="n">
        <x:v>5</x:v>
      </x:c>
      <x:c r="I51" s="21" t="n">
        <x:v>5</x:v>
      </x:c>
      <x:c r="J51" s="21" t="n">
        <x:v>3</x:v>
      </x:c>
      <x:c r="K51" s="21" t="n">
        <x:v>2</x:v>
      </x:c>
      <x:c r="L51" s="21" t="n">
        <x:v>5</x:v>
      </x:c>
      <x:c r="M51" s="21" t="n">
        <x:v>3</x:v>
      </x:c>
      <x:c r="N51" s="21" t="n">
        <x:v>4</x:v>
      </x:c>
      <x:c r="O51" s="21" t="n">
        <x:v>3</x:v>
      </x:c>
      <x:c r="P51" s="21" t="n">
        <x:v>2</x:v>
      </x:c>
      <x:c r="Q51" s="21" t="n">
        <x:v>2</x:v>
      </x:c>
      <x:c r="R51" s="21" t="n">
        <x:v>4</x:v>
      </x:c>
      <x:c r="S51" s="21" t="n">
        <x:v>1</x:v>
      </x:c>
      <x:c r="T51" s="21" t="n">
        <x:v>4</x:v>
      </x:c>
      <x:c r="U51" s="21" t="n">
        <x:v>4</x:v>
      </x:c>
      <x:c r="V51" s="21" t="n">
        <x:v>3</x:v>
      </x:c>
      <x:c r="W51" s="21" t="n">
        <x:v>3</x:v>
      </x:c>
      <x:c r="X51" s="21" t="n">
        <x:v>4</x:v>
      </x:c>
      <x:c r="Y51" s="21" t="n">
        <x:v>2</x:v>
      </x:c>
      <x:c r="Z51" s="21" t="n">
        <x:v>4</x:v>
      </x:c>
      <x:c r="AA51" s="21" t="n">
        <x:v>3</x:v>
      </x:c>
      <x:c r="AB51" s="21" t="n">
        <x:v>4</x:v>
      </x:c>
      <x:c r="AC51" s="21" t="n">
        <x:v>4</x:v>
      </x:c>
      <x:c r="AD51" s="21" t="n">
        <x:v>5</x:v>
      </x:c>
      <x:c r="AE51" s="21" t="n">
        <x:v>3</x:v>
      </x:c>
      <x:c r="AF51" s="21" t="n">
        <x:v>1</x:v>
      </x:c>
      <x:c r="AG51" s="21" t="n">
        <x:v>1</x:v>
      </x:c>
      <x:c r="AH51" s="21" t="n">
        <x:v>1</x:v>
      </x:c>
      <x:c r="AI51" s="21" t="n">
        <x:v>4</x:v>
      </x:c>
      <x:c r="AJ51" s="22" t="str">
        <x:v>รพควรมีเจ้าหน้าที่รักษาความปลอดภัยประจำโรงพยาบาล</x:v>
      </x:c>
    </x:row>
    <x:row r="52">
      <x:c r="A52" s="27" t="n">
        <x:v>46248.89595329861</x:v>
      </x:c>
      <x:c r="B52" s="21" t="str">
        <x:v>สายสนับสนุนทางการแพทย์</x:v>
      </x:c>
      <x:c r="C52" s="21" t="str">
        <x:v>ห้องยา</x:v>
      </x:c>
      <x:c r="D52" s="21" t="n">
        <x:v>4</x:v>
      </x:c>
      <x:c r="E52" s="21" t="n">
        <x:v>4</x:v>
      </x:c>
      <x:c r="F52" s="21" t="n">
        <x:v>3</x:v>
      </x:c>
      <x:c r="G52" s="21" t="n">
        <x:v>5</x:v>
      </x:c>
      <x:c r="H52" s="21" t="n">
        <x:v>2</x:v>
      </x:c>
      <x:c r="I52" s="21" t="n">
        <x:v>3</x:v>
      </x:c>
      <x:c r="J52" s="21" t="n">
        <x:v>3</x:v>
      </x:c>
      <x:c r="K52" s="21" t="n">
        <x:v>4</x:v>
      </x:c>
      <x:c r="L52" s="21" t="n">
        <x:v>4</x:v>
      </x:c>
      <x:c r="M52" s="21" t="n">
        <x:v>4</x:v>
      </x:c>
      <x:c r="N52" s="21" t="n">
        <x:v>2</x:v>
      </x:c>
      <x:c r="O52" s="21" t="n">
        <x:v>4</x:v>
      </x:c>
      <x:c r="P52" s="21" t="n">
        <x:v>3</x:v>
      </x:c>
      <x:c r="Q52" s="21" t="n">
        <x:v>4</x:v>
      </x:c>
      <x:c r="R52" s="21" t="n">
        <x:v>5</x:v>
      </x:c>
      <x:c r="S52" s="21" t="n">
        <x:v>2</x:v>
      </x:c>
      <x:c r="T52" s="21" t="n">
        <x:v>4</x:v>
      </x:c>
      <x:c r="U52" s="21" t="n">
        <x:v>5</x:v>
      </x:c>
      <x:c r="V52" s="21" t="n">
        <x:v>5</x:v>
      </x:c>
      <x:c r="W52" s="21" t="n">
        <x:v>4</x:v>
      </x:c>
      <x:c r="X52" s="21" t="n">
        <x:v>4</x:v>
      </x:c>
      <x:c r="Y52" s="21" t="n">
        <x:v>4</x:v>
      </x:c>
      <x:c r="Z52" s="21" t="n">
        <x:v>5</x:v>
      </x:c>
      <x:c r="AA52" s="21" t="n">
        <x:v>3</x:v>
      </x:c>
      <x:c r="AB52" s="21" t="n">
        <x:v>5</x:v>
      </x:c>
      <x:c r="AC52" s="21" t="n">
        <x:v>5</x:v>
      </x:c>
      <x:c r="AD52" s="21" t="n">
        <x:v>5</x:v>
      </x:c>
      <x:c r="AE52" s="21" t="n">
        <x:v>4</x:v>
      </x:c>
      <x:c r="AF52" s="21" t="n">
        <x:v>1</x:v>
      </x:c>
      <x:c r="AG52" s="21" t="n">
        <x:v>1</x:v>
      </x:c>
      <x:c r="AH52" s="21" t="n">
        <x:v>1</x:v>
      </x:c>
      <x:c r="AI52" s="21" t="n">
        <x:v>5</x:v>
      </x:c>
      <x:c r="AJ52" s="22" t="str">
        <x:v>ไม่มี</x:v>
      </x:c>
    </x:row>
    <x:row r="53">
      <x:c r="A53" s="27" t="n">
        <x:v>46248.903350196764</x:v>
      </x:c>
      <x:c r="B53" s="21" t="str">
        <x:v>สายสนับสนุนทางการแพทย์</x:v>
      </x:c>
      <x:c r="C53" s="21" t="str">
        <x:v>ฝ่ายการพยาบาล</x:v>
      </x:c>
      <x:c r="D53" s="21" t="n">
        <x:v>5</x:v>
      </x:c>
      <x:c r="E53" s="21" t="n">
        <x:v>4</x:v>
      </x:c>
      <x:c r="F53" s="21" t="n">
        <x:v>1</x:v>
      </x:c>
      <x:c r="G53" s="21" t="n">
        <x:v>5</x:v>
      </x:c>
      <x:c r="H53" s="21" t="n">
        <x:v>4</x:v>
      </x:c>
      <x:c r="I53" s="21" t="n">
        <x:v>1</x:v>
      </x:c>
      <x:c r="J53" s="21" t="n">
        <x:v>1</x:v>
      </x:c>
      <x:c r="K53" s="21" t="n">
        <x:v>5</x:v>
      </x:c>
      <x:c r="L53" s="21" t="n">
        <x:v>1</x:v>
      </x:c>
      <x:c r="M53" s="21" t="n">
        <x:v>5</x:v>
      </x:c>
      <x:c r="N53" s="21" t="n">
        <x:v>1</x:v>
      </x:c>
      <x:c r="O53" s="21" t="n">
        <x:v>5</x:v>
      </x:c>
      <x:c r="P53" s="21" t="n">
        <x:v>1</x:v>
      </x:c>
      <x:c r="Q53" s="21" t="n">
        <x:v>1</x:v>
      </x:c>
      <x:c r="R53" s="21" t="n">
        <x:v>5</x:v>
      </x:c>
      <x:c r="S53" s="21" t="n">
        <x:v>1</x:v>
      </x:c>
      <x:c r="T53" s="21" t="n">
        <x:v>5</x:v>
      </x:c>
      <x:c r="U53" s="21" t="n">
        <x:v>5</x:v>
      </x:c>
      <x:c r="V53" s="21" t="n">
        <x:v>5</x:v>
      </x:c>
      <x:c r="W53" s="21" t="n">
        <x:v>5</x:v>
      </x:c>
      <x:c r="X53" s="21" t="n">
        <x:v>5</x:v>
      </x:c>
      <x:c r="Y53" s="21" t="n">
        <x:v>5</x:v>
      </x:c>
      <x:c r="Z53" s="21" t="n">
        <x:v>5</x:v>
      </x:c>
      <x:c r="AA53" s="21" t="n">
        <x:v>1</x:v>
      </x:c>
      <x:c r="AB53" s="21" t="n">
        <x:v>5</x:v>
      </x:c>
      <x:c r="AC53" s="21" t="n">
        <x:v>5</x:v>
      </x:c>
      <x:c r="AD53" s="21" t="n">
        <x:v>5</x:v>
      </x:c>
      <x:c r="AE53" s="21" t="n">
        <x:v>5</x:v>
      </x:c>
      <x:c r="AF53" s="21" t="n">
        <x:v>1</x:v>
      </x:c>
      <x:c r="AG53" s="21" t="n">
        <x:v>1</x:v>
      </x:c>
      <x:c r="AH53" s="21" t="n">
        <x:v>1</x:v>
      </x:c>
      <x:c r="AI53" s="21" t="n">
        <x:v>5</x:v>
      </x:c>
      <x:c r="AJ53" s="22" t="str">
        <x:v>มีความรับผิดชอบในการทำงาน ตั้งใจทำงานทำงานด้วยความรอบคอบ ถูกต้อง แม่นยำ</x:v>
      </x:c>
    </x:row>
    <x:row r="54">
      <x:c r="A54" s="27" t="n">
        <x:v>46248.940497986114</x:v>
      </x:c>
      <x:c r="B54" s="21" t="str">
        <x:v>สายสนับสนุนทางการแพทย์</x:v>
      </x:c>
      <x:c r="C54" s="21" t="str">
        <x:v>ห้องยา</x:v>
      </x:c>
      <x:c r="D54" s="21" t="n">
        <x:v>5</x:v>
      </x:c>
      <x:c r="E54" s="21" t="n">
        <x:v>4</x:v>
      </x:c>
      <x:c r="F54" s="21" t="n">
        <x:v>4</x:v>
      </x:c>
      <x:c r="G54" s="21" t="n">
        <x:v>5</x:v>
      </x:c>
      <x:c r="H54" s="21" t="n">
        <x:v>4</x:v>
      </x:c>
      <x:c r="I54" s="21" t="n">
        <x:v>4</x:v>
      </x:c>
      <x:c r="J54" s="21" t="n">
        <x:v>3</x:v>
      </x:c>
      <x:c r="K54" s="21" t="n">
        <x:v>5</x:v>
      </x:c>
      <x:c r="L54" s="21" t="n">
        <x:v>2</x:v>
      </x:c>
      <x:c r="M54" s="21" t="n">
        <x:v>3</x:v>
      </x:c>
      <x:c r="N54" s="21" t="n">
        <x:v>2</x:v>
      </x:c>
      <x:c r="O54" s="21" t="n">
        <x:v>3</x:v>
      </x:c>
      <x:c r="P54" s="21" t="n">
        <x:v>1</x:v>
      </x:c>
      <x:c r="Q54" s="21" t="n">
        <x:v>3</x:v>
      </x:c>
      <x:c r="R54" s="21" t="n">
        <x:v>4</x:v>
      </x:c>
      <x:c r="S54" s="21" t="n">
        <x:v>3</x:v>
      </x:c>
      <x:c r="T54" s="21" t="n">
        <x:v>4</x:v>
      </x:c>
      <x:c r="U54" s="21" t="n">
        <x:v>4</x:v>
      </x:c>
      <x:c r="V54" s="21" t="n">
        <x:v>4</x:v>
      </x:c>
      <x:c r="W54" s="21" t="n">
        <x:v>4</x:v>
      </x:c>
      <x:c r="X54" s="21" t="n">
        <x:v>5</x:v>
      </x:c>
      <x:c r="Y54" s="21" t="n">
        <x:v>4</x:v>
      </x:c>
      <x:c r="Z54" s="21" t="n">
        <x:v>5</x:v>
      </x:c>
      <x:c r="AA54" s="21" t="n">
        <x:v>3</x:v>
      </x:c>
      <x:c r="AB54" s="21" t="n">
        <x:v>3</x:v>
      </x:c>
      <x:c r="AC54" s="21" t="n">
        <x:v>2</x:v>
      </x:c>
      <x:c r="AD54" s="21" t="n">
        <x:v>5</x:v>
      </x:c>
      <x:c r="AE54" s="21" t="n">
        <x:v>4</x:v>
      </x:c>
      <x:c r="AF54" s="21" t="n">
        <x:v>1</x:v>
      </x:c>
      <x:c r="AG54" s="21" t="n">
        <x:v>1</x:v>
      </x:c>
      <x:c r="AH54" s="21" t="n">
        <x:v>1</x:v>
      </x:c>
      <x:c r="AI54" s="21" t="n">
        <x:v>4</x:v>
      </x:c>
      <x:c r="AJ54" s="22" t="str">
        <x:v>ขาดแคลนแพทย์เฉพาะทาง</x:v>
      </x:c>
    </x:row>
    <x:row r="55">
      <x:c r="A55" s="27" t="n">
        <x:v>46248.98454614583</x:v>
      </x:c>
      <x:c r="B55" s="21" t="str">
        <x:v>สายสนับสนุนทางการแพทย์</x:v>
      </x:c>
      <x:c r="C55" s="21" t="str">
        <x:v>ห้องแลป</x:v>
      </x:c>
      <x:c r="D55" s="21" t="n">
        <x:v>3</x:v>
      </x:c>
      <x:c r="E55" s="21" t="n">
        <x:v>4</x:v>
      </x:c>
      <x:c r="F55" s="21" t="n">
        <x:v>3</x:v>
      </x:c>
      <x:c r="G55" s="21" t="n">
        <x:v>4</x:v>
      </x:c>
      <x:c r="H55" s="21" t="n">
        <x:v>2</x:v>
      </x:c>
      <x:c r="I55" s="21" t="n">
        <x:v>2</x:v>
      </x:c>
      <x:c r="J55" s="21" t="n">
        <x:v>4</x:v>
      </x:c>
      <x:c r="K55" s="21" t="n">
        <x:v>3</x:v>
      </x:c>
      <x:c r="L55" s="21" t="n">
        <x:v>5</x:v>
      </x:c>
      <x:c r="M55" s="21" t="n">
        <x:v>4</x:v>
      </x:c>
      <x:c r="N55" s="21" t="n">
        <x:v>3</x:v>
      </x:c>
      <x:c r="O55" s="21" t="n">
        <x:v>3</x:v>
      </x:c>
      <x:c r="P55" s="21" t="n">
        <x:v>2</x:v>
      </x:c>
      <x:c r="Q55" s="21" t="n">
        <x:v>3</x:v>
      </x:c>
      <x:c r="R55" s="21" t="n">
        <x:v>2</x:v>
      </x:c>
      <x:c r="S55" s="21" t="n">
        <x:v>3</x:v>
      </x:c>
      <x:c r="T55" s="21" t="n">
        <x:v>3</x:v>
      </x:c>
      <x:c r="U55" s="21" t="n">
        <x:v>3</x:v>
      </x:c>
      <x:c r="V55" s="21" t="n">
        <x:v>3</x:v>
      </x:c>
      <x:c r="W55" s="21" t="n">
        <x:v>3</x:v>
      </x:c>
      <x:c r="X55" s="21" t="n">
        <x:v>3</x:v>
      </x:c>
      <x:c r="Y55" s="21" t="n">
        <x:v>3</x:v>
      </x:c>
      <x:c r="Z55" s="21" t="n">
        <x:v>3</x:v>
      </x:c>
      <x:c r="AA55" s="21" t="n">
        <x:v>3</x:v>
      </x:c>
      <x:c r="AB55" s="21" t="n">
        <x:v>3</x:v>
      </x:c>
      <x:c r="AC55" s="21" t="n">
        <x:v>3</x:v>
      </x:c>
      <x:c r="AD55" s="21" t="n">
        <x:v>4</x:v>
      </x:c>
      <x:c r="AE55" s="21" t="n">
        <x:v>3</x:v>
      </x:c>
      <x:c r="AF55" s="21" t="n">
        <x:v>3</x:v>
      </x:c>
      <x:c r="AG55" s="21" t="n">
        <x:v>2</x:v>
      </x:c>
      <x:c r="AH55" s="21" t="n">
        <x:v>2</x:v>
      </x:c>
      <x:c r="AI55" s="21" t="n">
        <x:v>2</x:v>
      </x:c>
      <x:c r="AJ55" s="22" t="str">
        <x:v>มีความปลอดภัยที่ไว้วางใจได้</x:v>
      </x:c>
    </x:row>
    <x:row r="56">
      <x:c r="A56" s="27" t="n">
        <x:v>46249.00741259259</x:v>
      </x:c>
      <x:c r="B56" s="21" t="str">
        <x:v>สายสนับสนุนทางการแพทย์</x:v>
      </x:c>
      <x:c r="C56" s="21" t="str">
        <x:v>ผู้ป่วยสัมพันธ์</x:v>
      </x:c>
      <x:c r="D56" s="21" t="n">
        <x:v>4</x:v>
      </x:c>
      <x:c r="E56" s="21" t="n">
        <x:v>3</x:v>
      </x:c>
      <x:c r="F56" s="21" t="n">
        <x:v>2</x:v>
      </x:c>
      <x:c r="G56" s="21" t="n">
        <x:v>4</x:v>
      </x:c>
      <x:c r="H56" s="21" t="n">
        <x:v>3</x:v>
      </x:c>
      <x:c r="I56" s="21" t="n">
        <x:v>4</x:v>
      </x:c>
      <x:c r="J56" s="21" t="n">
        <x:v>4</x:v>
      </x:c>
      <x:c r="K56" s="21" t="n">
        <x:v>4</x:v>
      </x:c>
      <x:c r="L56" s="21" t="n">
        <x:v>3</x:v>
      </x:c>
      <x:c r="M56" s="21" t="n">
        <x:v>4</x:v>
      </x:c>
      <x:c r="N56" s="21" t="n">
        <x:v>3</x:v>
      </x:c>
      <x:c r="O56" s="21" t="n">
        <x:v>4</x:v>
      </x:c>
      <x:c r="P56" s="21" t="n">
        <x:v>1</x:v>
      </x:c>
      <x:c r="Q56" s="21" t="n">
        <x:v>1</x:v>
      </x:c>
      <x:c r="R56" s="21" t="n">
        <x:v>5</x:v>
      </x:c>
      <x:c r="S56" s="21" t="n">
        <x:v>1</x:v>
      </x:c>
      <x:c r="T56" s="21" t="n">
        <x:v>5</x:v>
      </x:c>
      <x:c r="U56" s="21" t="n">
        <x:v>5</x:v>
      </x:c>
      <x:c r="V56" s="21" t="n">
        <x:v>5</x:v>
      </x:c>
      <x:c r="W56" s="21" t="n">
        <x:v>5</x:v>
      </x:c>
      <x:c r="X56" s="21" t="n">
        <x:v>5</x:v>
      </x:c>
      <x:c r="Y56" s="21" t="n">
        <x:v>4</x:v>
      </x:c>
      <x:c r="Z56" s="21" t="n">
        <x:v>4</x:v>
      </x:c>
      <x:c r="AA56" s="21" t="n">
        <x:v>2</x:v>
      </x:c>
      <x:c r="AB56" s="21" t="n">
        <x:v>5</x:v>
      </x:c>
      <x:c r="AC56" s="21" t="n">
        <x:v>5</x:v>
      </x:c>
      <x:c r="AD56" s="21" t="n">
        <x:v>5</x:v>
      </x:c>
      <x:c r="AE56" s="21" t="n">
        <x:v>5</x:v>
      </x:c>
      <x:c r="AF56" s="21" t="n">
        <x:v>1</x:v>
      </x:c>
      <x:c r="AG56" s="21" t="n">
        <x:v>1</x:v>
      </x:c>
      <x:c r="AH56" s="21" t="n">
        <x:v>1</x:v>
      </x:c>
      <x:c r="AI56" s="21" t="n">
        <x:v>5</x:v>
      </x:c>
      <x:c r="AJ56" s="22" t="str">
        <x:v>-</x:v>
      </x:c>
    </x:row>
    <x:row r="57">
      <x:c r="A57" s="27" t="n">
        <x:v>46249.2709694213</x:v>
      </x:c>
      <x:c r="B57" s="21" t="str">
        <x:v>สายสนับสนุนทางการแพทย์</x:v>
      </x:c>
      <x:c r="C57" s="21" t="str">
        <x:v>ห้องเอ็กซเรย์</x:v>
      </x:c>
      <x:c r="D57" s="21" t="n">
        <x:v>4</x:v>
      </x:c>
      <x:c r="E57" s="21" t="n">
        <x:v>4</x:v>
      </x:c>
      <x:c r="F57" s="21" t="n">
        <x:v>4</x:v>
      </x:c>
      <x:c r="G57" s="21" t="n">
        <x:v>4</x:v>
      </x:c>
      <x:c r="H57" s="21" t="n">
        <x:v>4</x:v>
      </x:c>
      <x:c r="I57" s="21" t="n">
        <x:v>2</x:v>
      </x:c>
      <x:c r="J57" s="21" t="n">
        <x:v>3</x:v>
      </x:c>
      <x:c r="K57" s="21" t="n">
        <x:v>4</x:v>
      </x:c>
      <x:c r="L57" s="21" t="n">
        <x:v>1</x:v>
      </x:c>
      <x:c r="M57" s="21" t="n">
        <x:v>3</x:v>
      </x:c>
      <x:c r="N57" s="21" t="n">
        <x:v>2</x:v>
      </x:c>
      <x:c r="O57" s="21" t="n">
        <x:v>4</x:v>
      </x:c>
      <x:c r="P57" s="21" t="n">
        <x:v>1</x:v>
      </x:c>
      <x:c r="Q57" s="21" t="n">
        <x:v>2</x:v>
      </x:c>
      <x:c r="R57" s="21" t="n">
        <x:v>4</x:v>
      </x:c>
      <x:c r="S57" s="21" t="n">
        <x:v>3</x:v>
      </x:c>
      <x:c r="T57" s="21" t="n">
        <x:v>4</x:v>
      </x:c>
      <x:c r="U57" s="21" t="n">
        <x:v>3</x:v>
      </x:c>
      <x:c r="V57" s="21" t="n">
        <x:v>4</x:v>
      </x:c>
      <x:c r="W57" s="21" t="n">
        <x:v>3</x:v>
      </x:c>
      <x:c r="X57" s="21" t="n">
        <x:v>3</x:v>
      </x:c>
      <x:c r="Y57" s="21" t="n">
        <x:v>3</x:v>
      </x:c>
      <x:c r="Z57" s="21" t="n">
        <x:v>3</x:v>
      </x:c>
      <x:c r="AA57" s="21" t="n">
        <x:v>3</x:v>
      </x:c>
      <x:c r="AB57" s="21" t="n">
        <x:v>3</x:v>
      </x:c>
      <x:c r="AC57" s="21" t="n">
        <x:v>3</x:v>
      </x:c>
      <x:c r="AD57" s="21" t="n">
        <x:v>4</x:v>
      </x:c>
      <x:c r="AE57" s="21" t="n">
        <x:v>4</x:v>
      </x:c>
      <x:c r="AF57" s="21" t="n">
        <x:v>2</x:v>
      </x:c>
      <x:c r="AG57" s="21" t="n">
        <x:v>3</x:v>
      </x:c>
      <x:c r="AH57" s="21" t="n">
        <x:v>3</x:v>
      </x:c>
      <x:c r="AI57" s="21" t="n">
        <x:v>4</x:v>
      </x:c>
      <x:c r="AJ57" s="22" t="str">
        <x:v>มีความปลอดภัยอยู่มาก</x:v>
      </x:c>
    </x:row>
    <x:row r="58">
      <x:c r="A58" s="27" t="n">
        <x:v>46249.42187002314</x:v>
      </x:c>
      <x:c r="B58" s="21" t="str">
        <x:v>สายสนับสนุนทั่วไป</x:v>
      </x:c>
      <x:c r="C58" s="21" t="str">
        <x:v>ผู้ป่วยสัมพันธ์</x:v>
      </x:c>
      <x:c r="D58" s="21" t="n">
        <x:v>3</x:v>
      </x:c>
      <x:c r="E58" s="21" t="n">
        <x:v>2</x:v>
      </x:c>
      <x:c r="F58" s="21" t="n">
        <x:v>2</x:v>
      </x:c>
      <x:c r="G58" s="21" t="n">
        <x:v>3</x:v>
      </x:c>
      <x:c r="H58" s="21" t="n">
        <x:v>4</x:v>
      </x:c>
      <x:c r="I58" s="21" t="n">
        <x:v>5</x:v>
      </x:c>
      <x:c r="J58" s="21" t="n">
        <x:v>5</x:v>
      </x:c>
      <x:c r="K58" s="21" t="n">
        <x:v>3</x:v>
      </x:c>
      <x:c r="L58" s="21" t="n">
        <x:v>5</x:v>
      </x:c>
      <x:c r="M58" s="21" t="n">
        <x:v>2</x:v>
      </x:c>
      <x:c r="N58" s="21" t="n">
        <x:v>2</x:v>
      </x:c>
      <x:c r="O58" s="21" t="n">
        <x:v>5</x:v>
      </x:c>
      <x:c r="P58" s="21" t="n">
        <x:v>5</x:v>
      </x:c>
      <x:c r="Q58" s="21" t="n">
        <x:v>4</x:v>
      </x:c>
      <x:c r="R58" s="21" t="n">
        <x:v>3</x:v>
      </x:c>
      <x:c r="S58" s="21" t="n">
        <x:v>3</x:v>
      </x:c>
      <x:c r="T58" s="21" t="n">
        <x:v>3</x:v>
      </x:c>
      <x:c r="U58" s="21" t="n">
        <x:v>4</x:v>
      </x:c>
      <x:c r="V58" s="21" t="n">
        <x:v>3</x:v>
      </x:c>
      <x:c r="W58" s="21" t="n">
        <x:v>4</x:v>
      </x:c>
      <x:c r="X58" s="21" t="n">
        <x:v>3</x:v>
      </x:c>
      <x:c r="Y58" s="21" t="n">
        <x:v>3</x:v>
      </x:c>
      <x:c r="Z58" s="21" t="n">
        <x:v>4</x:v>
      </x:c>
      <x:c r="AA58" s="21" t="n">
        <x:v>5</x:v>
      </x:c>
      <x:c r="AB58" s="21" t="n">
        <x:v>3</x:v>
      </x:c>
      <x:c r="AC58" s="21" t="n">
        <x:v>3</x:v>
      </x:c>
      <x:c r="AD58" s="21" t="n">
        <x:v>5</x:v>
      </x:c>
      <x:c r="AE58" s="21" t="n">
        <x:v>2</x:v>
      </x:c>
      <x:c r="AF58" s="21" t="n">
        <x:v>2</x:v>
      </x:c>
      <x:c r="AG58" s="21" t="n">
        <x:v>2</x:v>
      </x:c>
      <x:c r="AH58" s="21" t="n">
        <x:v>2</x:v>
      </x:c>
      <x:c r="AI58" s="21" t="n">
        <x:v>2</x:v>
      </x:c>
      <x:c r="AJ58" s="22" t="str">
        <x:v>อย่กให้พนักงานช่วยกันดูแลใส่ใจเรื่องการบริการกับคนป่วยและญาติเพื่อป้องกันการร้องเรียน</x:v>
      </x:c>
    </x:row>
    <x:row r="59">
      <x:c r="A59" s="28" t="n">
        <x:v>46249.501615243054</x:v>
      </x:c>
      <x:c r="B59" s="24" t="str">
        <x:v>ผู้บริหาร</x:v>
      </x:c>
      <x:c r="C59" s="24" t="str">
        <x:v>IPD</x:v>
      </x:c>
      <x:c r="D59" s="24" t="n">
        <x:v>5</x:v>
      </x:c>
      <x:c r="E59" s="24" t="n">
        <x:v>4</x:v>
      </x:c>
      <x:c r="F59" s="24" t="n">
        <x:v>4</x:v>
      </x:c>
      <x:c r="G59" s="24" t="n">
        <x:v>4</x:v>
      </x:c>
      <x:c r="H59" s="24" t="n">
        <x:v>4</x:v>
      </x:c>
      <x:c r="I59" s="24" t="n">
        <x:v>3</x:v>
      </x:c>
      <x:c r="J59" s="24" t="n">
        <x:v>3</x:v>
      </x:c>
      <x:c r="K59" s="24" t="n">
        <x:v>4</x:v>
      </x:c>
      <x:c r="L59" s="24" t="n">
        <x:v>2</x:v>
      </x:c>
      <x:c r="M59" s="24" t="n">
        <x:v>4</x:v>
      </x:c>
      <x:c r="N59" s="24" t="n">
        <x:v>3</x:v>
      </x:c>
      <x:c r="O59" s="24" t="n">
        <x:v>4</x:v>
      </x:c>
      <x:c r="P59" s="24" t="n">
        <x:v>3</x:v>
      </x:c>
      <x:c r="Q59" s="24" t="n">
        <x:v>2</x:v>
      </x:c>
      <x:c r="R59" s="24" t="n">
        <x:v>4</x:v>
      </x:c>
      <x:c r="S59" s="24" t="n">
        <x:v>2</x:v>
      </x:c>
      <x:c r="T59" s="24" t="n">
        <x:v>4</x:v>
      </x:c>
      <x:c r="U59" s="24" t="n">
        <x:v>4</x:v>
      </x:c>
      <x:c r="V59" s="24" t="n">
        <x:v>4</x:v>
      </x:c>
      <x:c r="W59" s="24" t="n">
        <x:v>4</x:v>
      </x:c>
      <x:c r="X59" s="24" t="n">
        <x:v>4</x:v>
      </x:c>
      <x:c r="Y59" s="24" t="n">
        <x:v>4</x:v>
      </x:c>
      <x:c r="Z59" s="24" t="n">
        <x:v>4</x:v>
      </x:c>
      <x:c r="AA59" s="24" t="n">
        <x:v>3</x:v>
      </x:c>
      <x:c r="AB59" s="24" t="n">
        <x:v>4</x:v>
      </x:c>
      <x:c r="AC59" s="24" t="n">
        <x:v>5</x:v>
      </x:c>
      <x:c r="AD59" s="24" t="n">
        <x:v>5</x:v>
      </x:c>
      <x:c r="AE59" s="24" t="n">
        <x:v>5</x:v>
      </x:c>
      <x:c r="AF59" s="24" t="n">
        <x:v>5</x:v>
      </x:c>
      <x:c r="AG59" s="24" t="n">
        <x:v>1</x:v>
      </x:c>
      <x:c r="AH59" s="24" t="n">
        <x:v>2</x:v>
      </x:c>
      <x:c r="AI59" s="24" t="n">
        <x:v>4</x:v>
      </x:c>
      <x:c r="AJ59" s="25" t="str">
        <x:v>-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21" hidden="0" customWidth="1"/>
    <x:col min="4" max="4" width="32" hidden="0" customWidth="1"/>
    <x:col min="5" max="5" width="32" hidden="0" customWidth="1"/>
    <x:col min="6" max="6" width="32" hidden="0" customWidth="1"/>
    <x:col min="7" max="7" width="8" hidden="0" customWidth="1"/>
    <x:col min="8" max="8" width="8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  <x:col min="19" max="19" width="8" hidden="0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  <x:col min="24" max="24" width="8" hidden="0" customWidth="1"/>
    <x:col min="25" max="25" width="8" hidden="0" customWidth="1"/>
    <x:col min="26" max="26" width="8" hidden="0" customWidth="1"/>
    <x:col min="27" max="27" width="8" hidden="0" customWidth="1"/>
    <x:col min="28" max="28" width="8" hidden="0" customWidth="1"/>
    <x:col min="29" max="29" width="8" hidden="0" customWidth="1"/>
    <x:col min="30" max="30" width="8" hidden="0" customWidth="1"/>
    <x:col min="31" max="31" width="8" hidden="0" customWidth="1"/>
    <x:col min="32" max="32" width="8" hidden="0" customWidth="1"/>
    <x:col min="33" max="33" width="8" hidden="0" customWidth="1"/>
    <x:col min="34" max="34" width="8" hidden="0" customWidth="1"/>
    <x:col min="35" max="35" width="8" hidden="0" customWidth="1"/>
    <x:col min="36" max="36" width="8" hidden="0" customWidth="1"/>
    <x:col min="37" max="37" width="8" hidden="0" customWidth="1"/>
    <x:col min="38" max="38" width="8" hidden="0" customWidth="1"/>
    <x:col min="39" max="39" width="60" hidden="0" customWidth="1"/>
    <x:col min="40" max="40" width="60" hidden="0" customWidth="1"/>
  </x:cols>
  <x:sheetData>
    <x:row r="1" ht="42" customHeight="1">
      <x:c r="A1" s="34" t="str">
        <x:v>Include_In_Analysis</x:v>
      </x:c>
      <x:c r="B1" s="34" t="str">
        <x:v>Response_ID</x:v>
      </x:c>
      <x:c r="C1" s="34" t="str">
        <x:v>Timestamp</x:v>
      </x:c>
      <x:c r="D1" s="34" t="str">
        <x:v>พื้นที่ปฏิบัติงาน</x:v>
      </x:c>
      <x:c r="E1" s="34" t="str">
        <x:v>กลุ่มตามสายงาน</x:v>
      </x:c>
      <x:c r="F1" s="34" t="str">
        <x:v>กลุ่มงาน</x:v>
      </x:c>
      <x:c r="G1" s="34" t="str">
        <x:v>A1</x:v>
      </x:c>
      <x:c r="H1" s="34" t="str">
        <x:v>A8</x:v>
      </x:c>
      <x:c r="I1" s="34" t="str">
        <x:v>A9</x:v>
      </x:c>
      <x:c r="J1" s="34" t="str">
        <x:v>A2</x:v>
      </x:c>
      <x:c r="K1" s="34" t="str">
        <x:v>A3</x:v>
      </x:c>
      <x:c r="L1" s="34" t="str">
        <x:v>A5</x:v>
      </x:c>
      <x:c r="M1" s="34" t="str">
        <x:v>A11</x:v>
      </x:c>
      <x:c r="N1" s="34" t="str">
        <x:v>A4</x:v>
      </x:c>
      <x:c r="O1" s="34" t="str">
        <x:v>A12</x:v>
      </x:c>
      <x:c r="P1" s="34" t="str">
        <x:v>A14</x:v>
      </x:c>
      <x:c r="Q1" s="34" t="str">
        <x:v>A6</x:v>
      </x:c>
      <x:c r="R1" s="34" t="str">
        <x:v>A7</x:v>
      </x:c>
      <x:c r="S1" s="34" t="str">
        <x:v>A10</x:v>
      </x:c>
      <x:c r="T1" s="34" t="str">
        <x:v>A13</x:v>
      </x:c>
      <x:c r="U1" s="34" t="str">
        <x:v>B1</x:v>
      </x:c>
      <x:c r="V1" s="34" t="str">
        <x:v>B2</x:v>
      </x:c>
      <x:c r="W1" s="34" t="str">
        <x:v>B3</x:v>
      </x:c>
      <x:c r="X1" s="34" t="str">
        <x:v>C1</x:v>
      </x:c>
      <x:c r="Y1" s="34" t="str">
        <x:v>C2</x:v>
      </x:c>
      <x:c r="Z1" s="34" t="str">
        <x:v>C3</x:v>
      </x:c>
      <x:c r="AA1" s="34" t="str">
        <x:v>C4</x:v>
      </x:c>
      <x:c r="AB1" s="34" t="str">
        <x:v>C5</x:v>
      </x:c>
      <x:c r="AC1" s="34" t="str">
        <x:v>C6</x:v>
      </x:c>
      <x:c r="AD1" s="34" t="str">
        <x:v>C7</x:v>
      </x:c>
      <x:c r="AE1" s="34" t="str">
        <x:v>D1</x:v>
      </x:c>
      <x:c r="AF1" s="34" t="str">
        <x:v>D2</x:v>
      </x:c>
      <x:c r="AG1" s="34" t="str">
        <x:v>F1</x:v>
      </x:c>
      <x:c r="AH1" s="34" t="str">
        <x:v>F2</x:v>
      </x:c>
      <x:c r="AI1" s="34" t="str">
        <x:v>F3</x:v>
      </x:c>
      <x:c r="AJ1" s="34" t="str">
        <x:v>F4</x:v>
      </x:c>
      <x:c r="AK1" s="34" t="str">
        <x:v>F5</x:v>
      </x:c>
      <x:c r="AL1" s="34" t="str">
        <x:v>F6</x:v>
      </x:c>
      <x:c r="AM1" s="34" t="str">
        <x:v>H1</x:v>
      </x:c>
      <x:c r="AN1" s="34" t="str">
        <x:v>H2</x:v>
      </x:c>
    </x:row>
    <x:row r="2">
      <x:c r="A2" s="53" t="str">
        <x:v>Yes</x:v>
      </x:c>
      <x:c r="B2" s="56" t="n">
        <x:v>1</x:v>
      </x:c>
      <x:c r="C2" s="59" t="n">
        <x:v>46245.490659664356</x:v>
      </x:c>
      <x:c r="D2" s="45" t="str">
        <x:v>ฝ่ายการพยาบาล</x:v>
      </x:c>
      <x:c r="E2" s="45" t="str">
        <x:v>สายวิชาชีพสาธารณสุข</x:v>
      </x:c>
      <x:c r="F2" s="45" t="str">
        <x:v>สายวิชาชีพสาธารณสุข</x:v>
      </x:c>
      <x:c r="G2" s="56" t="n">
        <x:v>1</x:v>
      </x:c>
      <x:c r="H2" s="56" t="n">
        <x:v>2</x:v>
      </x:c>
      <x:c r="I2" s="56" t="n">
        <x:v>5</x:v>
      </x:c>
      <x:c r="J2" s="56" t="n">
        <x:v>1</x:v>
      </x:c>
      <x:c r="K2" s="56" t="n">
        <x:v>2</x:v>
      </x:c>
      <x:c r="L2" s="56" t="n">
        <x:v>5</x:v>
      </x:c>
      <x:c r="M2" s="56" t="n">
        <x:v>5</x:v>
      </x:c>
      <x:c r="N2" s="56" t="n">
        <x:v>1</x:v>
      </x:c>
      <x:c r="O2" s="56" t="n">
        <x:v>4</x:v>
      </x:c>
      <x:c r="P2" s="56" t="n">
        <x:v>3</x:v>
      </x:c>
      <x:c r="Q2" s="56" t="n">
        <x:v>5</x:v>
      </x:c>
      <x:c r="R2" s="56" t="n">
        <x:v>5</x:v>
      </x:c>
      <x:c r="S2" s="56" t="n">
        <x:v>3</x:v>
      </x:c>
      <x:c r="T2" s="56" t="n">
        <x:v>5</x:v>
      </x:c>
      <x:c r="U2" s="56" t="n">
        <x:v>1</x:v>
      </x:c>
      <x:c r="V2" s="56" t="n">
        <x:v>1</x:v>
      </x:c>
      <x:c r="W2" s="56" t="n">
        <x:v>3</x:v>
      </x:c>
      <x:c r="X2" s="56" t="n">
        <x:v>5</x:v>
      </x:c>
      <x:c r="Y2" s="56" t="n">
        <x:v>4</x:v>
      </x:c>
      <x:c r="Z2" s="56" t="n">
        <x:v>5</x:v>
      </x:c>
      <x:c r="AA2" s="56" t="n">
        <x:v>2</x:v>
      </x:c>
      <x:c r="AB2" s="56" t="n">
        <x:v>1</x:v>
      </x:c>
      <x:c r="AC2" s="56" t="n">
        <x:v>5</x:v>
      </x:c>
      <x:c r="AD2" s="56" t="n">
        <x:v>4</x:v>
      </x:c>
      <x:c r="AE2" s="56" t="n">
        <x:v>2</x:v>
      </x:c>
      <x:c r="AF2" s="56" t="n">
        <x:v>4</x:v>
      </x:c>
      <x:c r="AG2" s="56" t="n">
        <x:v>4</x:v>
      </x:c>
      <x:c r="AH2" s="56" t="n">
        <x:v>5</x:v>
      </x:c>
      <x:c r="AI2" s="56" t="n">
        <x:v>5</x:v>
      </x:c>
      <x:c r="AJ2" s="56" t="n">
        <x:v>1</x:v>
      </x:c>
      <x:c r="AK2" s="56" t="n">
        <x:v>1</x:v>
      </x:c>
      <x:c r="AL2" s="56" t="n">
        <x:v>1</x:v>
      </x:c>
      <x:c r="AM2" s="45" t="str"/>
      <x:c r="AN2" s="46" t="str"/>
    </x:row>
    <x:row r="3">
      <x:c r="A3" s="54" t="str">
        <x:v>Yes</x:v>
      </x:c>
      <x:c r="B3" s="57" t="n">
        <x:v>2</x:v>
      </x:c>
      <x:c r="C3" s="60" t="n">
        <x:v>46245.49548337963</x:v>
      </x:c>
      <x:c r="D3" s="48" t="str">
        <x:v>ห้องเอ็กซเรย์</x:v>
      </x:c>
      <x:c r="E3" s="48" t="str">
        <x:v>สายสนับสนุนทางการแพทย์</x:v>
      </x:c>
      <x:c r="F3" s="48" t="str">
        <x:v>สายสนับสนุนทางการแพทย์</x:v>
      </x:c>
      <x:c r="G3" s="57" t="n">
        <x:v>4</x:v>
      </x:c>
      <x:c r="H3" s="57" t="n">
        <x:v>4</x:v>
      </x:c>
      <x:c r="I3" s="57" t="n">
        <x:v>1</x:v>
      </x:c>
      <x:c r="J3" s="57" t="n">
        <x:v>4</x:v>
      </x:c>
      <x:c r="K3" s="57" t="n">
        <x:v>2</x:v>
      </x:c>
      <x:c r="L3" s="57" t="n">
        <x:v>4</x:v>
      </x:c>
      <x:c r="M3" s="57" t="n">
        <x:v>1</x:v>
      </x:c>
      <x:c r="N3" s="57" t="n">
        <x:v>3</x:v>
      </x:c>
      <x:c r="O3" s="57" t="n">
        <x:v>4</x:v>
      </x:c>
      <x:c r="P3" s="57" t="n">
        <x:v>3</x:v>
      </x:c>
      <x:c r="Q3" s="57" t="n">
        <x:v>2</x:v>
      </x:c>
      <x:c r="R3" s="57" t="n">
        <x:v>2</x:v>
      </x:c>
      <x:c r="S3" s="57" t="n">
        <x:v>4</x:v>
      </x:c>
      <x:c r="T3" s="57" t="n">
        <x:v>1</x:v>
      </x:c>
      <x:c r="U3" s="57" t="n">
        <x:v>3</x:v>
      </x:c>
      <x:c r="V3" s="57" t="n">
        <x:v>2</x:v>
      </x:c>
      <x:c r="W3" s="57" t="n">
        <x:v>4</x:v>
      </x:c>
      <x:c r="X3" s="57" t="n">
        <x:v>4</x:v>
      </x:c>
      <x:c r="Y3" s="57" t="n">
        <x:v>3</x:v>
      </x:c>
      <x:c r="Z3" s="57" t="n">
        <x:v>4</x:v>
      </x:c>
      <x:c r="AA3" s="57" t="n">
        <x:v>4</x:v>
      </x:c>
      <x:c r="AB3" s="57" t="n">
        <x:v>3</x:v>
      </x:c>
      <x:c r="AC3" s="57" t="n">
        <x:v>4</x:v>
      </x:c>
      <x:c r="AD3" s="57" t="n">
        <x:v>3</x:v>
      </x:c>
      <x:c r="AE3" s="57" t="n">
        <x:v>4</x:v>
      </x:c>
      <x:c r="AF3" s="57" t="n">
        <x:v>3</x:v>
      </x:c>
      <x:c r="AG3" s="57" t="n">
        <x:v>5</x:v>
      </x:c>
      <x:c r="AH3" s="57" t="n">
        <x:v>5</x:v>
      </x:c>
      <x:c r="AI3" s="57" t="n">
        <x:v>1</x:v>
      </x:c>
      <x:c r="AJ3" s="57" t="n">
        <x:v>1</x:v>
      </x:c>
      <x:c r="AK3" s="57" t="n">
        <x:v>1</x:v>
      </x:c>
      <x:c r="AL3" s="57" t="n">
        <x:v>5</x:v>
      </x:c>
      <x:c r="AM3" s="48" t="str"/>
      <x:c r="AN3" s="49" t="str"/>
    </x:row>
    <x:row r="4">
      <x:c r="A4" s="54" t="str">
        <x:v>Yes</x:v>
      </x:c>
      <x:c r="B4" s="57" t="n">
        <x:v>3</x:v>
      </x:c>
      <x:c r="C4" s="60" t="n">
        <x:v>46245.49658319444</x:v>
      </x:c>
      <x:c r="D4" s="48" t="str">
        <x:v>ห้องแลป</x:v>
      </x:c>
      <x:c r="E4" s="48" t="str">
        <x:v>สายสนับสนุนทางการแพทย์</x:v>
      </x:c>
      <x:c r="F4" s="48" t="str">
        <x:v>สายสนับสนุนทางการแพทย์</x:v>
      </x:c>
      <x:c r="G4" s="57" t="n">
        <x:v>4</x:v>
      </x:c>
      <x:c r="H4" s="57" t="n">
        <x:v>3</x:v>
      </x:c>
      <x:c r="I4" s="57" t="n">
        <x:v>3</x:v>
      </x:c>
      <x:c r="J4" s="57" t="n">
        <x:v>5</x:v>
      </x:c>
      <x:c r="K4" s="57" t="n">
        <x:v>1</x:v>
      </x:c>
      <x:c r="L4" s="57" t="n">
        <x:v>1</x:v>
      </x:c>
      <x:c r="M4" s="57" t="n">
        <x:v>3</x:v>
      </x:c>
      <x:c r="N4" s="57" t="n">
        <x:v>4</x:v>
      </x:c>
      <x:c r="O4" s="57" t="n">
        <x:v>3</x:v>
      </x:c>
      <x:c r="P4" s="57" t="n">
        <x:v>1</x:v>
      </x:c>
      <x:c r="Q4" s="57" t="n">
        <x:v>1</x:v>
      </x:c>
      <x:c r="R4" s="57" t="n">
        <x:v>1</x:v>
      </x:c>
      <x:c r="S4" s="57" t="n">
        <x:v>4</x:v>
      </x:c>
      <x:c r="T4" s="57" t="n">
        <x:v>1</x:v>
      </x:c>
      <x:c r="U4" s="57" t="n">
        <x:v>3</x:v>
      </x:c>
      <x:c r="V4" s="57" t="n">
        <x:v>2</x:v>
      </x:c>
      <x:c r="W4" s="57" t="n">
        <x:v>2</x:v>
      </x:c>
      <x:c r="X4" s="57" t="n">
        <x:v>2</x:v>
      </x:c>
      <x:c r="Y4" s="57" t="n">
        <x:v>3</x:v>
      </x:c>
      <x:c r="Z4" s="57" t="n">
        <x:v>3</x:v>
      </x:c>
      <x:c r="AA4" s="57" t="n">
        <x:v>3</x:v>
      </x:c>
      <x:c r="AB4" s="57" t="n">
        <x:v>4</x:v>
      </x:c>
      <x:c r="AC4" s="57" t="n">
        <x:v>4</x:v>
      </x:c>
      <x:c r="AD4" s="57" t="n">
        <x:v>4</x:v>
      </x:c>
      <x:c r="AE4" s="57" t="n">
        <x:v>5</x:v>
      </x:c>
      <x:c r="AF4" s="57" t="n">
        <x:v>5</x:v>
      </x:c>
      <x:c r="AG4" s="57" t="n">
        <x:v>3</x:v>
      </x:c>
      <x:c r="AH4" s="57" t="n">
        <x:v>3</x:v>
      </x:c>
      <x:c r="AI4" s="57" t="n">
        <x:v>3</x:v>
      </x:c>
      <x:c r="AJ4" s="57" t="n">
        <x:v>3</x:v>
      </x:c>
      <x:c r="AK4" s="57" t="n">
        <x:v>3</x:v>
      </x:c>
      <x:c r="AL4" s="57" t="n">
        <x:v>3</x:v>
      </x:c>
      <x:c r="AM4" s="48" t="str"/>
      <x:c r="AN4" s="49" t="str"/>
    </x:row>
    <x:row r="5">
      <x:c r="A5" s="54" t="str">
        <x:v>Yes</x:v>
      </x:c>
      <x:c r="B5" s="57" t="n">
        <x:v>4</x:v>
      </x:c>
      <x:c r="C5" s="60" t="n">
        <x:v>46245.501802060186</x:v>
      </x:c>
      <x:c r="D5" s="48" t="str">
        <x:v>ERและเปล</x:v>
      </x:c>
      <x:c r="E5" s="48" t="str">
        <x:v>สายวิชาชีพสาธารณสุข</x:v>
      </x:c>
      <x:c r="F5" s="48" t="str">
        <x:v>สายวิชาชีพสาธารณสุข</x:v>
      </x:c>
      <x:c r="G5" s="57" t="n">
        <x:v>4</x:v>
      </x:c>
      <x:c r="H5" s="57" t="n">
        <x:v>3</x:v>
      </x:c>
      <x:c r="I5" s="57" t="n">
        <x:v>3</x:v>
      </x:c>
      <x:c r="J5" s="57" t="n">
        <x:v>3</x:v>
      </x:c>
      <x:c r="K5" s="57" t="n">
        <x:v>3</x:v>
      </x:c>
      <x:c r="L5" s="57" t="n">
        <x:v>3</x:v>
      </x:c>
      <x:c r="M5" s="57" t="n">
        <x:v>3</x:v>
      </x:c>
      <x:c r="N5" s="57" t="n">
        <x:v>3</x:v>
      </x:c>
      <x:c r="O5" s="57" t="n">
        <x:v>4</x:v>
      </x:c>
      <x:c r="P5" s="57" t="n">
        <x:v>1</x:v>
      </x:c>
      <x:c r="Q5" s="57" t="n">
        <x:v>3</x:v>
      </x:c>
      <x:c r="R5" s="57" t="n">
        <x:v>3</x:v>
      </x:c>
      <x:c r="S5" s="57" t="n">
        <x:v>3</x:v>
      </x:c>
      <x:c r="T5" s="57" t="n">
        <x:v>1</x:v>
      </x:c>
      <x:c r="U5" s="57" t="n">
        <x:v>3</x:v>
      </x:c>
      <x:c r="V5" s="57" t="n">
        <x:v>2</x:v>
      </x:c>
      <x:c r="W5" s="57" t="n">
        <x:v>3</x:v>
      </x:c>
      <x:c r="X5" s="57" t="n">
        <x:v>4</x:v>
      </x:c>
      <x:c r="Y5" s="57" t="n">
        <x:v>4</x:v>
      </x:c>
      <x:c r="Z5" s="57" t="n">
        <x:v>3</x:v>
      </x:c>
      <x:c r="AA5" s="57" t="n">
        <x:v>4</x:v>
      </x:c>
      <x:c r="AB5" s="57" t="n">
        <x:v>2</x:v>
      </x:c>
      <x:c r="AC5" s="57" t="n">
        <x:v>3</x:v>
      </x:c>
      <x:c r="AD5" s="57" t="n">
        <x:v>3</x:v>
      </x:c>
      <x:c r="AE5" s="57" t="n">
        <x:v>3</x:v>
      </x:c>
      <x:c r="AF5" s="57" t="n">
        <x:v>4</x:v>
      </x:c>
      <x:c r="AG5" s="57" t="n">
        <x:v>5</x:v>
      </x:c>
      <x:c r="AH5" s="57" t="n">
        <x:v>4</x:v>
      </x:c>
      <x:c r="AI5" s="57" t="n">
        <x:v>3</x:v>
      </x:c>
      <x:c r="AJ5" s="57" t="n">
        <x:v>1</x:v>
      </x:c>
      <x:c r="AK5" s="57" t="n">
        <x:v>1</x:v>
      </x:c>
      <x:c r="AL5" s="57" t="n">
        <x:v>5</x:v>
      </x:c>
      <x:c r="AM5" s="48" t="str">
        <x:v>ในบางครั้งเมื่อเจอเหตุการณ์ไม่มีเวลาลงจนลืมและบางคนเห็นว่าลงแล้วไม่มีอะไรเปลี่ยนแปลงไม่เห็นมีใครactionอะไร</x:v>
      </x:c>
      <x:c r="AN5" s="49" t="str"/>
    </x:row>
    <x:row r="6">
      <x:c r="A6" s="54" t="str">
        <x:v>Yes</x:v>
      </x:c>
      <x:c r="B6" s="57" t="n">
        <x:v>5</x:v>
      </x:c>
      <x:c r="C6" s="60" t="n">
        <x:v>46245.51743175926</x:v>
      </x:c>
      <x:c r="D6" s="48" t="str">
        <x:v>ห้องเอ็กซเรย์</x:v>
      </x:c>
      <x:c r="E6" s="48" t="str">
        <x:v>สายสนับสนุนทางการแพทย์</x:v>
      </x:c>
      <x:c r="F6" s="48" t="str">
        <x:v>สายสนับสนุนทางการแพทย์</x:v>
      </x:c>
      <x:c r="G6" s="57" t="n">
        <x:v>4</x:v>
      </x:c>
      <x:c r="H6" s="57" t="n">
        <x:v>4</x:v>
      </x:c>
      <x:c r="I6" s="57" t="n">
        <x:v>1</x:v>
      </x:c>
      <x:c r="J6" s="57" t="n">
        <x:v>4</x:v>
      </x:c>
      <x:c r="K6" s="57" t="n">
        <x:v>2</x:v>
      </x:c>
      <x:c r="L6" s="57" t="n">
        <x:v>4</x:v>
      </x:c>
      <x:c r="M6" s="57" t="n">
        <x:v>1</x:v>
      </x:c>
      <x:c r="N6" s="57" t="n">
        <x:v>4</x:v>
      </x:c>
      <x:c r="O6" s="57" t="n">
        <x:v>4</x:v>
      </x:c>
      <x:c r="P6" s="57" t="n">
        <x:v>1</x:v>
      </x:c>
      <x:c r="Q6" s="57" t="n">
        <x:v>2</x:v>
      </x:c>
      <x:c r="R6" s="57" t="n">
        <x:v>2</x:v>
      </x:c>
      <x:c r="S6" s="57" t="n">
        <x:v>4</x:v>
      </x:c>
      <x:c r="T6" s="57" t="n">
        <x:v>2</x:v>
      </x:c>
      <x:c r="U6" s="57" t="n">
        <x:v>4</x:v>
      </x:c>
      <x:c r="V6" s="57" t="n">
        <x:v>2</x:v>
      </x:c>
      <x:c r="W6" s="57" t="n">
        <x:v>4</x:v>
      </x:c>
      <x:c r="X6" s="57" t="n">
        <x:v>4</x:v>
      </x:c>
      <x:c r="Y6" s="57" t="n">
        <x:v>4</x:v>
      </x:c>
      <x:c r="Z6" s="57" t="n">
        <x:v>3</x:v>
      </x:c>
      <x:c r="AA6" s="57" t="n">
        <x:v>4</x:v>
      </x:c>
      <x:c r="AB6" s="57" t="n">
        <x:v>3</x:v>
      </x:c>
      <x:c r="AC6" s="57" t="n">
        <x:v>4</x:v>
      </x:c>
      <x:c r="AD6" s="57" t="n">
        <x:v>3</x:v>
      </x:c>
      <x:c r="AE6" s="57" t="n">
        <x:v>4</x:v>
      </x:c>
      <x:c r="AF6" s="57" t="n">
        <x:v>3</x:v>
      </x:c>
      <x:c r="AG6" s="57" t="n">
        <x:v>4</x:v>
      </x:c>
      <x:c r="AH6" s="57" t="n">
        <x:v>4</x:v>
      </x:c>
      <x:c r="AI6" s="57" t="n">
        <x:v>4</x:v>
      </x:c>
      <x:c r="AJ6" s="57" t="n">
        <x:v>4</x:v>
      </x:c>
      <x:c r="AK6" s="57" t="n">
        <x:v>3</x:v>
      </x:c>
      <x:c r="AL6" s="57" t="n">
        <x:v>3</x:v>
      </x:c>
      <x:c r="AM6" s="48" t="str">
        <x:v>มีระบบเรื่องความปลอดภัยในการระมัดระวังไม่ให้ผู้ป่วยบาดเจ็บเพิ่มเติมได้ดี และเมื่อพบเห็นเหตุการณ์ที่มีความเสี่ยงทุกแผนกมีความกล้าที่จะรายงานอุบัติการณ์มาก็ขึ้น</x:v>
      </x:c>
      <x:c r="AN6" s="49" t="str"/>
    </x:row>
    <x:row r="7">
      <x:c r="A7" s="54" t="str">
        <x:v>Yes</x:v>
      </x:c>
      <x:c r="B7" s="57" t="n">
        <x:v>6</x:v>
      </x:c>
      <x:c r="C7" s="60" t="n">
        <x:v>46245.52669728009</x:v>
      </x:c>
      <x:c r="D7" s="48" t="str">
        <x:v>ยานพาหนะ</x:v>
      </x:c>
      <x:c r="E7" s="48" t="str">
        <x:v>สายสนับสนุนทั่วไป</x:v>
      </x:c>
      <x:c r="F7" s="48" t="str">
        <x:v>สายสนับสนุนทั่วไป</x:v>
      </x:c>
      <x:c r="G7" s="57" t="n">
        <x:v>3</x:v>
      </x:c>
      <x:c r="H7" s="57" t="n">
        <x:v>3</x:v>
      </x:c>
      <x:c r="I7" s="57" t="n">
        <x:v>4</x:v>
      </x:c>
      <x:c r="J7" s="57" t="n">
        <x:v>3</x:v>
      </x:c>
      <x:c r="K7" s="57" t="n">
        <x:v>3</x:v>
      </x:c>
      <x:c r="L7" s="57" t="n">
        <x:v>2</x:v>
      </x:c>
      <x:c r="M7" s="57" t="n">
        <x:v>1</x:v>
      </x:c>
      <x:c r="N7" s="57" t="n">
        <x:v>4</x:v>
      </x:c>
      <x:c r="O7" s="57" t="n">
        <x:v>5</x:v>
      </x:c>
      <x:c r="P7" s="57" t="n">
        <x:v>1</x:v>
      </x:c>
      <x:c r="Q7" s="57" t="n">
        <x:v>4</x:v>
      </x:c>
      <x:c r="R7" s="57" t="n">
        <x:v>4</x:v>
      </x:c>
      <x:c r="S7" s="57" t="n">
        <x:v>5</x:v>
      </x:c>
      <x:c r="T7" s="57" t="n">
        <x:v>1</x:v>
      </x:c>
      <x:c r="U7" s="57" t="n">
        <x:v>5</x:v>
      </x:c>
      <x:c r="V7" s="57" t="n">
        <x:v>3</x:v>
      </x:c>
      <x:c r="W7" s="57" t="n">
        <x:v>5</x:v>
      </x:c>
      <x:c r="X7" s="57" t="n">
        <x:v>5</x:v>
      </x:c>
      <x:c r="Y7" s="57" t="n">
        <x:v>5</x:v>
      </x:c>
      <x:c r="Z7" s="57" t="n">
        <x:v>5</x:v>
      </x:c>
      <x:c r="AA7" s="57" t="n">
        <x:v>5</x:v>
      </x:c>
      <x:c r="AB7" s="57" t="n">
        <x:v>5</x:v>
      </x:c>
      <x:c r="AC7" s="57" t="n">
        <x:v>5</x:v>
      </x:c>
      <x:c r="AD7" s="57" t="n">
        <x:v>1</x:v>
      </x:c>
      <x:c r="AE7" s="57" t="n">
        <x:v>5</x:v>
      </x:c>
      <x:c r="AF7" s="57" t="n">
        <x:v>5</x:v>
      </x:c>
      <x:c r="AG7" s="57" t="n">
        <x:v>5</x:v>
      </x:c>
      <x:c r="AH7" s="57" t="n">
        <x:v>5</x:v>
      </x:c>
      <x:c r="AI7" s="57" t="n">
        <x:v>2</x:v>
      </x:c>
      <x:c r="AJ7" s="57" t="n">
        <x:v>1</x:v>
      </x:c>
      <x:c r="AK7" s="57" t="n">
        <x:v>1</x:v>
      </x:c>
      <x:c r="AL7" s="57" t="n">
        <x:v>5</x:v>
      </x:c>
      <x:c r="AM7" s="48" t="str">
        <x:v>ควรมีการวิเคราะห์ประเด็นปัญหาอย่างชีดเจนและเป็นขั้นตอน</x:v>
      </x:c>
      <x:c r="AN7" s="49" t="str"/>
    </x:row>
    <x:row r="8">
      <x:c r="A8" s="54" t="str">
        <x:v>Yes</x:v>
      </x:c>
      <x:c r="B8" s="57" t="n">
        <x:v>7</x:v>
      </x:c>
      <x:c r="C8" s="60" t="n">
        <x:v>46245.530293275464</x:v>
      </x:c>
      <x:c r="D8" s="48" t="str">
        <x:v>ห้องยา</x:v>
      </x:c>
      <x:c r="E8" s="48" t="str">
        <x:v>สายสนับสนุนทางการแพทย์</x:v>
      </x:c>
      <x:c r="F8" s="48" t="str">
        <x:v>สายสนับสนุนทางการแพทย์</x:v>
      </x:c>
      <x:c r="G8" s="57" t="n">
        <x:v>5</x:v>
      </x:c>
      <x:c r="H8" s="57" t="n">
        <x:v>5</x:v>
      </x:c>
      <x:c r="I8" s="57" t="n">
        <x:v>1</x:v>
      </x:c>
      <x:c r="J8" s="57" t="n">
        <x:v>5</x:v>
      </x:c>
      <x:c r="K8" s="57" t="n">
        <x:v>3</x:v>
      </x:c>
      <x:c r="L8" s="57" t="n">
        <x:v>3</x:v>
      </x:c>
      <x:c r="M8" s="57" t="n">
        <x:v>1</x:v>
      </x:c>
      <x:c r="N8" s="57" t="n">
        <x:v>5</x:v>
      </x:c>
      <x:c r="O8" s="57" t="n">
        <x:v>1</x:v>
      </x:c>
      <x:c r="P8" s="57" t="n">
        <x:v>1</x:v>
      </x:c>
      <x:c r="Q8" s="57" t="n">
        <x:v>2</x:v>
      </x:c>
      <x:c r="R8" s="57" t="n">
        <x:v>1</x:v>
      </x:c>
      <x:c r="S8" s="57" t="n">
        <x:v>1</x:v>
      </x:c>
      <x:c r="T8" s="57" t="n">
        <x:v>1</x:v>
      </x:c>
      <x:c r="U8" s="57" t="n">
        <x:v>5</x:v>
      </x:c>
      <x:c r="V8" s="57" t="n">
        <x:v>4</x:v>
      </x:c>
      <x:c r="W8" s="57" t="n">
        <x:v>5</x:v>
      </x:c>
      <x:c r="X8" s="57" t="n">
        <x:v>5</x:v>
      </x:c>
      <x:c r="Y8" s="57" t="n">
        <x:v>5</x:v>
      </x:c>
      <x:c r="Z8" s="57" t="n">
        <x:v>5</x:v>
      </x:c>
      <x:c r="AA8" s="57" t="n">
        <x:v>5</x:v>
      </x:c>
      <x:c r="AB8" s="57" t="n">
        <x:v>5</x:v>
      </x:c>
      <x:c r="AC8" s="57" t="n">
        <x:v>5</x:v>
      </x:c>
      <x:c r="AD8" s="57" t="n">
        <x:v>1</x:v>
      </x:c>
      <x:c r="AE8" s="57" t="n">
        <x:v>5</x:v>
      </x:c>
      <x:c r="AF8" s="57" t="n">
        <x:v>5</x:v>
      </x:c>
      <x:c r="AG8" s="57" t="n">
        <x:v>5</x:v>
      </x:c>
      <x:c r="AH8" s="57" t="n">
        <x:v>5</x:v>
      </x:c>
      <x:c r="AI8" s="57" t="n">
        <x:v>1</x:v>
      </x:c>
      <x:c r="AJ8" s="57" t="n">
        <x:v>1</x:v>
      </x:c>
      <x:c r="AK8" s="57" t="n">
        <x:v>1</x:v>
      </x:c>
      <x:c r="AL8" s="57" t="n">
        <x:v>5</x:v>
      </x:c>
      <x:c r="AM8" s="48" t="str">
        <x:v>-</x:v>
      </x:c>
      <x:c r="AN8" s="49" t="str"/>
    </x:row>
    <x:row r="9">
      <x:c r="A9" s="54" t="str">
        <x:v>Yes</x:v>
      </x:c>
      <x:c r="B9" s="57" t="n">
        <x:v>8</x:v>
      </x:c>
      <x:c r="C9" s="60" t="n">
        <x:v>46245.544857650464</x:v>
      </x:c>
      <x:c r="D9" s="48" t="str">
        <x:v>ERและเปล</x:v>
      </x:c>
      <x:c r="E9" s="48" t="str">
        <x:v>สายวิชาชีพสาธารณสุข</x:v>
      </x:c>
      <x:c r="F9" s="48" t="str">
        <x:v>สายวิชาชีพสาธารณสุข</x:v>
      </x:c>
      <x:c r="G9" s="57" t="n">
        <x:v>4</x:v>
      </x:c>
      <x:c r="H9" s="57" t="n">
        <x:v>4</x:v>
      </x:c>
      <x:c r="I9" s="57" t="n">
        <x:v>2</x:v>
      </x:c>
      <x:c r="J9" s="57" t="n">
        <x:v>3</x:v>
      </x:c>
      <x:c r="K9" s="57" t="n">
        <x:v>3</x:v>
      </x:c>
      <x:c r="L9" s="57" t="n">
        <x:v>3</x:v>
      </x:c>
      <x:c r="M9" s="57" t="n">
        <x:v>3</x:v>
      </x:c>
      <x:c r="N9" s="57" t="n">
        <x:v>3</x:v>
      </x:c>
      <x:c r="O9" s="57" t="n">
        <x:v>4</x:v>
      </x:c>
      <x:c r="P9" s="57" t="n">
        <x:v>1</x:v>
      </x:c>
      <x:c r="Q9" s="57" t="n">
        <x:v>2</x:v>
      </x:c>
      <x:c r="R9" s="57" t="n">
        <x:v>2</x:v>
      </x:c>
      <x:c r="S9" s="57" t="n">
        <x:v>3</x:v>
      </x:c>
      <x:c r="T9" s="57" t="n">
        <x:v>1</x:v>
      </x:c>
      <x:c r="U9" s="57" t="n">
        <x:v>4</x:v>
      </x:c>
      <x:c r="V9" s="57" t="n">
        <x:v>3</x:v>
      </x:c>
      <x:c r="W9" s="57" t="n">
        <x:v>3</x:v>
      </x:c>
      <x:c r="X9" s="57" t="n">
        <x:v>4</x:v>
      </x:c>
      <x:c r="Y9" s="57" t="n">
        <x:v>5</x:v>
      </x:c>
      <x:c r="Z9" s="57" t="n">
        <x:v>5</x:v>
      </x:c>
      <x:c r="AA9" s="57" t="n">
        <x:v>4</x:v>
      </x:c>
      <x:c r="AB9" s="57" t="n">
        <x:v>4</x:v>
      </x:c>
      <x:c r="AC9" s="57" t="n">
        <x:v>4</x:v>
      </x:c>
      <x:c r="AD9" s="57" t="n">
        <x:v>2</x:v>
      </x:c>
      <x:c r="AE9" s="57" t="n">
        <x:v>3</x:v>
      </x:c>
      <x:c r="AF9" s="57" t="n">
        <x:v>5</x:v>
      </x:c>
      <x:c r="AG9" s="57" t="n">
        <x:v>5</x:v>
      </x:c>
      <x:c r="AH9" s="57" t="n">
        <x:v>3</x:v>
      </x:c>
      <x:c r="AI9" s="57" t="n">
        <x:v>1</x:v>
      </x:c>
      <x:c r="AJ9" s="57" t="n">
        <x:v>2</x:v>
      </x:c>
      <x:c r="AK9" s="57" t="n">
        <x:v>1</x:v>
      </x:c>
      <x:c r="AL9" s="57" t="n">
        <x:v>5</x:v>
      </x:c>
      <x:c r="AM9" s="48" t="str">
        <x:v>มีการติดตามความเสี่ยงสำคัญแต่ความเสี่ยงบางอย่างแก้ไม่ได้โดยระบบเช่นเรื่องคนไข้รอหมอนานช่วงต่อเวร เราไม่สารถแก้ไขในส่วนที่เป็นองค์กรแพทย์ได้โดยตรงแต่บางเรื่องสามารถเล่าให้ผอ.ฟังได้ในภาพรวม</x:v>
      </x:c>
      <x:c r="AN9" s="49" t="str"/>
    </x:row>
    <x:row r="10">
      <x:c r="A10" s="54" t="str">
        <x:v>Yes</x:v>
      </x:c>
      <x:c r="B10" s="57" t="n">
        <x:v>9</x:v>
      </x:c>
      <x:c r="C10" s="60" t="n">
        <x:v>46245.545386157406</x:v>
      </x:c>
      <x:c r="D10" s="48" t="str">
        <x:v>การเงิน</x:v>
      </x:c>
      <x:c r="E10" s="48" t="str">
        <x:v>สายสนับสนุนทั่วไป</x:v>
      </x:c>
      <x:c r="F10" s="48" t="str">
        <x:v>สายสนับสนุนทั่วไป</x:v>
      </x:c>
      <x:c r="G10" s="57" t="n">
        <x:v>3</x:v>
      </x:c>
      <x:c r="H10" s="57" t="n">
        <x:v>3</x:v>
      </x:c>
      <x:c r="I10" s="57" t="n">
        <x:v>4</x:v>
      </x:c>
      <x:c r="J10" s="57" t="n">
        <x:v>3</x:v>
      </x:c>
      <x:c r="K10" s="57" t="n">
        <x:v>3</x:v>
      </x:c>
      <x:c r="L10" s="57" t="n">
        <x:v>2</x:v>
      </x:c>
      <x:c r="M10" s="57" t="n">
        <x:v>3</x:v>
      </x:c>
      <x:c r="N10" s="57" t="n">
        <x:v>4</x:v>
      </x:c>
      <x:c r="O10" s="57" t="n">
        <x:v>4</x:v>
      </x:c>
      <x:c r="P10" s="57" t="n">
        <x:v>3</x:v>
      </x:c>
      <x:c r="Q10" s="57" t="n">
        <x:v>3</x:v>
      </x:c>
      <x:c r="R10" s="57" t="n">
        <x:v>4</x:v>
      </x:c>
      <x:c r="S10" s="57" t="n">
        <x:v>4</x:v>
      </x:c>
      <x:c r="T10" s="57" t="n">
        <x:v>3</x:v>
      </x:c>
      <x:c r="U10" s="57" t="n">
        <x:v>4</x:v>
      </x:c>
      <x:c r="V10" s="57" t="n">
        <x:v>4</x:v>
      </x:c>
      <x:c r="W10" s="57" t="n">
        <x:v>4</x:v>
      </x:c>
      <x:c r="X10" s="57" t="n">
        <x:v>3</x:v>
      </x:c>
      <x:c r="Y10" s="57" t="n">
        <x:v>4</x:v>
      </x:c>
      <x:c r="Z10" s="57" t="n">
        <x:v>4</x:v>
      </x:c>
      <x:c r="AA10" s="57" t="n">
        <x:v>4</x:v>
      </x:c>
      <x:c r="AB10" s="57" t="n">
        <x:v>4</x:v>
      </x:c>
      <x:c r="AC10" s="57" t="n">
        <x:v>4</x:v>
      </x:c>
      <x:c r="AD10" s="57" t="n">
        <x:v>3</x:v>
      </x:c>
      <x:c r="AE10" s="57" t="n">
        <x:v>3</x:v>
      </x:c>
      <x:c r="AF10" s="57" t="n">
        <x:v>4</x:v>
      </x:c>
      <x:c r="AG10" s="57" t="n">
        <x:v>4</x:v>
      </x:c>
      <x:c r="AH10" s="57" t="n">
        <x:v>4</x:v>
      </x:c>
      <x:c r="AI10" s="57" t="n">
        <x:v>4</x:v>
      </x:c>
      <x:c r="AJ10" s="57" t="n">
        <x:v>3</x:v>
      </x:c>
      <x:c r="AK10" s="57" t="n">
        <x:v>3</x:v>
      </x:c>
      <x:c r="AL10" s="57" t="n">
        <x:v>3</x:v>
      </x:c>
      <x:c r="AM10" s="48" t="str">
        <x:v>เพิ่มความปลอดภัยให้กับบุคลากรของรพ.</x:v>
      </x:c>
      <x:c r="AN10" s="49" t="str"/>
    </x:row>
    <x:row r="11">
      <x:c r="A11" s="54" t="str">
        <x:v>Yes</x:v>
      </x:c>
      <x:c r="B11" s="57" t="n">
        <x:v>10</x:v>
      </x:c>
      <x:c r="C11" s="60" t="n">
        <x:v>46245.54738055555</x:v>
      </x:c>
      <x:c r="D11" s="48" t="str">
        <x:v>IT</x:v>
      </x:c>
      <x:c r="E11" s="48" t="str">
        <x:v>สายสนับสนุนทางการแพทย์</x:v>
      </x:c>
      <x:c r="F11" s="48" t="str">
        <x:v>สายสนับสนุนทางการแพทย์</x:v>
      </x:c>
      <x:c r="G11" s="57" t="n">
        <x:v>4</x:v>
      </x:c>
      <x:c r="H11" s="57" t="n">
        <x:v>5</x:v>
      </x:c>
      <x:c r="I11" s="57" t="n">
        <x:v>4</x:v>
      </x:c>
      <x:c r="J11" s="57" t="n">
        <x:v>3</x:v>
      </x:c>
      <x:c r="K11" s="57" t="n">
        <x:v>4</x:v>
      </x:c>
      <x:c r="L11" s="57" t="n">
        <x:v>3</x:v>
      </x:c>
      <x:c r="M11" s="57" t="n">
        <x:v>3</x:v>
      </x:c>
      <x:c r="N11" s="57" t="n">
        <x:v>4</x:v>
      </x:c>
      <x:c r="O11" s="57" t="n">
        <x:v>4</x:v>
      </x:c>
      <x:c r="P11" s="57" t="n">
        <x:v>2</x:v>
      </x:c>
      <x:c r="Q11" s="57" t="n">
        <x:v>4</x:v>
      </x:c>
      <x:c r="R11" s="57" t="n">
        <x:v>4</x:v>
      </x:c>
      <x:c r="S11" s="57" t="n">
        <x:v>3</x:v>
      </x:c>
      <x:c r="T11" s="57" t="n">
        <x:v>2</x:v>
      </x:c>
      <x:c r="U11" s="57" t="n">
        <x:v>4</x:v>
      </x:c>
      <x:c r="V11" s="57" t="n">
        <x:v>3</x:v>
      </x:c>
      <x:c r="W11" s="57" t="n">
        <x:v>4</x:v>
      </x:c>
      <x:c r="X11" s="57" t="n">
        <x:v>4</x:v>
      </x:c>
      <x:c r="Y11" s="57" t="n">
        <x:v>5</x:v>
      </x:c>
      <x:c r="Z11" s="57" t="n">
        <x:v>4</x:v>
      </x:c>
      <x:c r="AA11" s="57" t="n">
        <x:v>5</x:v>
      </x:c>
      <x:c r="AB11" s="57" t="n">
        <x:v>5</x:v>
      </x:c>
      <x:c r="AC11" s="57" t="n">
        <x:v>5</x:v>
      </x:c>
      <x:c r="AD11" s="57" t="n">
        <x:v>1</x:v>
      </x:c>
      <x:c r="AE11" s="57" t="n">
        <x:v>4</x:v>
      </x:c>
      <x:c r="AF11" s="57" t="n">
        <x:v>4</x:v>
      </x:c>
      <x:c r="AG11" s="57" t="n">
        <x:v>5</x:v>
      </x:c>
      <x:c r="AH11" s="57" t="n">
        <x:v>4</x:v>
      </x:c>
      <x:c r="AI11" s="57" t="n">
        <x:v>2</x:v>
      </x:c>
      <x:c r="AJ11" s="57" t="n">
        <x:v>2</x:v>
      </x:c>
      <x:c r="AK11" s="57" t="n">
        <x:v>3</x:v>
      </x:c>
      <x:c r="AL11" s="57" t="n">
        <x:v>2</x:v>
      </x:c>
      <x:c r="AM11" s="48" t="str">
        <x:v>.</x:v>
      </x:c>
      <x:c r="AN11" s="49" t="str"/>
    </x:row>
    <x:row r="12">
      <x:c r="A12" s="54" t="str">
        <x:v>Yes</x:v>
      </x:c>
      <x:c r="B12" s="57" t="n">
        <x:v>11</x:v>
      </x:c>
      <x:c r="C12" s="60" t="n">
        <x:v>46245.55231712963</x:v>
      </x:c>
      <x:c r="D12" s="48" t="str">
        <x:v>IT</x:v>
      </x:c>
      <x:c r="E12" s="48" t="str">
        <x:v>สายสนับสนุนทั่วไป</x:v>
      </x:c>
      <x:c r="F12" s="48" t="str">
        <x:v>สายสนับสนุนทั่วไป</x:v>
      </x:c>
      <x:c r="G12" s="57" t="n">
        <x:v>4</x:v>
      </x:c>
      <x:c r="H12" s="57" t="n">
        <x:v>5</x:v>
      </x:c>
      <x:c r="I12" s="57" t="n">
        <x:v>1</x:v>
      </x:c>
      <x:c r="J12" s="57" t="n">
        <x:v>3</x:v>
      </x:c>
      <x:c r="K12" s="57" t="n">
        <x:v>3</x:v>
      </x:c>
      <x:c r="L12" s="57" t="n">
        <x:v>2</x:v>
      </x:c>
      <x:c r="M12" s="57" t="n">
        <x:v>2</x:v>
      </x:c>
      <x:c r="N12" s="57" t="n">
        <x:v>4</x:v>
      </x:c>
      <x:c r="O12" s="57" t="n">
        <x:v>3</x:v>
      </x:c>
      <x:c r="P12" s="57" t="n">
        <x:v>3</x:v>
      </x:c>
      <x:c r="Q12" s="57" t="n">
        <x:v>3</x:v>
      </x:c>
      <x:c r="R12" s="57" t="n">
        <x:v>2</x:v>
      </x:c>
      <x:c r="S12" s="57" t="n">
        <x:v>4</x:v>
      </x:c>
      <x:c r="T12" s="57" t="n">
        <x:v>2</x:v>
      </x:c>
      <x:c r="U12" s="57" t="n">
        <x:v>5</x:v>
      </x:c>
      <x:c r="V12" s="57" t="n">
        <x:v>1</x:v>
      </x:c>
      <x:c r="W12" s="57" t="n">
        <x:v>5</x:v>
      </x:c>
      <x:c r="X12" s="57" t="n">
        <x:v>2</x:v>
      </x:c>
      <x:c r="Y12" s="57" t="n">
        <x:v>5</x:v>
      </x:c>
      <x:c r="Z12" s="57" t="n">
        <x:v>5</x:v>
      </x:c>
      <x:c r="AA12" s="57" t="n">
        <x:v>5</x:v>
      </x:c>
      <x:c r="AB12" s="57" t="n">
        <x:v>5</x:v>
      </x:c>
      <x:c r="AC12" s="57" t="n">
        <x:v>5</x:v>
      </x:c>
      <x:c r="AD12" s="57" t="n">
        <x:v>2</x:v>
      </x:c>
      <x:c r="AE12" s="57" t="n">
        <x:v>5</x:v>
      </x:c>
      <x:c r="AF12" s="57" t="n">
        <x:v>3</x:v>
      </x:c>
      <x:c r="AG12" s="57" t="n">
        <x:v>5</x:v>
      </x:c>
      <x:c r="AH12" s="57" t="n">
        <x:v>5</x:v>
      </x:c>
      <x:c r="AI12" s="57" t="n">
        <x:v>1</x:v>
      </x:c>
      <x:c r="AJ12" s="57" t="n">
        <x:v>1</x:v>
      </x:c>
      <x:c r="AK12" s="57" t="n">
        <x:v>1</x:v>
      </x:c>
      <x:c r="AL12" s="57" t="n">
        <x:v>5</x:v>
      </x:c>
      <x:c r="AM12" s="48" t="str">
        <x:v>-</x:v>
      </x:c>
      <x:c r="AN12" s="49" t="str"/>
    </x:row>
    <x:row r="13">
      <x:c r="A13" s="54" t="str">
        <x:v>Yes</x:v>
      </x:c>
      <x:c r="B13" s="57" t="n">
        <x:v>12</x:v>
      </x:c>
      <x:c r="C13" s="60" t="n">
        <x:v>46245.55592471064</x:v>
      </x:c>
      <x:c r="D13" s="48" t="str">
        <x:v>OR</x:v>
      </x:c>
      <x:c r="E13" s="48" t="str">
        <x:v>สายวิชาชีพสาธารณสุข</x:v>
      </x:c>
      <x:c r="F13" s="48" t="str">
        <x:v>สายวิชาชีพสาธารณสุข</x:v>
      </x:c>
      <x:c r="G13" s="57" t="n">
        <x:v>4</x:v>
      </x:c>
      <x:c r="H13" s="57" t="n">
        <x:v>4</x:v>
      </x:c>
      <x:c r="I13" s="57" t="n">
        <x:v>2</x:v>
      </x:c>
      <x:c r="J13" s="57" t="n">
        <x:v>3</x:v>
      </x:c>
      <x:c r="K13" s="57" t="n">
        <x:v>1</x:v>
      </x:c>
      <x:c r="L13" s="57" t="n">
        <x:v>2</x:v>
      </x:c>
      <x:c r="M13" s="57" t="n">
        <x:v>1</x:v>
      </x:c>
      <x:c r="N13" s="57" t="n">
        <x:v>4</x:v>
      </x:c>
      <x:c r="O13" s="57" t="n">
        <x:v>5</x:v>
      </x:c>
      <x:c r="P13" s="57" t="n">
        <x:v>1</x:v>
      </x:c>
      <x:c r="Q13" s="57" t="n">
        <x:v>3</x:v>
      </x:c>
      <x:c r="R13" s="57" t="n">
        <x:v>1</x:v>
      </x:c>
      <x:c r="S13" s="57" t="n">
        <x:v>2</x:v>
      </x:c>
      <x:c r="T13" s="57" t="n">
        <x:v>5</x:v>
      </x:c>
      <x:c r="U13" s="57" t="n">
        <x:v>3</x:v>
      </x:c>
      <x:c r="V13" s="57" t="n">
        <x:v>4</x:v>
      </x:c>
      <x:c r="W13" s="57" t="n">
        <x:v>3</x:v>
      </x:c>
      <x:c r="X13" s="57" t="n">
        <x:v>4</x:v>
      </x:c>
      <x:c r="Y13" s="57" t="n">
        <x:v>5</x:v>
      </x:c>
      <x:c r="Z13" s="57" t="n">
        <x:v>3</x:v>
      </x:c>
      <x:c r="AA13" s="57" t="n">
        <x:v>4</x:v>
      </x:c>
      <x:c r="AB13" s="57" t="n">
        <x:v>2</x:v>
      </x:c>
      <x:c r="AC13" s="57" t="n">
        <x:v>2</x:v>
      </x:c>
      <x:c r="AD13" s="57" t="n">
        <x:v>3</x:v>
      </x:c>
      <x:c r="AE13" s="57" t="n">
        <x:v>4</x:v>
      </x:c>
      <x:c r="AF13" s="57" t="n">
        <x:v>4</x:v>
      </x:c>
      <x:c r="AG13" s="57" t="n">
        <x:v>5</x:v>
      </x:c>
      <x:c r="AH13" s="57" t="n">
        <x:v>4</x:v>
      </x:c>
      <x:c r="AI13" s="57" t="n">
        <x:v>4</x:v>
      </x:c>
      <x:c r="AJ13" s="57" t="n">
        <x:v>4</x:v>
      </x:c>
      <x:c r="AK13" s="57" t="n">
        <x:v>4</x:v>
      </x:c>
      <x:c r="AL13" s="57" t="n">
        <x:v>4</x:v>
      </x:c>
      <x:c r="AM13" s="48" t="str">
        <x:v>ดี</x:v>
      </x:c>
      <x:c r="AN13" s="49" t="str"/>
    </x:row>
    <x:row r="14">
      <x:c r="A14" s="54" t="str">
        <x:v>Yes</x:v>
      </x:c>
      <x:c r="B14" s="57" t="n">
        <x:v>13</x:v>
      </x:c>
      <x:c r="C14" s="60" t="n">
        <x:v>46245.55976957176</x:v>
      </x:c>
      <x:c r="D14" s="48" t="str">
        <x:v>HR</x:v>
      </x:c>
      <x:c r="E14" s="48" t="str">
        <x:v>สายสนับสนุนทั่วไป</x:v>
      </x:c>
      <x:c r="F14" s="48" t="str">
        <x:v>สายสนับสนุนทั่วไป</x:v>
      </x:c>
      <x:c r="G14" s="57" t="n">
        <x:v>4</x:v>
      </x:c>
      <x:c r="H14" s="57" t="n">
        <x:v>4</x:v>
      </x:c>
      <x:c r="I14" s="57" t="n">
        <x:v>4</x:v>
      </x:c>
      <x:c r="J14" s="57" t="n">
        <x:v>4</x:v>
      </x:c>
      <x:c r="K14" s="57" t="n">
        <x:v>2</x:v>
      </x:c>
      <x:c r="L14" s="57" t="n">
        <x:v>3</x:v>
      </x:c>
      <x:c r="M14" s="57" t="n">
        <x:v>3</x:v>
      </x:c>
      <x:c r="N14" s="57" t="n">
        <x:v>4</x:v>
      </x:c>
      <x:c r="O14" s="57" t="n">
        <x:v>4</x:v>
      </x:c>
      <x:c r="P14" s="57" t="n">
        <x:v>3</x:v>
      </x:c>
      <x:c r="Q14" s="57" t="n">
        <x:v>3</x:v>
      </x:c>
      <x:c r="R14" s="57" t="n">
        <x:v>3</x:v>
      </x:c>
      <x:c r="S14" s="57" t="n">
        <x:v>3</x:v>
      </x:c>
      <x:c r="T14" s="57" t="n">
        <x:v>2</x:v>
      </x:c>
      <x:c r="U14" s="57" t="n">
        <x:v>4</x:v>
      </x:c>
      <x:c r="V14" s="57" t="n">
        <x:v>2</x:v>
      </x:c>
      <x:c r="W14" s="57" t="n">
        <x:v>4</x:v>
      </x:c>
      <x:c r="X14" s="57" t="n">
        <x:v>4</x:v>
      </x:c>
      <x:c r="Y14" s="57" t="n">
        <x:v>4</x:v>
      </x:c>
      <x:c r="Z14" s="57" t="n">
        <x:v>3</x:v>
      </x:c>
      <x:c r="AA14" s="57" t="n">
        <x:v>4</x:v>
      </x:c>
      <x:c r="AB14" s="57" t="n">
        <x:v>4</x:v>
      </x:c>
      <x:c r="AC14" s="57" t="n">
        <x:v>3</x:v>
      </x:c>
      <x:c r="AD14" s="57" t="n">
        <x:v>3</x:v>
      </x:c>
      <x:c r="AE14" s="57" t="n">
        <x:v>3</x:v>
      </x:c>
      <x:c r="AF14" s="57" t="n">
        <x:v>4</x:v>
      </x:c>
      <x:c r="AG14" s="57" t="n">
        <x:v>4</x:v>
      </x:c>
      <x:c r="AH14" s="57" t="n">
        <x:v>4</x:v>
      </x:c>
      <x:c r="AI14" s="57" t="n">
        <x:v>2</x:v>
      </x:c>
      <x:c r="AJ14" s="57" t="n">
        <x:v>1</x:v>
      </x:c>
      <x:c r="AK14" s="57" t="n">
        <x:v>2</x:v>
      </x:c>
      <x:c r="AL14" s="57" t="n">
        <x:v>4</x:v>
      </x:c>
      <x:c r="AM14" s="48" t="str">
        <x:v>มีความปลอดภัยตามมาตรฐานโรงพยาบาล</x:v>
      </x:c>
      <x:c r="AN14" s="49" t="str"/>
    </x:row>
    <x:row r="15">
      <x:c r="A15" s="54" t="str">
        <x:v>Yes</x:v>
      </x:c>
      <x:c r="B15" s="57" t="n">
        <x:v>14</x:v>
      </x:c>
      <x:c r="C15" s="60" t="n">
        <x:v>46245.57661137731</x:v>
      </x:c>
      <x:c r="D15" s="48" t="str">
        <x:v>ช่างและสนาม</x:v>
      </x:c>
      <x:c r="E15" s="48" t="str">
        <x:v>สายสนับสนุนทั่วไป</x:v>
      </x:c>
      <x:c r="F15" s="48" t="str">
        <x:v>สายสนับสนุนทั่วไป</x:v>
      </x:c>
      <x:c r="G15" s="57" t="n">
        <x:v>5</x:v>
      </x:c>
      <x:c r="H15" s="57" t="n">
        <x:v>5</x:v>
      </x:c>
      <x:c r="I15" s="57" t="n">
        <x:v>1</x:v>
      </x:c>
      <x:c r="J15" s="57" t="n">
        <x:v>4</x:v>
      </x:c>
      <x:c r="K15" s="57" t="n">
        <x:v>2</x:v>
      </x:c>
      <x:c r="L15" s="57" t="n">
        <x:v>3</x:v>
      </x:c>
      <x:c r="M15" s="57" t="n">
        <x:v>1</x:v>
      </x:c>
      <x:c r="N15" s="57" t="n">
        <x:v>5</x:v>
      </x:c>
      <x:c r="O15" s="57" t="n">
        <x:v>3</x:v>
      </x:c>
      <x:c r="P15" s="57" t="n">
        <x:v>1</x:v>
      </x:c>
      <x:c r="Q15" s="57" t="n">
        <x:v>1</x:v>
      </x:c>
      <x:c r="R15" s="57" t="n">
        <x:v>1</x:v>
      </x:c>
      <x:c r="S15" s="57" t="n">
        <x:v>4</x:v>
      </x:c>
      <x:c r="T15" s="57" t="n">
        <x:v>1</x:v>
      </x:c>
      <x:c r="U15" s="57" t="n">
        <x:v>4</x:v>
      </x:c>
      <x:c r="V15" s="57" t="n">
        <x:v>1</x:v>
      </x:c>
      <x:c r="W15" s="57" t="n">
        <x:v>4</x:v>
      </x:c>
      <x:c r="X15" s="57" t="n">
        <x:v>4</x:v>
      </x:c>
      <x:c r="Y15" s="57" t="n">
        <x:v>5</x:v>
      </x:c>
      <x:c r="Z15" s="57" t="n">
        <x:v>3</x:v>
      </x:c>
      <x:c r="AA15" s="57" t="n">
        <x:v>5</x:v>
      </x:c>
      <x:c r="AB15" s="57" t="n">
        <x:v>4</x:v>
      </x:c>
      <x:c r="AC15" s="57" t="n">
        <x:v>3</x:v>
      </x:c>
      <x:c r="AD15" s="57" t="n">
        <x:v>3</x:v>
      </x:c>
      <x:c r="AE15" s="57" t="n">
        <x:v>3</x:v>
      </x:c>
      <x:c r="AF15" s="57" t="n">
        <x:v>3</x:v>
      </x:c>
      <x:c r="AG15" s="57" t="n">
        <x:v>4</x:v>
      </x:c>
      <x:c r="AH15" s="57" t="n">
        <x:v>4</x:v>
      </x:c>
      <x:c r="AI15" s="57" t="n">
        <x:v>2</x:v>
      </x:c>
      <x:c r="AJ15" s="57" t="n">
        <x:v>2</x:v>
      </x:c>
      <x:c r="AK15" s="57" t="n">
        <x:v>1</x:v>
      </x:c>
      <x:c r="AL15" s="57" t="n">
        <x:v>4</x:v>
      </x:c>
      <x:c r="AM15" s="48" t="str">
        <x:v>ช่วยกันสอดส่องดูแลและ สังเกตุสิ่งผิดปกติในโรงพยาบาล ที่จะก่อให้เกิดอันตรายต่อพนักงานและผู้รับบริการ</x:v>
      </x:c>
      <x:c r="AN15" s="49" t="str"/>
    </x:row>
    <x:row r="16">
      <x:c r="A16" s="54" t="str">
        <x:v>Yes</x:v>
      </x:c>
      <x:c r="B16" s="57" t="n">
        <x:v>15</x:v>
      </x:c>
      <x:c r="C16" s="60" t="n">
        <x:v>46245.57817396991</x:v>
      </x:c>
      <x:c r="D16" s="48" t="str">
        <x:v>เคหรักษ์</x:v>
      </x:c>
      <x:c r="E16" s="48" t="str">
        <x:v>สายสนับสนุนทั่วไป</x:v>
      </x:c>
      <x:c r="F16" s="48" t="str">
        <x:v>สายสนับสนุนทั่วไป</x:v>
      </x:c>
      <x:c r="G16" s="57" t="n">
        <x:v>3</x:v>
      </x:c>
      <x:c r="H16" s="57" t="n">
        <x:v>3</x:v>
      </x:c>
      <x:c r="I16" s="57" t="n">
        <x:v>3</x:v>
      </x:c>
      <x:c r="J16" s="57" t="n">
        <x:v>2</x:v>
      </x:c>
      <x:c r="K16" s="57" t="n">
        <x:v>3</x:v>
      </x:c>
      <x:c r="L16" s="57" t="n">
        <x:v>3</x:v>
      </x:c>
      <x:c r="M16" s="57" t="n">
        <x:v>3</x:v>
      </x:c>
      <x:c r="N16" s="57" t="n">
        <x:v>3</x:v>
      </x:c>
      <x:c r="O16" s="57" t="n">
        <x:v>2</x:v>
      </x:c>
      <x:c r="P16" s="57" t="n">
        <x:v>3</x:v>
      </x:c>
      <x:c r="Q16" s="57" t="n">
        <x:v>3</x:v>
      </x:c>
      <x:c r="R16" s="57" t="n">
        <x:v>3</x:v>
      </x:c>
      <x:c r="S16" s="57" t="n">
        <x:v>3</x:v>
      </x:c>
      <x:c r="T16" s="57" t="n">
        <x:v>3</x:v>
      </x:c>
      <x:c r="U16" s="57" t="n">
        <x:v>3</x:v>
      </x:c>
      <x:c r="V16" s="57" t="n">
        <x:v>3</x:v>
      </x:c>
      <x:c r="W16" s="57" t="n">
        <x:v>3</x:v>
      </x:c>
      <x:c r="X16" s="57" t="n">
        <x:v>3</x:v>
      </x:c>
      <x:c r="Y16" s="57" t="n">
        <x:v>3</x:v>
      </x:c>
      <x:c r="Z16" s="57" t="n">
        <x:v>3</x:v>
      </x:c>
      <x:c r="AA16" s="57" t="n">
        <x:v>3</x:v>
      </x:c>
      <x:c r="AB16" s="57" t="n">
        <x:v>3</x:v>
      </x:c>
      <x:c r="AC16" s="57" t="n">
        <x:v>3</x:v>
      </x:c>
      <x:c r="AD16" s="57" t="n">
        <x:v>3</x:v>
      </x:c>
      <x:c r="AE16" s="57" t="n">
        <x:v>3</x:v>
      </x:c>
      <x:c r="AF16" s="57" t="n">
        <x:v>3</x:v>
      </x:c>
      <x:c r="AG16" s="57" t="n">
        <x:v>3</x:v>
      </x:c>
      <x:c r="AH16" s="57" t="n">
        <x:v>3</x:v>
      </x:c>
      <x:c r="AI16" s="57" t="n">
        <x:v>3</x:v>
      </x:c>
      <x:c r="AJ16" s="57" t="n">
        <x:v>3</x:v>
      </x:c>
      <x:c r="AK16" s="57" t="n">
        <x:v>3</x:v>
      </x:c>
      <x:c r="AL16" s="57" t="n">
        <x:v>3</x:v>
      </x:c>
      <x:c r="AM16" s="48" t="str">
        <x:v>ช่วยกันดูแลความปบอดภัย</x:v>
      </x:c>
      <x:c r="AN16" s="49" t="str"/>
    </x:row>
    <x:row r="17">
      <x:c r="A17" s="54" t="str">
        <x:v>Yes</x:v>
      </x:c>
      <x:c r="B17" s="57" t="n">
        <x:v>16</x:v>
      </x:c>
      <x:c r="C17" s="60" t="n">
        <x:v>46245.58040332176</x:v>
      </x:c>
      <x:c r="D17" s="48" t="str">
        <x:v>เคหรักษ์</x:v>
      </x:c>
      <x:c r="E17" s="48" t="str">
        <x:v>สายสนับสนุนทั่วไป</x:v>
      </x:c>
      <x:c r="F17" s="48" t="str">
        <x:v>สายสนับสนุนทั่วไป</x:v>
      </x:c>
      <x:c r="G17" s="57" t="n">
        <x:v>3</x:v>
      </x:c>
      <x:c r="H17" s="57" t="n">
        <x:v>3</x:v>
      </x:c>
      <x:c r="I17" s="57" t="n">
        <x:v>4</x:v>
      </x:c>
      <x:c r="J17" s="57" t="n">
        <x:v>3</x:v>
      </x:c>
      <x:c r="K17" s="57" t="n">
        <x:v>3</x:v>
      </x:c>
      <x:c r="L17" s="57" t="n">
        <x:v>3</x:v>
      </x:c>
      <x:c r="M17" s="57" t="n">
        <x:v>3</x:v>
      </x:c>
      <x:c r="N17" s="57" t="n">
        <x:v>3</x:v>
      </x:c>
      <x:c r="O17" s="57" t="n">
        <x:v>3</x:v>
      </x:c>
      <x:c r="P17" s="57" t="n">
        <x:v>4</x:v>
      </x:c>
      <x:c r="Q17" s="57" t="n">
        <x:v>3</x:v>
      </x:c>
      <x:c r="R17" s="57" t="n">
        <x:v>4</x:v>
      </x:c>
      <x:c r="S17" s="57" t="n">
        <x:v>3</x:v>
      </x:c>
      <x:c r="T17" s="57" t="n">
        <x:v>4</x:v>
      </x:c>
      <x:c r="U17" s="57" t="n">
        <x:v>4</x:v>
      </x:c>
      <x:c r="V17" s="57" t="n">
        <x:v>3</x:v>
      </x:c>
      <x:c r="W17" s="57" t="n">
        <x:v>3</x:v>
      </x:c>
      <x:c r="X17" s="57" t="n">
        <x:v>4</x:v>
      </x:c>
      <x:c r="Y17" s="57" t="n">
        <x:v>4</x:v>
      </x:c>
      <x:c r="Z17" s="57" t="n">
        <x:v>4</x:v>
      </x:c>
      <x:c r="AA17" s="57" t="n">
        <x:v>5</x:v>
      </x:c>
      <x:c r="AB17" s="57" t="n">
        <x:v>3</x:v>
      </x:c>
      <x:c r="AC17" s="57" t="n">
        <x:v>4</x:v>
      </x:c>
      <x:c r="AD17" s="57" t="n">
        <x:v>5</x:v>
      </x:c>
      <x:c r="AE17" s="57" t="n">
        <x:v>4</x:v>
      </x:c>
      <x:c r="AF17" s="57" t="n">
        <x:v>4</x:v>
      </x:c>
      <x:c r="AG17" s="57" t="n">
        <x:v>4</x:v>
      </x:c>
      <x:c r="AH17" s="57" t="n">
        <x:v>4</x:v>
      </x:c>
      <x:c r="AI17" s="57" t="n">
        <x:v>3</x:v>
      </x:c>
      <x:c r="AJ17" s="57" t="n">
        <x:v>1</x:v>
      </x:c>
      <x:c r="AK17" s="57" t="n">
        <x:v>5</x:v>
      </x:c>
      <x:c r="AL17" s="57" t="n">
        <x:v>5</x:v>
      </x:c>
      <x:c r="AM17" s="48" t="str">
        <x:v>ดูแลความปลอดภัยให้มากยิ่งขึ้น</x:v>
      </x:c>
      <x:c r="AN17" s="49" t="str"/>
    </x:row>
    <x:row r="18">
      <x:c r="A18" s="54" t="str">
        <x:v>Yes</x:v>
      </x:c>
      <x:c r="B18" s="57" t="n">
        <x:v>17</x:v>
      </x:c>
      <x:c r="C18" s="60" t="n">
        <x:v>46245.58280024306</x:v>
      </x:c>
      <x:c r="D18" s="48" t="str">
        <x:v>สื่อสารการตลาด</x:v>
      </x:c>
      <x:c r="E18" s="48" t="str">
        <x:v>สายสนับสนุนทั่วไป</x:v>
      </x:c>
      <x:c r="F18" s="48" t="str">
        <x:v>สายสนับสนุนทั่วไป</x:v>
      </x:c>
      <x:c r="G18" s="57" t="n">
        <x:v>3</x:v>
      </x:c>
      <x:c r="H18" s="57" t="n">
        <x:v>4</x:v>
      </x:c>
      <x:c r="I18" s="57" t="n">
        <x:v>2</x:v>
      </x:c>
      <x:c r="J18" s="57" t="n">
        <x:v>2</x:v>
      </x:c>
      <x:c r="K18" s="57" t="n">
        <x:v>2</x:v>
      </x:c>
      <x:c r="L18" s="57" t="n">
        <x:v>3</x:v>
      </x:c>
      <x:c r="M18" s="57" t="n">
        <x:v>2</x:v>
      </x:c>
      <x:c r="N18" s="57" t="n">
        <x:v>3</x:v>
      </x:c>
      <x:c r="O18" s="57" t="n">
        <x:v>4</x:v>
      </x:c>
      <x:c r="P18" s="57" t="n">
        <x:v>3</x:v>
      </x:c>
      <x:c r="Q18" s="57" t="n">
        <x:v>3</x:v>
      </x:c>
      <x:c r="R18" s="57" t="n">
        <x:v>2</x:v>
      </x:c>
      <x:c r="S18" s="57" t="n">
        <x:v>2</x:v>
      </x:c>
      <x:c r="T18" s="57" t="n">
        <x:v>2</x:v>
      </x:c>
      <x:c r="U18" s="57" t="n">
        <x:v>3</x:v>
      </x:c>
      <x:c r="V18" s="57" t="n">
        <x:v>3</x:v>
      </x:c>
      <x:c r="W18" s="57" t="n">
        <x:v>4</x:v>
      </x:c>
      <x:c r="X18" s="57" t="n">
        <x:v>3</x:v>
      </x:c>
      <x:c r="Y18" s="57" t="n">
        <x:v>4</x:v>
      </x:c>
      <x:c r="Z18" s="57" t="n">
        <x:v>4</x:v>
      </x:c>
      <x:c r="AA18" s="57" t="n">
        <x:v>4</x:v>
      </x:c>
      <x:c r="AB18" s="57" t="n">
        <x:v>2</x:v>
      </x:c>
      <x:c r="AC18" s="57" t="n">
        <x:v>3</x:v>
      </x:c>
      <x:c r="AD18" s="57" t="n">
        <x:v>3</x:v>
      </x:c>
      <x:c r="AE18" s="57" t="n">
        <x:v>2</x:v>
      </x:c>
      <x:c r="AF18" s="57" t="n">
        <x:v>2</x:v>
      </x:c>
      <x:c r="AG18" s="57" t="n">
        <x:v>5</x:v>
      </x:c>
      <x:c r="AH18" s="57" t="n">
        <x:v>4</x:v>
      </x:c>
      <x:c r="AI18" s="57" t="n">
        <x:v>3</x:v>
      </x:c>
      <x:c r="AJ18" s="57" t="n">
        <x:v>1</x:v>
      </x:c>
      <x:c r="AK18" s="57" t="n">
        <x:v>1</x:v>
      </x:c>
      <x:c r="AL18" s="57" t="n">
        <x:v>4</x:v>
      </x:c>
      <x:c r="AM18" s="48" t="str">
        <x:v>-</x:v>
      </x:c>
      <x:c r="AN18" s="49" t="str"/>
    </x:row>
    <x:row r="19">
      <x:c r="A19" s="54" t="str">
        <x:v>Yes</x:v>
      </x:c>
      <x:c r="B19" s="57" t="n">
        <x:v>18</x:v>
      </x:c>
      <x:c r="C19" s="60" t="n">
        <x:v>46245.62035243056</x:v>
      </x:c>
      <x:c r="D19" s="48" t="str">
        <x:v>ช่างและสนาม</x:v>
      </x:c>
      <x:c r="E19" s="48" t="str">
        <x:v>สายสนับสนุนทั่วไป</x:v>
      </x:c>
      <x:c r="F19" s="48" t="str">
        <x:v>สายสนับสนุนทั่วไป</x:v>
      </x:c>
      <x:c r="G19" s="57" t="n">
        <x:v>3</x:v>
      </x:c>
      <x:c r="H19" s="57" t="n">
        <x:v>4</x:v>
      </x:c>
      <x:c r="I19" s="57" t="n">
        <x:v>3</x:v>
      </x:c>
      <x:c r="J19" s="57" t="n">
        <x:v>4</x:v>
      </x:c>
      <x:c r="K19" s="57" t="n">
        <x:v>4</x:v>
      </x:c>
      <x:c r="L19" s="57" t="n">
        <x:v>3</x:v>
      </x:c>
      <x:c r="M19" s="57" t="n">
        <x:v>3</x:v>
      </x:c>
      <x:c r="N19" s="57" t="n">
        <x:v>4</x:v>
      </x:c>
      <x:c r="O19" s="57" t="n">
        <x:v>3</x:v>
      </x:c>
      <x:c r="P19" s="57" t="n">
        <x:v>4</x:v>
      </x:c>
      <x:c r="Q19" s="57" t="n">
        <x:v>3</x:v>
      </x:c>
      <x:c r="R19" s="57" t="n">
        <x:v>3</x:v>
      </x:c>
      <x:c r="S19" s="57" t="n">
        <x:v>4</x:v>
      </x:c>
      <x:c r="T19" s="57" t="n">
        <x:v>3</x:v>
      </x:c>
      <x:c r="U19" s="57" t="n">
        <x:v>3</x:v>
      </x:c>
      <x:c r="V19" s="57" t="n">
        <x:v>3</x:v>
      </x:c>
      <x:c r="W19" s="57" t="n">
        <x:v>4</x:v>
      </x:c>
      <x:c r="X19" s="57" t="n">
        <x:v>3</x:v>
      </x:c>
      <x:c r="Y19" s="57" t="n">
        <x:v>3</x:v>
      </x:c>
      <x:c r="Z19" s="57" t="n">
        <x:v>3</x:v>
      </x:c>
      <x:c r="AA19" s="57" t="n">
        <x:v>3</x:v>
      </x:c>
      <x:c r="AB19" s="57" t="n">
        <x:v>3</x:v>
      </x:c>
      <x:c r="AC19" s="57" t="n">
        <x:v>4</x:v>
      </x:c>
      <x:c r="AD19" s="57" t="n">
        <x:v>3</x:v>
      </x:c>
      <x:c r="AE19" s="57" t="n">
        <x:v>3</x:v>
      </x:c>
      <x:c r="AF19" s="57" t="n">
        <x:v>3</x:v>
      </x:c>
      <x:c r="AG19" s="57" t="n">
        <x:v>3</x:v>
      </x:c>
      <x:c r="AH19" s="57" t="n">
        <x:v>3</x:v>
      </x:c>
      <x:c r="AI19" s="57" t="n">
        <x:v>3</x:v>
      </x:c>
      <x:c r="AJ19" s="57" t="n">
        <x:v>4</x:v>
      </x:c>
      <x:c r="AK19" s="57" t="n">
        <x:v>3</x:v>
      </x:c>
      <x:c r="AL19" s="57" t="n">
        <x:v>3</x:v>
      </x:c>
      <x:c r="AM19" s="48" t="str">
        <x:v>ดีมาก</x:v>
      </x:c>
      <x:c r="AN19" s="49" t="str"/>
    </x:row>
    <x:row r="20">
      <x:c r="A20" s="54" t="str">
        <x:v>Yes</x:v>
      </x:c>
      <x:c r="B20" s="57" t="n">
        <x:v>19</x:v>
      </x:c>
      <x:c r="C20" s="60" t="n">
        <x:v>46245.62520336805</x:v>
      </x:c>
      <x:c r="D20" s="48" t="str">
        <x:v>OR</x:v>
      </x:c>
      <x:c r="E20" s="48" t="str">
        <x:v>สายวิชาชีพสาธารณสุข</x:v>
      </x:c>
      <x:c r="F20" s="48" t="str">
        <x:v>สายวิชาชีพสาธารณสุข</x:v>
      </x:c>
      <x:c r="G20" s="57" t="n">
        <x:v>4</x:v>
      </x:c>
      <x:c r="H20" s="57" t="n">
        <x:v>3</x:v>
      </x:c>
      <x:c r="I20" s="57" t="n">
        <x:v>4</x:v>
      </x:c>
      <x:c r="J20" s="57" t="n">
        <x:v>2</x:v>
      </x:c>
      <x:c r="K20" s="57" t="n">
        <x:v>4</x:v>
      </x:c>
      <x:c r="L20" s="57" t="n">
        <x:v>4</x:v>
      </x:c>
      <x:c r="M20" s="57" t="n">
        <x:v>4</x:v>
      </x:c>
      <x:c r="N20" s="57" t="n">
        <x:v>3</x:v>
      </x:c>
      <x:c r="O20" s="57" t="n">
        <x:v>4</x:v>
      </x:c>
      <x:c r="P20" s="57" t="n">
        <x:v>2</x:v>
      </x:c>
      <x:c r="Q20" s="57" t="n">
        <x:v>3</x:v>
      </x:c>
      <x:c r="R20" s="57" t="n">
        <x:v>3</x:v>
      </x:c>
      <x:c r="S20" s="57" t="n">
        <x:v>3</x:v>
      </x:c>
      <x:c r="T20" s="57" t="n">
        <x:v>3</x:v>
      </x:c>
      <x:c r="U20" s="57" t="n">
        <x:v>3</x:v>
      </x:c>
      <x:c r="V20" s="57" t="n">
        <x:v>3</x:v>
      </x:c>
      <x:c r="W20" s="57" t="n">
        <x:v>4</x:v>
      </x:c>
      <x:c r="X20" s="57" t="n">
        <x:v>4</x:v>
      </x:c>
      <x:c r="Y20" s="57" t="n">
        <x:v>4</x:v>
      </x:c>
      <x:c r="Z20" s="57" t="n">
        <x:v>4</x:v>
      </x:c>
      <x:c r="AA20" s="57" t="n">
        <x:v>3</x:v>
      </x:c>
      <x:c r="AB20" s="57" t="n">
        <x:v>3</x:v>
      </x:c>
      <x:c r="AC20" s="57" t="n">
        <x:v>3</x:v>
      </x:c>
      <x:c r="AD20" s="57" t="n">
        <x:v>3</x:v>
      </x:c>
      <x:c r="AE20" s="57" t="n">
        <x:v>4</x:v>
      </x:c>
      <x:c r="AF20" s="57" t="n">
        <x:v>4</x:v>
      </x:c>
      <x:c r="AG20" s="57" t="n">
        <x:v>4</x:v>
      </x:c>
      <x:c r="AH20" s="57" t="n">
        <x:v>3</x:v>
      </x:c>
      <x:c r="AI20" s="57" t="n">
        <x:v>3</x:v>
      </x:c>
      <x:c r="AJ20" s="57" t="n">
        <x:v>3</x:v>
      </x:c>
      <x:c r="AK20" s="57" t="n">
        <x:v>2</x:v>
      </x:c>
      <x:c r="AL20" s="57" t="n">
        <x:v>3</x:v>
      </x:c>
      <x:c r="AM20" s="48" t="str">
        <x:v>…</x:v>
      </x:c>
      <x:c r="AN20" s="49" t="str"/>
    </x:row>
    <x:row r="21">
      <x:c r="A21" s="54" t="str">
        <x:v>Yes</x:v>
      </x:c>
      <x:c r="B21" s="57" t="n">
        <x:v>20</x:v>
      </x:c>
      <x:c r="C21" s="60" t="n">
        <x:v>46245.625968645836</x:v>
      </x:c>
      <x:c r="D21" s="48" t="str">
        <x:v>ช่างและสนาม</x:v>
      </x:c>
      <x:c r="E21" s="48" t="str">
        <x:v>สายสนับสนุนทั่วไป</x:v>
      </x:c>
      <x:c r="F21" s="48" t="str">
        <x:v>สายสนับสนุนทั่วไป</x:v>
      </x:c>
      <x:c r="G21" s="57" t="n">
        <x:v>4</x:v>
      </x:c>
      <x:c r="H21" s="57" t="n">
        <x:v>4</x:v>
      </x:c>
      <x:c r="I21" s="57" t="n">
        <x:v>1</x:v>
      </x:c>
      <x:c r="J21" s="57" t="n">
        <x:v>4</x:v>
      </x:c>
      <x:c r="K21" s="57" t="n">
        <x:v>2</x:v>
      </x:c>
      <x:c r="L21" s="57" t="n">
        <x:v>3</x:v>
      </x:c>
      <x:c r="M21" s="57" t="n">
        <x:v>4</x:v>
      </x:c>
      <x:c r="N21" s="57" t="n">
        <x:v>4</x:v>
      </x:c>
      <x:c r="O21" s="57" t="n">
        <x:v>4</x:v>
      </x:c>
      <x:c r="P21" s="57" t="n">
        <x:v>2</x:v>
      </x:c>
      <x:c r="Q21" s="57" t="n">
        <x:v>3</x:v>
      </x:c>
      <x:c r="R21" s="57" t="n">
        <x:v>2</x:v>
      </x:c>
      <x:c r="S21" s="57" t="n">
        <x:v>4</x:v>
      </x:c>
      <x:c r="T21" s="57" t="n">
        <x:v>1</x:v>
      </x:c>
      <x:c r="U21" s="57" t="n">
        <x:v>4</x:v>
      </x:c>
      <x:c r="V21" s="57" t="n">
        <x:v>2</x:v>
      </x:c>
      <x:c r="W21" s="57" t="n">
        <x:v>4</x:v>
      </x:c>
      <x:c r="X21" s="57" t="n">
        <x:v>2</x:v>
      </x:c>
      <x:c r="Y21" s="57" t="n">
        <x:v>5</x:v>
      </x:c>
      <x:c r="Z21" s="57" t="n">
        <x:v>4</x:v>
      </x:c>
      <x:c r="AA21" s="57" t="n">
        <x:v>5</x:v>
      </x:c>
      <x:c r="AB21" s="57" t="n">
        <x:v>5</x:v>
      </x:c>
      <x:c r="AC21" s="57" t="n">
        <x:v>5</x:v>
      </x:c>
      <x:c r="AD21" s="57" t="n">
        <x:v>2</x:v>
      </x:c>
      <x:c r="AE21" s="57" t="n">
        <x:v>2</x:v>
      </x:c>
      <x:c r="AF21" s="57" t="n">
        <x:v>2</x:v>
      </x:c>
      <x:c r="AG21" s="57" t="n">
        <x:v>5</x:v>
      </x:c>
      <x:c r="AH21" s="57" t="n">
        <x:v>4</x:v>
      </x:c>
      <x:c r="AI21" s="57" t="n">
        <x:v>2</x:v>
      </x:c>
      <x:c r="AJ21" s="57" t="n">
        <x:v>1</x:v>
      </x:c>
      <x:c r="AK21" s="57" t="n">
        <x:v>1</x:v>
      </x:c>
      <x:c r="AL21" s="57" t="n">
        <x:v>4</x:v>
      </x:c>
      <x:c r="AM21" s="48" t="str">
        <x:v>ปลอดภัยดี</x:v>
      </x:c>
      <x:c r="AN21" s="49" t="str"/>
    </x:row>
    <x:row r="22">
      <x:c r="A22" s="54" t="str">
        <x:v>Yes</x:v>
      </x:c>
      <x:c r="B22" s="57" t="n">
        <x:v>21</x:v>
      </x:c>
      <x:c r="C22" s="60" t="n">
        <x:v>46245.64591949074</x:v>
      </x:c>
      <x:c r="D22" s="48" t="str">
        <x:v>ERและเปล</x:v>
      </x:c>
      <x:c r="E22" s="48" t="str">
        <x:v>สายสนับสนุนทั่วไป</x:v>
      </x:c>
      <x:c r="F22" s="48" t="str">
        <x:v>สายสนับสนุนทั่วไป</x:v>
      </x:c>
      <x:c r="G22" s="57" t="n">
        <x:v>3</x:v>
      </x:c>
      <x:c r="H22" s="57" t="n">
        <x:v>4</x:v>
      </x:c>
      <x:c r="I22" s="57" t="n">
        <x:v>3</x:v>
      </x:c>
      <x:c r="J22" s="57" t="n">
        <x:v>1</x:v>
      </x:c>
      <x:c r="K22" s="57" t="n">
        <x:v>3</x:v>
      </x:c>
      <x:c r="L22" s="57" t="n">
        <x:v>2</x:v>
      </x:c>
      <x:c r="M22" s="57" t="n">
        <x:v>2</x:v>
      </x:c>
      <x:c r="N22" s="57" t="n">
        <x:v>4</x:v>
      </x:c>
      <x:c r="O22" s="57" t="n">
        <x:v>3</x:v>
      </x:c>
      <x:c r="P22" s="57" t="n">
        <x:v>2</x:v>
      </x:c>
      <x:c r="Q22" s="57" t="n">
        <x:v>3</x:v>
      </x:c>
      <x:c r="R22" s="57" t="n">
        <x:v>4</x:v>
      </x:c>
      <x:c r="S22" s="57" t="n">
        <x:v>3</x:v>
      </x:c>
      <x:c r="T22" s="57" t="n">
        <x:v>2</x:v>
      </x:c>
      <x:c r="U22" s="57" t="n">
        <x:v>3</x:v>
      </x:c>
      <x:c r="V22" s="57" t="n">
        <x:v>3</x:v>
      </x:c>
      <x:c r="W22" s="57" t="n">
        <x:v>3</x:v>
      </x:c>
      <x:c r="X22" s="57" t="n">
        <x:v>3</x:v>
      </x:c>
      <x:c r="Y22" s="57" t="n">
        <x:v>2</x:v>
      </x:c>
      <x:c r="Z22" s="57" t="n">
        <x:v>2</x:v>
      </x:c>
      <x:c r="AA22" s="57" t="n">
        <x:v>3</x:v>
      </x:c>
      <x:c r="AB22" s="57" t="n">
        <x:v>1</x:v>
      </x:c>
      <x:c r="AC22" s="57" t="n">
        <x:v>1</x:v>
      </x:c>
      <x:c r="AD22" s="57" t="n">
        <x:v>3</x:v>
      </x:c>
      <x:c r="AE22" s="57" t="n">
        <x:v>1</x:v>
      </x:c>
      <x:c r="AF22" s="57" t="n">
        <x:v>2</x:v>
      </x:c>
      <x:c r="AG22" s="57" t="n">
        <x:v>2</x:v>
      </x:c>
      <x:c r="AH22" s="57" t="n">
        <x:v>1</x:v>
      </x:c>
      <x:c r="AI22" s="57" t="n">
        <x:v>3</x:v>
      </x:c>
      <x:c r="AJ22" s="57" t="n">
        <x:v>2</x:v>
      </x:c>
      <x:c r="AK22" s="57" t="n">
        <x:v>3</x:v>
      </x:c>
      <x:c r="AL22" s="57" t="n">
        <x:v>2</x:v>
      </x:c>
      <x:c r="AM22" s="48" t="str">
        <x:v>ควรมี เจ้าหน้าที่รักษาความปลอดภัย(รปภ.)</x:v>
      </x:c>
      <x:c r="AN22" s="49" t="str"/>
    </x:row>
    <x:row r="23">
      <x:c r="A23" s="54" t="str">
        <x:v>Yes</x:v>
      </x:c>
      <x:c r="B23" s="57" t="n">
        <x:v>22</x:v>
      </x:c>
      <x:c r="C23" s="60" t="n">
        <x:v>46245.64744086805</x:v>
      </x:c>
      <x:c r="D23" s="48" t="str">
        <x:v>โภชนาการ</x:v>
      </x:c>
      <x:c r="E23" s="48" t="str">
        <x:v>สายสนับสนุนทางการแพทย์</x:v>
      </x:c>
      <x:c r="F23" s="48" t="str">
        <x:v>สายสนับสนุนทางการแพทย์</x:v>
      </x:c>
      <x:c r="G23" s="57" t="n">
        <x:v>5</x:v>
      </x:c>
      <x:c r="H23" s="57" t="n">
        <x:v>5</x:v>
      </x:c>
      <x:c r="I23" s="57" t="n">
        <x:v>1</x:v>
      </x:c>
      <x:c r="J23" s="57" t="n">
        <x:v>2</x:v>
      </x:c>
      <x:c r="K23" s="57" t="n">
        <x:v>1</x:v>
      </x:c>
      <x:c r="L23" s="57" t="n">
        <x:v>1</x:v>
      </x:c>
      <x:c r="M23" s="57" t="n">
        <x:v>2</x:v>
      </x:c>
      <x:c r="N23" s="57" t="n">
        <x:v>5</x:v>
      </x:c>
      <x:c r="O23" s="57" t="n">
        <x:v>3</x:v>
      </x:c>
      <x:c r="P23" s="57" t="n">
        <x:v>1</x:v>
      </x:c>
      <x:c r="Q23" s="57" t="n">
        <x:v>1</x:v>
      </x:c>
      <x:c r="R23" s="57" t="n">
        <x:v>1</x:v>
      </x:c>
      <x:c r="S23" s="57" t="n">
        <x:v>5</x:v>
      </x:c>
      <x:c r="T23" s="57" t="n">
        <x:v>1</x:v>
      </x:c>
      <x:c r="U23" s="57" t="n">
        <x:v>5</x:v>
      </x:c>
      <x:c r="V23" s="57" t="n">
        <x:v>1</x:v>
      </x:c>
      <x:c r="W23" s="57" t="n">
        <x:v>5</x:v>
      </x:c>
      <x:c r="X23" s="57" t="n">
        <x:v>5</x:v>
      </x:c>
      <x:c r="Y23" s="57" t="n">
        <x:v>5</x:v>
      </x:c>
      <x:c r="Z23" s="57" t="n">
        <x:v>5</x:v>
      </x:c>
      <x:c r="AA23" s="57" t="n">
        <x:v>5</x:v>
      </x:c>
      <x:c r="AB23" s="57" t="n">
        <x:v>3</x:v>
      </x:c>
      <x:c r="AC23" s="57" t="n">
        <x:v>5</x:v>
      </x:c>
      <x:c r="AD23" s="57" t="n">
        <x:v>1</x:v>
      </x:c>
      <x:c r="AE23" s="57" t="n">
        <x:v>5</x:v>
      </x:c>
      <x:c r="AF23" s="57" t="n">
        <x:v>5</x:v>
      </x:c>
      <x:c r="AG23" s="57" t="n">
        <x:v>5</x:v>
      </x:c>
      <x:c r="AH23" s="57" t="n">
        <x:v>4</x:v>
      </x:c>
      <x:c r="AI23" s="57" t="n">
        <x:v>1</x:v>
      </x:c>
      <x:c r="AJ23" s="57" t="n">
        <x:v>1</x:v>
      </x:c>
      <x:c r="AK23" s="57" t="n">
        <x:v>1</x:v>
      </x:c>
      <x:c r="AL23" s="57" t="n">
        <x:v>5</x:v>
      </x:c>
      <x:c r="AM23" s="48" t="str">
        <x:v>มีการรักษาความปลอดภัยแลัแนวทางปฎิบัติเมื่อเกิดอุบีติการได้ดีเป็นระบบ</x:v>
      </x:c>
      <x:c r="AN23" s="49" t="str"/>
    </x:row>
    <x:row r="24">
      <x:c r="A24" s="54" t="str">
        <x:v>Yes</x:v>
      </x:c>
      <x:c r="B24" s="57" t="n">
        <x:v>23</x:v>
      </x:c>
      <x:c r="C24" s="60" t="n">
        <x:v>46245.686745914354</x:v>
      </x:c>
      <x:c r="D24" s="48" t="str">
        <x:v>IPD</x:v>
      </x:c>
      <x:c r="E24" s="48" t="str">
        <x:v>สายวิชาชีพสาธารณสุข</x:v>
      </x:c>
      <x:c r="F24" s="48" t="str">
        <x:v>สายวิชาชีพสาธารณสุข</x:v>
      </x:c>
      <x:c r="G24" s="57" t="n">
        <x:v>5</x:v>
      </x:c>
      <x:c r="H24" s="57" t="n">
        <x:v>5</x:v>
      </x:c>
      <x:c r="I24" s="57" t="n">
        <x:v>1</x:v>
      </x:c>
      <x:c r="J24" s="57" t="n">
        <x:v>3</x:v>
      </x:c>
      <x:c r="K24" s="57" t="n">
        <x:v>4</x:v>
      </x:c>
      <x:c r="L24" s="57" t="n">
        <x:v>4</x:v>
      </x:c>
      <x:c r="M24" s="57" t="n">
        <x:v>1</x:v>
      </x:c>
      <x:c r="N24" s="57" t="n">
        <x:v>5</x:v>
      </x:c>
      <x:c r="O24" s="57" t="n">
        <x:v>5</x:v>
      </x:c>
      <x:c r="P24" s="57" t="n">
        <x:v>1</x:v>
      </x:c>
      <x:c r="Q24" s="57" t="n">
        <x:v>1</x:v>
      </x:c>
      <x:c r="R24" s="57" t="n">
        <x:v>2</x:v>
      </x:c>
      <x:c r="S24" s="57" t="n">
        <x:v>5</x:v>
      </x:c>
      <x:c r="T24" s="57" t="n">
        <x:v>1</x:v>
      </x:c>
      <x:c r="U24" s="57" t="n">
        <x:v>5</x:v>
      </x:c>
      <x:c r="V24" s="57" t="n">
        <x:v>1</x:v>
      </x:c>
      <x:c r="W24" s="57" t="n">
        <x:v>5</x:v>
      </x:c>
      <x:c r="X24" s="57" t="n">
        <x:v>3</x:v>
      </x:c>
      <x:c r="Y24" s="57" t="n">
        <x:v>5</x:v>
      </x:c>
      <x:c r="Z24" s="57" t="n">
        <x:v>5</x:v>
      </x:c>
      <x:c r="AA24" s="57" t="n">
        <x:v>5</x:v>
      </x:c>
      <x:c r="AB24" s="57" t="n">
        <x:v>4</x:v>
      </x:c>
      <x:c r="AC24" s="57" t="n">
        <x:v>5</x:v>
      </x:c>
      <x:c r="AD24" s="57" t="n">
        <x:v>2</x:v>
      </x:c>
      <x:c r="AE24" s="57" t="n">
        <x:v>1</x:v>
      </x:c>
      <x:c r="AF24" s="57" t="n">
        <x:v>1</x:v>
      </x:c>
      <x:c r="AG24" s="57" t="n">
        <x:v>5</x:v>
      </x:c>
      <x:c r="AH24" s="57" t="n">
        <x:v>5</x:v>
      </x:c>
      <x:c r="AI24" s="57" t="n">
        <x:v>5</x:v>
      </x:c>
      <x:c r="AJ24" s="57" t="n">
        <x:v>1</x:v>
      </x:c>
      <x:c r="AK24" s="57" t="n">
        <x:v>1</x:v>
      </x:c>
      <x:c r="AL24" s="57" t="n">
        <x:v>5</x:v>
      </x:c>
      <x:c r="AM24" s="48" t="str">
        <x:v>โรงพยาบาลให้การบริการผู้ป่วยด้วยความปลอดภัยเสมอค่ะ</x:v>
      </x:c>
      <x:c r="AN24" s="49" t="str"/>
    </x:row>
    <x:row r="25">
      <x:c r="A25" s="54" t="str">
        <x:v>Yes</x:v>
      </x:c>
      <x:c r="B25" s="57" t="n">
        <x:v>24</x:v>
      </x:c>
      <x:c r="C25" s="60" t="n">
        <x:v>46245.69452546297</x:v>
      </x:c>
      <x:c r="D25" s="48" t="str">
        <x:v>ช่างและสนาม</x:v>
      </x:c>
      <x:c r="E25" s="48" t="str">
        <x:v>สายสนับสนุนทั่วไป</x:v>
      </x:c>
      <x:c r="F25" s="48" t="str">
        <x:v>สายสนับสนุนทั่วไป</x:v>
      </x:c>
      <x:c r="G25" s="57" t="n">
        <x:v>2</x:v>
      </x:c>
      <x:c r="H25" s="57" t="n">
        <x:v>2</x:v>
      </x:c>
      <x:c r="I25" s="57" t="n">
        <x:v>4</x:v>
      </x:c>
      <x:c r="J25" s="57" t="n">
        <x:v>2</x:v>
      </x:c>
      <x:c r="K25" s="57" t="n">
        <x:v>2</x:v>
      </x:c>
      <x:c r="L25" s="57" t="n">
        <x:v>2</x:v>
      </x:c>
      <x:c r="M25" s="57" t="n">
        <x:v>2</x:v>
      </x:c>
      <x:c r="N25" s="57" t="n">
        <x:v>2</x:v>
      </x:c>
      <x:c r="O25" s="57" t="n">
        <x:v>4</x:v>
      </x:c>
      <x:c r="P25" s="57" t="n">
        <x:v>2</x:v>
      </x:c>
      <x:c r="Q25" s="57" t="n">
        <x:v>4</x:v>
      </x:c>
      <x:c r="R25" s="57" t="n">
        <x:v>4</x:v>
      </x:c>
      <x:c r="S25" s="57" t="n">
        <x:v>2</x:v>
      </x:c>
      <x:c r="T25" s="57" t="n">
        <x:v>4</x:v>
      </x:c>
      <x:c r="U25" s="57" t="n">
        <x:v>4</x:v>
      </x:c>
      <x:c r="V25" s="57" t="n">
        <x:v>3</x:v>
      </x:c>
      <x:c r="W25" s="57" t="n">
        <x:v>3</x:v>
      </x:c>
      <x:c r="X25" s="57" t="n">
        <x:v>2</x:v>
      </x:c>
      <x:c r="Y25" s="57" t="n">
        <x:v>2</x:v>
      </x:c>
      <x:c r="Z25" s="57" t="n">
        <x:v>2</x:v>
      </x:c>
      <x:c r="AA25" s="57" t="n">
        <x:v>3</x:v>
      </x:c>
      <x:c r="AB25" s="57" t="n">
        <x:v>2</x:v>
      </x:c>
      <x:c r="AC25" s="57" t="n">
        <x:v>2</x:v>
      </x:c>
      <x:c r="AD25" s="57" t="n">
        <x:v>2</x:v>
      </x:c>
      <x:c r="AE25" s="57" t="n">
        <x:v>2</x:v>
      </x:c>
      <x:c r="AF25" s="57" t="n">
        <x:v>2</x:v>
      </x:c>
      <x:c r="AG25" s="57" t="n">
        <x:v>3</x:v>
      </x:c>
      <x:c r="AH25" s="57" t="n">
        <x:v>3</x:v>
      </x:c>
      <x:c r="AI25" s="57" t="n">
        <x:v>2</x:v>
      </x:c>
      <x:c r="AJ25" s="57" t="n">
        <x:v>2</x:v>
      </x:c>
      <x:c r="AK25" s="57" t="n">
        <x:v>3</x:v>
      </x:c>
      <x:c r="AL25" s="57" t="n">
        <x:v>3</x:v>
      </x:c>
      <x:c r="AM25" s="48" t="str">
        <x:v>ควร รปภ</x:v>
      </x:c>
      <x:c r="AN25" s="49" t="str"/>
    </x:row>
    <x:row r="26">
      <x:c r="A26" s="54" t="str">
        <x:v>Yes</x:v>
      </x:c>
      <x:c r="B26" s="57" t="n">
        <x:v>25</x:v>
      </x:c>
      <x:c r="C26" s="60" t="n">
        <x:v>46245.69521273148</x:v>
      </x:c>
      <x:c r="D26" s="48" t="str">
        <x:v>IPD</x:v>
      </x:c>
      <x:c r="E26" s="48" t="str">
        <x:v>สายสนับสนุนทางการแพทย์</x:v>
      </x:c>
      <x:c r="F26" s="48" t="str">
        <x:v>สายสนับสนุนทางการแพทย์</x:v>
      </x:c>
      <x:c r="G26" s="57" t="n">
        <x:v>3</x:v>
      </x:c>
      <x:c r="H26" s="57" t="n">
        <x:v>3</x:v>
      </x:c>
      <x:c r="I26" s="57" t="n">
        <x:v>4</x:v>
      </x:c>
      <x:c r="J26" s="57" t="n">
        <x:v>2</x:v>
      </x:c>
      <x:c r="K26" s="57" t="n">
        <x:v>3</x:v>
      </x:c>
      <x:c r="L26" s="57" t="n">
        <x:v>5</x:v>
      </x:c>
      <x:c r="M26" s="57" t="n">
        <x:v>3</x:v>
      </x:c>
      <x:c r="N26" s="57" t="n">
        <x:v>1</x:v>
      </x:c>
      <x:c r="O26" s="57" t="n">
        <x:v>4</x:v>
      </x:c>
      <x:c r="P26" s="57" t="n">
        <x:v>1</x:v>
      </x:c>
      <x:c r="Q26" s="57" t="n">
        <x:v>5</x:v>
      </x:c>
      <x:c r="R26" s="57" t="n">
        <x:v>1</x:v>
      </x:c>
      <x:c r="S26" s="57" t="n">
        <x:v>5</x:v>
      </x:c>
      <x:c r="T26" s="57" t="n">
        <x:v>3</x:v>
      </x:c>
      <x:c r="U26" s="57" t="n">
        <x:v>3</x:v>
      </x:c>
      <x:c r="V26" s="57" t="n">
        <x:v>3</x:v>
      </x:c>
      <x:c r="W26" s="57" t="n">
        <x:v>3</x:v>
      </x:c>
      <x:c r="X26" s="57" t="n">
        <x:v>4</x:v>
      </x:c>
      <x:c r="Y26" s="57" t="n">
        <x:v>4</x:v>
      </x:c>
      <x:c r="Z26" s="57" t="n">
        <x:v>4</x:v>
      </x:c>
      <x:c r="AA26" s="57" t="n">
        <x:v>4</x:v>
      </x:c>
      <x:c r="AB26" s="57" t="n">
        <x:v>4</x:v>
      </x:c>
      <x:c r="AC26" s="57" t="n">
        <x:v>4</x:v>
      </x:c>
      <x:c r="AD26" s="57" t="n">
        <x:v>2</x:v>
      </x:c>
      <x:c r="AE26" s="57" t="n">
        <x:v>4</x:v>
      </x:c>
      <x:c r="AF26" s="57" t="n">
        <x:v>4</x:v>
      </x:c>
      <x:c r="AG26" s="57" t="n">
        <x:v>4</x:v>
      </x:c>
      <x:c r="AH26" s="57" t="n">
        <x:v>4</x:v>
      </x:c>
      <x:c r="AI26" s="57" t="n">
        <x:v>1</x:v>
      </x:c>
      <x:c r="AJ26" s="57" t="n">
        <x:v>1</x:v>
      </x:c>
      <x:c r="AK26" s="57" t="n">
        <x:v>1</x:v>
      </x:c>
      <x:c r="AL26" s="57" t="n">
        <x:v>3</x:v>
      </x:c>
      <x:c r="AM26" s="48" t="str">
        <x:v>ควรส่งเสริมให้พนักงานมีการรายงานความเสี่ยงอย่างสมำเสมอ มีการพัฒนาวัฒนธรรมความปลอดภับอย่างต่อเนื่อง นำอุบัติการณ์มาแก้ไขอย่างเป็นระบบ</x:v>
      </x:c>
      <x:c r="AN26" s="49" t="str"/>
    </x:row>
    <x:row r="27">
      <x:c r="A27" s="54" t="str">
        <x:v>Yes</x:v>
      </x:c>
      <x:c r="B27" s="57" t="n">
        <x:v>26</x:v>
      </x:c>
      <x:c r="C27" s="60" t="n">
        <x:v>46245.72669921296</x:v>
      </x:c>
      <x:c r="D27" s="48" t="str">
        <x:v>OR</x:v>
      </x:c>
      <x:c r="E27" s="48" t="str">
        <x:v>สายวิชาชีพสาธารณสุข</x:v>
      </x:c>
      <x:c r="F27" s="48" t="str">
        <x:v>สายวิชาชีพสาธารณสุข</x:v>
      </x:c>
      <x:c r="G27" s="57" t="n">
        <x:v>5</x:v>
      </x:c>
      <x:c r="H27" s="57" t="n">
        <x:v>1</x:v>
      </x:c>
      <x:c r="I27" s="57" t="n">
        <x:v>1</x:v>
      </x:c>
      <x:c r="J27" s="57" t="n">
        <x:v>5</x:v>
      </x:c>
      <x:c r="K27" s="57" t="n">
        <x:v>1</x:v>
      </x:c>
      <x:c r="L27" s="57" t="n">
        <x:v>3</x:v>
      </x:c>
      <x:c r="M27" s="57" t="n">
        <x:v>3</x:v>
      </x:c>
      <x:c r="N27" s="57" t="n">
        <x:v>5</x:v>
      </x:c>
      <x:c r="O27" s="57" t="n">
        <x:v>5</x:v>
      </x:c>
      <x:c r="P27" s="57" t="n">
        <x:v>1</x:v>
      </x:c>
      <x:c r="Q27" s="57" t="n">
        <x:v>1</x:v>
      </x:c>
      <x:c r="R27" s="57" t="n">
        <x:v>1</x:v>
      </x:c>
      <x:c r="S27" s="57" t="n">
        <x:v>1</x:v>
      </x:c>
      <x:c r="T27" s="57" t="n">
        <x:v>1</x:v>
      </x:c>
      <x:c r="U27" s="57" t="n">
        <x:v>5</x:v>
      </x:c>
      <x:c r="V27" s="57" t="n">
        <x:v>5</x:v>
      </x:c>
      <x:c r="W27" s="57" t="n">
        <x:v>5</x:v>
      </x:c>
      <x:c r="X27" s="57" t="n">
        <x:v>3</x:v>
      </x:c>
      <x:c r="Y27" s="57" t="n">
        <x:v>5</x:v>
      </x:c>
      <x:c r="Z27" s="57" t="n">
        <x:v>5</x:v>
      </x:c>
      <x:c r="AA27" s="57" t="n">
        <x:v>5</x:v>
      </x:c>
      <x:c r="AB27" s="57" t="n">
        <x:v>1</x:v>
      </x:c>
      <x:c r="AC27" s="57" t="n">
        <x:v>1</x:v>
      </x:c>
      <x:c r="AD27" s="57" t="n">
        <x:v>1</x:v>
      </x:c>
      <x:c r="AE27" s="57" t="n">
        <x:v>5</x:v>
      </x:c>
      <x:c r="AF27" s="57" t="n">
        <x:v>5</x:v>
      </x:c>
      <x:c r="AG27" s="57" t="n">
        <x:v>5</x:v>
      </x:c>
      <x:c r="AH27" s="57" t="n">
        <x:v>5</x:v>
      </x:c>
      <x:c r="AI27" s="57" t="n">
        <x:v>5</x:v>
      </x:c>
      <x:c r="AJ27" s="57" t="n">
        <x:v>1</x:v>
      </x:c>
      <x:c r="AK27" s="57" t="n">
        <x:v>1</x:v>
      </x:c>
      <x:c r="AL27" s="57" t="n">
        <x:v>3</x:v>
      </x:c>
      <x:c r="AM27" s="48" t="str">
        <x:v>เหมือนเดิม ไม่ค่อยได้รับการแก้ใข</x:v>
      </x:c>
      <x:c r="AN27" s="49" t="str"/>
    </x:row>
    <x:row r="28">
      <x:c r="A28" s="54" t="str">
        <x:v>Yes</x:v>
      </x:c>
      <x:c r="B28" s="57" t="n">
        <x:v>27</x:v>
      </x:c>
      <x:c r="C28" s="60" t="n">
        <x:v>46245.735614618054</x:v>
      </x:c>
      <x:c r="D28" s="48" t="str">
        <x:v>OR</x:v>
      </x:c>
      <x:c r="E28" s="48" t="str">
        <x:v>สายวิชาชีพสาธารณสุข</x:v>
      </x:c>
      <x:c r="F28" s="48" t="str">
        <x:v>สายวิชาชีพสาธารณสุข</x:v>
      </x:c>
      <x:c r="G28" s="57" t="n">
        <x:v>4</x:v>
      </x:c>
      <x:c r="H28" s="57" t="n">
        <x:v>4</x:v>
      </x:c>
      <x:c r="I28" s="57" t="n">
        <x:v>2</x:v>
      </x:c>
      <x:c r="J28" s="57" t="n">
        <x:v>2</x:v>
      </x:c>
      <x:c r="K28" s="57" t="n">
        <x:v>3</x:v>
      </x:c>
      <x:c r="L28" s="57" t="n">
        <x:v>3</x:v>
      </x:c>
      <x:c r="M28" s="57" t="n">
        <x:v>3</x:v>
      </x:c>
      <x:c r="N28" s="57" t="n">
        <x:v>5</x:v>
      </x:c>
      <x:c r="O28" s="57" t="n">
        <x:v>5</x:v>
      </x:c>
      <x:c r="P28" s="57" t="n">
        <x:v>2</x:v>
      </x:c>
      <x:c r="Q28" s="57" t="n">
        <x:v>3</x:v>
      </x:c>
      <x:c r="R28" s="57" t="n">
        <x:v>3</x:v>
      </x:c>
      <x:c r="S28" s="57" t="n">
        <x:v>3</x:v>
      </x:c>
      <x:c r="T28" s="57" t="n">
        <x:v>2</x:v>
      </x:c>
      <x:c r="U28" s="57" t="n">
        <x:v>3</x:v>
      </x:c>
      <x:c r="V28" s="57" t="n">
        <x:v>3</x:v>
      </x:c>
      <x:c r="W28" s="57" t="n">
        <x:v>3</x:v>
      </x:c>
      <x:c r="X28" s="57" t="n">
        <x:v>4</x:v>
      </x:c>
      <x:c r="Y28" s="57" t="n">
        <x:v>4</x:v>
      </x:c>
      <x:c r="Z28" s="57" t="n">
        <x:v>4</x:v>
      </x:c>
      <x:c r="AA28" s="57" t="n">
        <x:v>4</x:v>
      </x:c>
      <x:c r="AB28" s="57" t="n">
        <x:v>4</x:v>
      </x:c>
      <x:c r="AC28" s="57" t="n">
        <x:v>3</x:v>
      </x:c>
      <x:c r="AD28" s="57" t="n">
        <x:v>3</x:v>
      </x:c>
      <x:c r="AE28" s="57" t="n">
        <x:v>3</x:v>
      </x:c>
      <x:c r="AF28" s="57" t="n">
        <x:v>3</x:v>
      </x:c>
      <x:c r="AG28" s="57" t="n">
        <x:v>4</x:v>
      </x:c>
      <x:c r="AH28" s="57" t="n">
        <x:v>3</x:v>
      </x:c>
      <x:c r="AI28" s="57" t="n">
        <x:v>4</x:v>
      </x:c>
      <x:c r="AJ28" s="57" t="n">
        <x:v>3</x:v>
      </x:c>
      <x:c r="AK28" s="57" t="n">
        <x:v>3</x:v>
      </x:c>
      <x:c r="AL28" s="57" t="n">
        <x:v>3</x:v>
      </x:c>
      <x:c r="AM28" s="48" t="str">
        <x:v>รพ เห็นความสำคัญของความปลอดภัยพนักงานน้อย</x:v>
      </x:c>
      <x:c r="AN28" s="49" t="str"/>
    </x:row>
    <x:row r="29">
      <x:c r="A29" s="54" t="str">
        <x:v>Yes</x:v>
      </x:c>
      <x:c r="B29" s="57" t="n">
        <x:v>28</x:v>
      </x:c>
      <x:c r="C29" s="60" t="n">
        <x:v>46245.978698182866</x:v>
      </x:c>
      <x:c r="D29" s="48" t="str">
        <x:v>IPD</x:v>
      </x:c>
      <x:c r="E29" s="48" t="str">
        <x:v>สายวิชาชีพสาธารณสุข</x:v>
      </x:c>
      <x:c r="F29" s="48" t="str">
        <x:v>สายวิชาชีพสาธารณสุข</x:v>
      </x:c>
      <x:c r="G29" s="57" t="n">
        <x:v>5</x:v>
      </x:c>
      <x:c r="H29" s="57" t="n">
        <x:v>5</x:v>
      </x:c>
      <x:c r="I29" s="57" t="n">
        <x:v>1</x:v>
      </x:c>
      <x:c r="J29" s="57" t="n">
        <x:v>5</x:v>
      </x:c>
      <x:c r="K29" s="57" t="n">
        <x:v>2</x:v>
      </x:c>
      <x:c r="L29" s="57" t="n">
        <x:v>3</x:v>
      </x:c>
      <x:c r="M29" s="57" t="n">
        <x:v>1</x:v>
      </x:c>
      <x:c r="N29" s="57" t="n">
        <x:v>5</x:v>
      </x:c>
      <x:c r="O29" s="57" t="n">
        <x:v>4</x:v>
      </x:c>
      <x:c r="P29" s="57" t="n">
        <x:v>3</x:v>
      </x:c>
      <x:c r="Q29" s="57" t="n">
        <x:v>1</x:v>
      </x:c>
      <x:c r="R29" s="57" t="n">
        <x:v>1</x:v>
      </x:c>
      <x:c r="S29" s="57" t="n">
        <x:v>4</x:v>
      </x:c>
      <x:c r="T29" s="57" t="n">
        <x:v>1</x:v>
      </x:c>
      <x:c r="U29" s="57" t="n">
        <x:v>5</x:v>
      </x:c>
      <x:c r="V29" s="57" t="n">
        <x:v>1</x:v>
      </x:c>
      <x:c r="W29" s="57" t="n">
        <x:v>5</x:v>
      </x:c>
      <x:c r="X29" s="57" t="n">
        <x:v>5</x:v>
      </x:c>
      <x:c r="Y29" s="57" t="n">
        <x:v>5</x:v>
      </x:c>
      <x:c r="Z29" s="57" t="n">
        <x:v>5</x:v>
      </x:c>
      <x:c r="AA29" s="57" t="n">
        <x:v>5</x:v>
      </x:c>
      <x:c r="AB29" s="57" t="n">
        <x:v>4</x:v>
      </x:c>
      <x:c r="AC29" s="57" t="n">
        <x:v>4</x:v>
      </x:c>
      <x:c r="AD29" s="57" t="n">
        <x:v>1</x:v>
      </x:c>
      <x:c r="AE29" s="57" t="n">
        <x:v>3</x:v>
      </x:c>
      <x:c r="AF29" s="57" t="n">
        <x:v>2</x:v>
      </x:c>
      <x:c r="AG29" s="57" t="n">
        <x:v>5</x:v>
      </x:c>
      <x:c r="AH29" s="57" t="n">
        <x:v>5</x:v>
      </x:c>
      <x:c r="AI29" s="57" t="n">
        <x:v>1</x:v>
      </x:c>
      <x:c r="AJ29" s="57" t="n">
        <x:v>1</x:v>
      </x:c>
      <x:c r="AK29" s="57" t="n">
        <x:v>1</x:v>
      </x:c>
      <x:c r="AL29" s="57" t="n">
        <x:v>5</x:v>
      </x:c>
      <x:c r="AM29" s="48" t="str">
        <x:v>มีความปลอดภัยอย่างยิ่ง</x:v>
      </x:c>
      <x:c r="AN29" s="49" t="str"/>
    </x:row>
    <x:row r="30">
      <x:c r="A30" s="54" t="str">
        <x:v>Yes</x:v>
      </x:c>
      <x:c r="B30" s="57" t="n">
        <x:v>29</x:v>
      </x:c>
      <x:c r="C30" s="60" t="n">
        <x:v>46246.38982221065</x:v>
      </x:c>
      <x:c r="D30" s="48" t="str">
        <x:v>การเงิน</x:v>
      </x:c>
      <x:c r="E30" s="48" t="str">
        <x:v>สายสนับสนุนทั่วไป</x:v>
      </x:c>
      <x:c r="F30" s="48" t="str">
        <x:v>สายสนับสนุนทั่วไป</x:v>
      </x:c>
      <x:c r="G30" s="57" t="n">
        <x:v>4</x:v>
      </x:c>
      <x:c r="H30" s="57" t="n">
        <x:v>4</x:v>
      </x:c>
      <x:c r="I30" s="57" t="n">
        <x:v>3</x:v>
      </x:c>
      <x:c r="J30" s="57" t="n">
        <x:v>4</x:v>
      </x:c>
      <x:c r="K30" s="57" t="n">
        <x:v>3</x:v>
      </x:c>
      <x:c r="L30" s="57" t="n">
        <x:v>3</x:v>
      </x:c>
      <x:c r="M30" s="57" t="n">
        <x:v>3</x:v>
      </x:c>
      <x:c r="N30" s="57" t="n">
        <x:v>4</x:v>
      </x:c>
      <x:c r="O30" s="57" t="n">
        <x:v>3</x:v>
      </x:c>
      <x:c r="P30" s="57" t="n">
        <x:v>2</x:v>
      </x:c>
      <x:c r="Q30" s="57" t="n">
        <x:v>3</x:v>
      </x:c>
      <x:c r="R30" s="57" t="n">
        <x:v>2</x:v>
      </x:c>
      <x:c r="S30" s="57" t="n">
        <x:v>3</x:v>
      </x:c>
      <x:c r="T30" s="57" t="n">
        <x:v>2</x:v>
      </x:c>
      <x:c r="U30" s="57" t="n">
        <x:v>4</x:v>
      </x:c>
      <x:c r="V30" s="57" t="n">
        <x:v>3</x:v>
      </x:c>
      <x:c r="W30" s="57" t="n">
        <x:v>4</x:v>
      </x:c>
      <x:c r="X30" s="57" t="n">
        <x:v>3</x:v>
      </x:c>
      <x:c r="Y30" s="57" t="n">
        <x:v>4</x:v>
      </x:c>
      <x:c r="Z30" s="57" t="n">
        <x:v>4</x:v>
      </x:c>
      <x:c r="AA30" s="57" t="n">
        <x:v>3</x:v>
      </x:c>
      <x:c r="AB30" s="57" t="n">
        <x:v>3</x:v>
      </x:c>
      <x:c r="AC30" s="57" t="n">
        <x:v>3</x:v>
      </x:c>
      <x:c r="AD30" s="57" t="n">
        <x:v>2</x:v>
      </x:c>
      <x:c r="AE30" s="57" t="n">
        <x:v>3</x:v>
      </x:c>
      <x:c r="AF30" s="57" t="n">
        <x:v>3</x:v>
      </x:c>
      <x:c r="AG30" s="57" t="n">
        <x:v>4</x:v>
      </x:c>
      <x:c r="AH30" s="57" t="n">
        <x:v>4</x:v>
      </x:c>
      <x:c r="AI30" s="57" t="n">
        <x:v>3</x:v>
      </x:c>
      <x:c r="AJ30" s="57" t="n">
        <x:v>2</x:v>
      </x:c>
      <x:c r="AK30" s="57" t="n">
        <x:v>2</x:v>
      </x:c>
      <x:c r="AL30" s="57" t="n">
        <x:v>4</x:v>
      </x:c>
      <x:c r="AM30" s="48" t="str">
        <x:v>_</x:v>
      </x:c>
      <x:c r="AN30" s="49" t="str"/>
    </x:row>
    <x:row r="31">
      <x:c r="A31" s="54" t="str">
        <x:v>Yes</x:v>
      </x:c>
      <x:c r="B31" s="57" t="n">
        <x:v>30</x:v>
      </x:c>
      <x:c r="C31" s="60" t="n">
        <x:v>46246.391639884256</x:v>
      </x:c>
      <x:c r="D31" s="48" t="str">
        <x:v>ICU</x:v>
      </x:c>
      <x:c r="E31" s="48" t="str">
        <x:v>สายวิชาชีพสาธารณสุข</x:v>
      </x:c>
      <x:c r="F31" s="48" t="str">
        <x:v>สายวิชาชีพสาธารณสุข</x:v>
      </x:c>
      <x:c r="G31" s="57" t="n">
        <x:v>5</x:v>
      </x:c>
      <x:c r="H31" s="57" t="n">
        <x:v>5</x:v>
      </x:c>
      <x:c r="I31" s="57" t="n">
        <x:v>1</x:v>
      </x:c>
      <x:c r="J31" s="57" t="n">
        <x:v>3</x:v>
      </x:c>
      <x:c r="K31" s="57" t="n">
        <x:v>3</x:v>
      </x:c>
      <x:c r="L31" s="57" t="n">
        <x:v>3</x:v>
      </x:c>
      <x:c r="M31" s="57" t="n">
        <x:v>1</x:v>
      </x:c>
      <x:c r="N31" s="57" t="n">
        <x:v>4</x:v>
      </x:c>
      <x:c r="O31" s="57" t="n">
        <x:v>4</x:v>
      </x:c>
      <x:c r="P31" s="57" t="n">
        <x:v>3</x:v>
      </x:c>
      <x:c r="Q31" s="57" t="n">
        <x:v>2</x:v>
      </x:c>
      <x:c r="R31" s="57" t="n">
        <x:v>1</x:v>
      </x:c>
      <x:c r="S31" s="57" t="n">
        <x:v>4</x:v>
      </x:c>
      <x:c r="T31" s="57" t="n">
        <x:v>3</x:v>
      </x:c>
      <x:c r="U31" s="57" t="n">
        <x:v>3</x:v>
      </x:c>
      <x:c r="V31" s="57" t="n">
        <x:v>3</x:v>
      </x:c>
      <x:c r="W31" s="57" t="n">
        <x:v>3</x:v>
      </x:c>
      <x:c r="X31" s="57" t="n">
        <x:v>3</x:v>
      </x:c>
      <x:c r="Y31" s="57" t="n">
        <x:v>4</x:v>
      </x:c>
      <x:c r="Z31" s="57" t="n">
        <x:v>3</x:v>
      </x:c>
      <x:c r="AA31" s="57" t="n">
        <x:v>2</x:v>
      </x:c>
      <x:c r="AB31" s="57" t="n">
        <x:v>3</x:v>
      </x:c>
      <x:c r="AC31" s="57" t="n">
        <x:v>3</x:v>
      </x:c>
      <x:c r="AD31" s="57" t="n">
        <x:v>2</x:v>
      </x:c>
      <x:c r="AE31" s="57" t="n">
        <x:v>4</x:v>
      </x:c>
      <x:c r="AF31" s="57" t="n">
        <x:v>4</x:v>
      </x:c>
      <x:c r="AG31" s="57" t="n">
        <x:v>4</x:v>
      </x:c>
      <x:c r="AH31" s="57" t="n">
        <x:v>4</x:v>
      </x:c>
      <x:c r="AI31" s="57" t="n">
        <x:v>4</x:v>
      </x:c>
      <x:c r="AJ31" s="57" t="n">
        <x:v>2</x:v>
      </x:c>
      <x:c r="AK31" s="57" t="n">
        <x:v>1</x:v>
      </x:c>
      <x:c r="AL31" s="57" t="n">
        <x:v>3</x:v>
      </x:c>
      <x:c r="AM31" s="48" t="str">
        <x:v>เราต้องสร้างมาตรการที่จะจัดการกับความเสี่ยงที่อาจจะเกิดขึ้นก่อนที่จะเกิดความเสี่ยงนั้นๆเน้นแก้ระบบมากกว่าตัวบุคคลๆ</x:v>
      </x:c>
      <x:c r="AN31" s="49" t="str"/>
    </x:row>
    <x:row r="32">
      <x:c r="A32" s="54" t="str">
        <x:v>Yes</x:v>
      </x:c>
      <x:c r="B32" s="57" t="n">
        <x:v>31</x:v>
      </x:c>
      <x:c r="C32" s="60" t="n">
        <x:v>46246.58512116898</x:v>
      </x:c>
      <x:c r="D32" s="48" t="str">
        <x:v>ICU</x:v>
      </x:c>
      <x:c r="E32" s="48" t="str">
        <x:v>สายวิชาชีพสาธารณสุข</x:v>
      </x:c>
      <x:c r="F32" s="48" t="str">
        <x:v>สายวิชาชีพสาธารณสุข</x:v>
      </x:c>
      <x:c r="G32" s="57" t="n">
        <x:v>5</x:v>
      </x:c>
      <x:c r="H32" s="57" t="n">
        <x:v>4</x:v>
      </x:c>
      <x:c r="I32" s="57" t="n">
        <x:v>1</x:v>
      </x:c>
      <x:c r="J32" s="57" t="n">
        <x:v>3</x:v>
      </x:c>
      <x:c r="K32" s="57" t="n">
        <x:v>3</x:v>
      </x:c>
      <x:c r="L32" s="57" t="n">
        <x:v>3</x:v>
      </x:c>
      <x:c r="M32" s="57" t="n">
        <x:v>2</x:v>
      </x:c>
      <x:c r="N32" s="57" t="n">
        <x:v>4</x:v>
      </x:c>
      <x:c r="O32" s="57" t="n">
        <x:v>3</x:v>
      </x:c>
      <x:c r="P32" s="57" t="n">
        <x:v>2</x:v>
      </x:c>
      <x:c r="Q32" s="57" t="n">
        <x:v>2</x:v>
      </x:c>
      <x:c r="R32" s="57" t="n">
        <x:v>1</x:v>
      </x:c>
      <x:c r="S32" s="57" t="n">
        <x:v>3</x:v>
      </x:c>
      <x:c r="T32" s="57" t="n">
        <x:v>2</x:v>
      </x:c>
      <x:c r="U32" s="57" t="n">
        <x:v>4</x:v>
      </x:c>
      <x:c r="V32" s="57" t="n">
        <x:v>3</x:v>
      </x:c>
      <x:c r="W32" s="57" t="n">
        <x:v>5</x:v>
      </x:c>
      <x:c r="X32" s="57" t="n">
        <x:v>3</x:v>
      </x:c>
      <x:c r="Y32" s="57" t="n">
        <x:v>4</x:v>
      </x:c>
      <x:c r="Z32" s="57" t="n">
        <x:v>4</x:v>
      </x:c>
      <x:c r="AA32" s="57" t="n">
        <x:v>4</x:v>
      </x:c>
      <x:c r="AB32" s="57" t="n">
        <x:v>4</x:v>
      </x:c>
      <x:c r="AC32" s="57" t="n">
        <x:v>4</x:v>
      </x:c>
      <x:c r="AD32" s="57" t="n">
        <x:v>4</x:v>
      </x:c>
      <x:c r="AE32" s="57" t="n">
        <x:v>4</x:v>
      </x:c>
      <x:c r="AF32" s="57" t="n">
        <x:v>3</x:v>
      </x:c>
      <x:c r="AG32" s="57" t="n">
        <x:v>4</x:v>
      </x:c>
      <x:c r="AH32" s="57" t="n">
        <x:v>4</x:v>
      </x:c>
      <x:c r="AI32" s="57" t="n">
        <x:v>1</x:v>
      </x:c>
      <x:c r="AJ32" s="57" t="n">
        <x:v>1</x:v>
      </x:c>
      <x:c r="AK32" s="57" t="n">
        <x:v>1</x:v>
      </x:c>
      <x:c r="AL32" s="57" t="n">
        <x:v>4</x:v>
      </x:c>
      <x:c r="AM32" s="48" t="str">
        <x:v>-</x:v>
      </x:c>
      <x:c r="AN32" s="49" t="str"/>
    </x:row>
    <x:row r="33">
      <x:c r="A33" s="54" t="str">
        <x:v>Yes</x:v>
      </x:c>
      <x:c r="B33" s="57" t="n">
        <x:v>32</x:v>
      </x:c>
      <x:c r="C33" s="60" t="n">
        <x:v>46246.58996974537</x:v>
      </x:c>
      <x:c r="D33" s="48" t="str">
        <x:v>ห้องยา</x:v>
      </x:c>
      <x:c r="E33" s="48" t="str">
        <x:v>สายสนับสนุนทางการแพทย์</x:v>
      </x:c>
      <x:c r="F33" s="48" t="str">
        <x:v>สายสนับสนุนทางการแพทย์</x:v>
      </x:c>
      <x:c r="G33" s="57" t="n">
        <x:v>5</x:v>
      </x:c>
      <x:c r="H33" s="57" t="n">
        <x:v>5</x:v>
      </x:c>
      <x:c r="I33" s="57" t="n">
        <x:v>4</x:v>
      </x:c>
      <x:c r="J33" s="57" t="n">
        <x:v>3</x:v>
      </x:c>
      <x:c r="K33" s="57" t="n">
        <x:v>3</x:v>
      </x:c>
      <x:c r="L33" s="57" t="n">
        <x:v>4</x:v>
      </x:c>
      <x:c r="M33" s="57" t="n">
        <x:v>3</x:v>
      </x:c>
      <x:c r="N33" s="57" t="n">
        <x:v>4</x:v>
      </x:c>
      <x:c r="O33" s="57" t="n">
        <x:v>3</x:v>
      </x:c>
      <x:c r="P33" s="57" t="n">
        <x:v>4</x:v>
      </x:c>
      <x:c r="Q33" s="57" t="n">
        <x:v>4</x:v>
      </x:c>
      <x:c r="R33" s="57" t="n">
        <x:v>3</x:v>
      </x:c>
      <x:c r="S33" s="57" t="n">
        <x:v>3</x:v>
      </x:c>
      <x:c r="T33" s="57" t="n">
        <x:v>4</x:v>
      </x:c>
      <x:c r="U33" s="57" t="n">
        <x:v>4</x:v>
      </x:c>
      <x:c r="V33" s="57" t="n">
        <x:v>4</x:v>
      </x:c>
      <x:c r="W33" s="57" t="n">
        <x:v>4</x:v>
      </x:c>
      <x:c r="X33" s="57" t="n">
        <x:v>3</x:v>
      </x:c>
      <x:c r="Y33" s="57" t="n">
        <x:v>5</x:v>
      </x:c>
      <x:c r="Z33" s="57" t="n">
        <x:v>4</x:v>
      </x:c>
      <x:c r="AA33" s="57" t="n">
        <x:v>5</x:v>
      </x:c>
      <x:c r="AB33" s="57" t="n">
        <x:v>5</x:v>
      </x:c>
      <x:c r="AC33" s="57" t="n">
        <x:v>5</x:v>
      </x:c>
      <x:c r="AD33" s="57" t="n">
        <x:v>4</x:v>
      </x:c>
      <x:c r="AE33" s="57" t="n">
        <x:v>5</x:v>
      </x:c>
      <x:c r="AF33" s="57" t="n">
        <x:v>5</x:v>
      </x:c>
      <x:c r="AG33" s="57" t="n">
        <x:v>5</x:v>
      </x:c>
      <x:c r="AH33" s="57" t="n">
        <x:v>5</x:v>
      </x:c>
      <x:c r="AI33" s="57" t="n">
        <x:v>5</x:v>
      </x:c>
      <x:c r="AJ33" s="57" t="n">
        <x:v>2</x:v>
      </x:c>
      <x:c r="AK33" s="57" t="n">
        <x:v>2</x:v>
      </x:c>
      <x:c r="AL33" s="57" t="n">
        <x:v>2</x:v>
      </x:c>
      <x:c r="AM33" s="48" t="str">
        <x:v>-</x:v>
      </x:c>
      <x:c r="AN33" s="49" t="str"/>
    </x:row>
    <x:row r="34">
      <x:c r="A34" s="54" t="str">
        <x:v>Yes</x:v>
      </x:c>
      <x:c r="B34" s="57" t="n">
        <x:v>33</x:v>
      </x:c>
      <x:c r="C34" s="60" t="n">
        <x:v>46246.59077851852</x:v>
      </x:c>
      <x:c r="D34" s="48" t="str">
        <x:v>ห้องยา</x:v>
      </x:c>
      <x:c r="E34" s="48" t="str">
        <x:v>สายสนับสนุนทางการแพทย์</x:v>
      </x:c>
      <x:c r="F34" s="48" t="str">
        <x:v>สายสนับสนุนทางการแพทย์</x:v>
      </x:c>
      <x:c r="G34" s="57" t="n">
        <x:v>4</x:v>
      </x:c>
      <x:c r="H34" s="57" t="n">
        <x:v>5</x:v>
      </x:c>
      <x:c r="I34" s="57" t="n">
        <x:v>4</x:v>
      </x:c>
      <x:c r="J34" s="57" t="n">
        <x:v>5</x:v>
      </x:c>
      <x:c r="K34" s="57" t="n">
        <x:v>4</x:v>
      </x:c>
      <x:c r="L34" s="57" t="n">
        <x:v>2</x:v>
      </x:c>
      <x:c r="M34" s="57" t="n">
        <x:v>2</x:v>
      </x:c>
      <x:c r="N34" s="57" t="n">
        <x:v>5</x:v>
      </x:c>
      <x:c r="O34" s="57" t="n">
        <x:v>5</x:v>
      </x:c>
      <x:c r="P34" s="57" t="n">
        <x:v>1</x:v>
      </x:c>
      <x:c r="Q34" s="57" t="n">
        <x:v>3</x:v>
      </x:c>
      <x:c r="R34" s="57" t="n">
        <x:v>2</x:v>
      </x:c>
      <x:c r="S34" s="57" t="n">
        <x:v>5</x:v>
      </x:c>
      <x:c r="T34" s="57" t="n">
        <x:v>1</x:v>
      </x:c>
      <x:c r="U34" s="57" t="n">
        <x:v>5</x:v>
      </x:c>
      <x:c r="V34" s="57" t="n">
        <x:v>1</x:v>
      </x:c>
      <x:c r="W34" s="57" t="n">
        <x:v>5</x:v>
      </x:c>
      <x:c r="X34" s="57" t="n">
        <x:v>5</x:v>
      </x:c>
      <x:c r="Y34" s="57" t="n">
        <x:v>5</x:v>
      </x:c>
      <x:c r="Z34" s="57" t="n">
        <x:v>5</x:v>
      </x:c>
      <x:c r="AA34" s="57" t="n">
        <x:v>5</x:v>
      </x:c>
      <x:c r="AB34" s="57" t="n">
        <x:v>5</x:v>
      </x:c>
      <x:c r="AC34" s="57" t="n">
        <x:v>5</x:v>
      </x:c>
      <x:c r="AD34" s="57" t="n">
        <x:v>1</x:v>
      </x:c>
      <x:c r="AE34" s="57" t="n">
        <x:v>5</x:v>
      </x:c>
      <x:c r="AF34" s="57" t="n">
        <x:v>2</x:v>
      </x:c>
      <x:c r="AG34" s="57" t="n">
        <x:v>4</x:v>
      </x:c>
      <x:c r="AH34" s="57" t="n">
        <x:v>4</x:v>
      </x:c>
      <x:c r="AI34" s="57" t="n">
        <x:v>3</x:v>
      </x:c>
      <x:c r="AJ34" s="57" t="n">
        <x:v>3</x:v>
      </x:c>
      <x:c r="AK34" s="57" t="n">
        <x:v>2</x:v>
      </x:c>
      <x:c r="AL34" s="57" t="n">
        <x:v>4</x:v>
      </x:c>
      <x:c r="AM34" s="48" t="str">
        <x:v>อยากให้มีการรายงานในส่วน pre admin มากขึ้น เพื่อจะได้นำข้อมูลไปใช้ในการหาวิธีป้องกันการเกิดเหตุซ้ำต่อไป</x:v>
      </x:c>
      <x:c r="AN34" s="49" t="str"/>
    </x:row>
    <x:row r="35">
      <x:c r="A35" s="54" t="str">
        <x:v>Yes</x:v>
      </x:c>
      <x:c r="B35" s="57" t="n">
        <x:v>34</x:v>
      </x:c>
      <x:c r="C35" s="60" t="n">
        <x:v>46246.59632344908</x:v>
      </x:c>
      <x:c r="D35" s="48" t="str">
        <x:v>ห้องยา</x:v>
      </x:c>
      <x:c r="E35" s="48" t="str">
        <x:v>สายสนับสนุนทางการแพทย์</x:v>
      </x:c>
      <x:c r="F35" s="48" t="str">
        <x:v>สายสนับสนุนทางการแพทย์</x:v>
      </x:c>
      <x:c r="G35" s="57" t="n">
        <x:v>5</x:v>
      </x:c>
      <x:c r="H35" s="57" t="n">
        <x:v>5</x:v>
      </x:c>
      <x:c r="I35" s="57" t="n">
        <x:v>2</x:v>
      </x:c>
      <x:c r="J35" s="57" t="n">
        <x:v>4</x:v>
      </x:c>
      <x:c r="K35" s="57" t="n">
        <x:v>3</x:v>
      </x:c>
      <x:c r="L35" s="57" t="n">
        <x:v>3</x:v>
      </x:c>
      <x:c r="M35" s="57" t="n">
        <x:v>3</x:v>
      </x:c>
      <x:c r="N35" s="57" t="n">
        <x:v>5</x:v>
      </x:c>
      <x:c r="O35" s="57" t="n">
        <x:v>4</x:v>
      </x:c>
      <x:c r="P35" s="57" t="n">
        <x:v>3</x:v>
      </x:c>
      <x:c r="Q35" s="57" t="n">
        <x:v>3</x:v>
      </x:c>
      <x:c r="R35" s="57" t="n">
        <x:v>3</x:v>
      </x:c>
      <x:c r="S35" s="57" t="n">
        <x:v>3</x:v>
      </x:c>
      <x:c r="T35" s="57" t="n">
        <x:v>1</x:v>
      </x:c>
      <x:c r="U35" s="57" t="n">
        <x:v>4</x:v>
      </x:c>
      <x:c r="V35" s="57" t="n">
        <x:v>4</x:v>
      </x:c>
      <x:c r="W35" s="57" t="n">
        <x:v>4</x:v>
      </x:c>
      <x:c r="X35" s="57" t="n">
        <x:v>3</x:v>
      </x:c>
      <x:c r="Y35" s="57" t="n">
        <x:v>5</x:v>
      </x:c>
      <x:c r="Z35" s="57" t="n">
        <x:v>4</x:v>
      </x:c>
      <x:c r="AA35" s="57" t="n">
        <x:v>5</x:v>
      </x:c>
      <x:c r="AB35" s="57" t="n">
        <x:v>5</x:v>
      </x:c>
      <x:c r="AC35" s="57" t="n">
        <x:v>5</x:v>
      </x:c>
      <x:c r="AD35" s="57" t="n">
        <x:v>1</x:v>
      </x:c>
      <x:c r="AE35" s="57" t="n">
        <x:v>5</x:v>
      </x:c>
      <x:c r="AF35" s="57" t="n">
        <x:v>5</x:v>
      </x:c>
      <x:c r="AG35" s="57" t="n">
        <x:v>5</x:v>
      </x:c>
      <x:c r="AH35" s="57" t="n">
        <x:v>5</x:v>
      </x:c>
      <x:c r="AI35" s="57" t="n">
        <x:v>5</x:v>
      </x:c>
      <x:c r="AJ35" s="57" t="n">
        <x:v>1</x:v>
      </x:c>
      <x:c r="AK35" s="57" t="n">
        <x:v>1</x:v>
      </x:c>
      <x:c r="AL35" s="57" t="n">
        <x:v>5</x:v>
      </x:c>
      <x:c r="AM35" s="48" t="str">
        <x:v>-</x:v>
      </x:c>
      <x:c r="AN35" s="49" t="str"/>
    </x:row>
    <x:row r="36">
      <x:c r="A36" s="54" t="str">
        <x:v>Yes</x:v>
      </x:c>
      <x:c r="B36" s="57" t="n">
        <x:v>35</x:v>
      </x:c>
      <x:c r="C36" s="60" t="n">
        <x:v>46246.600970300926</x:v>
      </x:c>
      <x:c r="D36" s="48" t="str">
        <x:v>IPD</x:v>
      </x:c>
      <x:c r="E36" s="48" t="str">
        <x:v>สายสนับสนุนทางการแพทย์</x:v>
      </x:c>
      <x:c r="F36" s="48" t="str">
        <x:v>สายสนับสนุนทางการแพทย์</x:v>
      </x:c>
      <x:c r="G36" s="57" t="n">
        <x:v>5</x:v>
      </x:c>
      <x:c r="H36" s="57" t="n">
        <x:v>4</x:v>
      </x:c>
      <x:c r="I36" s="57" t="n">
        <x:v>3</x:v>
      </x:c>
      <x:c r="J36" s="57" t="n">
        <x:v>4</x:v>
      </x:c>
      <x:c r="K36" s="57" t="n">
        <x:v>2</x:v>
      </x:c>
      <x:c r="L36" s="57" t="n">
        <x:v>4</x:v>
      </x:c>
      <x:c r="M36" s="57" t="n">
        <x:v>3</x:v>
      </x:c>
      <x:c r="N36" s="57" t="n">
        <x:v>4</x:v>
      </x:c>
      <x:c r="O36" s="57" t="n">
        <x:v>4</x:v>
      </x:c>
      <x:c r="P36" s="57" t="n">
        <x:v>3</x:v>
      </x:c>
      <x:c r="Q36" s="57" t="n">
        <x:v>4</x:v>
      </x:c>
      <x:c r="R36" s="57" t="n">
        <x:v>3</x:v>
      </x:c>
      <x:c r="S36" s="57" t="n">
        <x:v>3</x:v>
      </x:c>
      <x:c r="T36" s="57" t="n">
        <x:v>3</x:v>
      </x:c>
      <x:c r="U36" s="57" t="n">
        <x:v>3</x:v>
      </x:c>
      <x:c r="V36" s="57" t="n">
        <x:v>3</x:v>
      </x:c>
      <x:c r="W36" s="57" t="n">
        <x:v>4</x:v>
      </x:c>
      <x:c r="X36" s="57" t="n">
        <x:v>4</x:v>
      </x:c>
      <x:c r="Y36" s="57" t="n">
        <x:v>4</x:v>
      </x:c>
      <x:c r="Z36" s="57" t="n">
        <x:v>4</x:v>
      </x:c>
      <x:c r="AA36" s="57" t="n">
        <x:v>3</x:v>
      </x:c>
      <x:c r="AB36" s="57" t="n">
        <x:v>3</x:v>
      </x:c>
      <x:c r="AC36" s="57" t="n">
        <x:v>3</x:v>
      </x:c>
      <x:c r="AD36" s="57" t="n">
        <x:v>4</x:v>
      </x:c>
      <x:c r="AE36" s="57" t="n">
        <x:v>3</x:v>
      </x:c>
      <x:c r="AF36" s="57" t="n">
        <x:v>3</x:v>
      </x:c>
      <x:c r="AG36" s="57" t="n">
        <x:v>4</x:v>
      </x:c>
      <x:c r="AH36" s="57" t="n">
        <x:v>4</x:v>
      </x:c>
      <x:c r="AI36" s="57" t="n">
        <x:v>4</x:v>
      </x:c>
      <x:c r="AJ36" s="57" t="n">
        <x:v>3</x:v>
      </x:c>
      <x:c r="AK36" s="57" t="n">
        <x:v>3</x:v>
      </x:c>
      <x:c r="AL36" s="57" t="n">
        <x:v>4</x:v>
      </x:c>
      <x:c r="AM36" s="48" t="str">
        <x:v>ไม่มี</x:v>
      </x:c>
      <x:c r="AN36" s="49" t="str"/>
    </x:row>
    <x:row r="37">
      <x:c r="A37" s="54" t="str">
        <x:v>Yes</x:v>
      </x:c>
      <x:c r="B37" s="57" t="n">
        <x:v>36</x:v>
      </x:c>
      <x:c r="C37" s="60" t="n">
        <x:v>46246.663210150466</x:v>
      </x:c>
      <x:c r="D37" s="48" t="str">
        <x:v>ICU</x:v>
      </x:c>
      <x:c r="E37" s="48" t="str">
        <x:v>สายสนับสนุนทั่วไป</x:v>
      </x:c>
      <x:c r="F37" s="48" t="str">
        <x:v>สายสนับสนุนทั่วไป</x:v>
      </x:c>
      <x:c r="G37" s="57" t="n">
        <x:v>5</x:v>
      </x:c>
      <x:c r="H37" s="57" t="n">
        <x:v>4</x:v>
      </x:c>
      <x:c r="I37" s="57" t="n">
        <x:v>3</x:v>
      </x:c>
      <x:c r="J37" s="57" t="n">
        <x:v>1</x:v>
      </x:c>
      <x:c r="K37" s="57" t="n">
        <x:v>2</x:v>
      </x:c>
      <x:c r="L37" s="57" t="n">
        <x:v>3</x:v>
      </x:c>
      <x:c r="M37" s="57" t="n">
        <x:v>2</x:v>
      </x:c>
      <x:c r="N37" s="57" t="n">
        <x:v>5</x:v>
      </x:c>
      <x:c r="O37" s="57" t="n">
        <x:v>3</x:v>
      </x:c>
      <x:c r="P37" s="57" t="n">
        <x:v>3</x:v>
      </x:c>
      <x:c r="Q37" s="57" t="n">
        <x:v>3</x:v>
      </x:c>
      <x:c r="R37" s="57" t="n">
        <x:v>3</x:v>
      </x:c>
      <x:c r="S37" s="57" t="n">
        <x:v>1</x:v>
      </x:c>
      <x:c r="T37" s="57" t="n">
        <x:v>4</x:v>
      </x:c>
      <x:c r="U37" s="57" t="n">
        <x:v>3</x:v>
      </x:c>
      <x:c r="V37" s="57" t="n">
        <x:v>3</x:v>
      </x:c>
      <x:c r="W37" s="57" t="n">
        <x:v>3</x:v>
      </x:c>
      <x:c r="X37" s="57" t="n">
        <x:v>3</x:v>
      </x:c>
      <x:c r="Y37" s="57" t="n">
        <x:v>3</x:v>
      </x:c>
      <x:c r="Z37" s="57" t="n">
        <x:v>3</x:v>
      </x:c>
      <x:c r="AA37" s="57" t="n">
        <x:v>3</x:v>
      </x:c>
      <x:c r="AB37" s="57" t="n">
        <x:v>3</x:v>
      </x:c>
      <x:c r="AC37" s="57" t="n">
        <x:v>3</x:v>
      </x:c>
      <x:c r="AD37" s="57" t="n">
        <x:v>3</x:v>
      </x:c>
      <x:c r="AE37" s="57" t="n">
        <x:v>3</x:v>
      </x:c>
      <x:c r="AF37" s="57" t="n">
        <x:v>3</x:v>
      </x:c>
      <x:c r="AG37" s="57" t="n">
        <x:v>2</x:v>
      </x:c>
      <x:c r="AH37" s="57" t="n">
        <x:v>2</x:v>
      </x:c>
      <x:c r="AI37" s="57" t="n">
        <x:v>3</x:v>
      </x:c>
      <x:c r="AJ37" s="57" t="n">
        <x:v>3</x:v>
      </x:c>
      <x:c r="AK37" s="57" t="n">
        <x:v>3</x:v>
      </x:c>
      <x:c r="AL37" s="57" t="n">
        <x:v>3</x:v>
      </x:c>
      <x:c r="AM37" s="48" t="str">
        <x:v>อยากให้ส่งเสริมและทักษะความรู้ด้านต่างๆให้บุคลากรมากกว่านี้</x:v>
      </x:c>
      <x:c r="AN37" s="49" t="str"/>
    </x:row>
    <x:row r="38">
      <x:c r="A38" s="54" t="str">
        <x:v>Yes</x:v>
      </x:c>
      <x:c r="B38" s="57" t="n">
        <x:v>37</x:v>
      </x:c>
      <x:c r="C38" s="60" t="n">
        <x:v>46246.73866271991</x:v>
      </x:c>
      <x:c r="D38" s="48" t="str">
        <x:v>ผู้ป่วยสัมพันธ์</x:v>
      </x:c>
      <x:c r="E38" s="48" t="str">
        <x:v>สายสนับสนุนทางการแพทย์</x:v>
      </x:c>
      <x:c r="F38" s="48" t="str">
        <x:v>สายสนับสนุนทางการแพทย์</x:v>
      </x:c>
      <x:c r="G38" s="57" t="n">
        <x:v>4</x:v>
      </x:c>
      <x:c r="H38" s="57" t="n">
        <x:v>5</x:v>
      </x:c>
      <x:c r="I38" s="57" t="n">
        <x:v>1</x:v>
      </x:c>
      <x:c r="J38" s="57" t="n">
        <x:v>2</x:v>
      </x:c>
      <x:c r="K38" s="57" t="n">
        <x:v>3</x:v>
      </x:c>
      <x:c r="L38" s="57" t="n">
        <x:v>3</x:v>
      </x:c>
      <x:c r="M38" s="57" t="n">
        <x:v>2</x:v>
      </x:c>
      <x:c r="N38" s="57" t="n">
        <x:v>4</x:v>
      </x:c>
      <x:c r="O38" s="57" t="n">
        <x:v>3</x:v>
      </x:c>
      <x:c r="P38" s="57" t="n">
        <x:v>2</x:v>
      </x:c>
      <x:c r="Q38" s="57" t="n">
        <x:v>1</x:v>
      </x:c>
      <x:c r="R38" s="57" t="n">
        <x:v>1</x:v>
      </x:c>
      <x:c r="S38" s="57" t="n">
        <x:v>4</x:v>
      </x:c>
      <x:c r="T38" s="57" t="n">
        <x:v>2</x:v>
      </x:c>
      <x:c r="U38" s="57" t="n">
        <x:v>3</x:v>
      </x:c>
      <x:c r="V38" s="57" t="n">
        <x:v>2</x:v>
      </x:c>
      <x:c r="W38" s="57" t="n">
        <x:v>3</x:v>
      </x:c>
      <x:c r="X38" s="57" t="n">
        <x:v>4</x:v>
      </x:c>
      <x:c r="Y38" s="57" t="n">
        <x:v>4</x:v>
      </x:c>
      <x:c r="Z38" s="57" t="n">
        <x:v>3</x:v>
      </x:c>
      <x:c r="AA38" s="57" t="n">
        <x:v>4</x:v>
      </x:c>
      <x:c r="AB38" s="57" t="n">
        <x:v>4</x:v>
      </x:c>
      <x:c r="AC38" s="57" t="n">
        <x:v>4</x:v>
      </x:c>
      <x:c r="AD38" s="57" t="n">
        <x:v>1</x:v>
      </x:c>
      <x:c r="AE38" s="57" t="n">
        <x:v>3</x:v>
      </x:c>
      <x:c r="AF38" s="57" t="n">
        <x:v>3</x:v>
      </x:c>
      <x:c r="AG38" s="57" t="n">
        <x:v>5</x:v>
      </x:c>
      <x:c r="AH38" s="57" t="n">
        <x:v>5</x:v>
      </x:c>
      <x:c r="AI38" s="57" t="n">
        <x:v>2</x:v>
      </x:c>
      <x:c r="AJ38" s="57" t="n">
        <x:v>1</x:v>
      </x:c>
      <x:c r="AK38" s="57" t="n">
        <x:v>1</x:v>
      </x:c>
      <x:c r="AL38" s="57" t="n">
        <x:v>5</x:v>
      </x:c>
      <x:c r="AM38" s="48" t="str">
        <x:v>เจ้าหน้าที่ทุกคนให้ความสำคัญและความปลอดภัยแก่ผู้ป่วยและผู้รับบริการเป็นอันดับแรกเสมอ</x:v>
      </x:c>
      <x:c r="AN38" s="49" t="str"/>
    </x:row>
    <x:row r="39">
      <x:c r="A39" s="54" t="str">
        <x:v>Yes</x:v>
      </x:c>
      <x:c r="B39" s="57" t="n">
        <x:v>38</x:v>
      </x:c>
      <x:c r="C39" s="60" t="n">
        <x:v>46246.74071225694</x:v>
      </x:c>
      <x:c r="D39" s="48" t="str">
        <x:v>ERและเปล</x:v>
      </x:c>
      <x:c r="E39" s="48" t="str">
        <x:v>สายวิชาชีพสาธารณสุข</x:v>
      </x:c>
      <x:c r="F39" s="48" t="str">
        <x:v>สายวิชาชีพสาธารณสุข</x:v>
      </x:c>
      <x:c r="G39" s="57" t="n">
        <x:v>1</x:v>
      </x:c>
      <x:c r="H39" s="57" t="n">
        <x:v>3</x:v>
      </x:c>
      <x:c r="I39" s="57" t="n">
        <x:v>3</x:v>
      </x:c>
      <x:c r="J39" s="57" t="n">
        <x:v>2</x:v>
      </x:c>
      <x:c r="K39" s="57" t="n">
        <x:v>3</x:v>
      </x:c>
      <x:c r="L39" s="57" t="n">
        <x:v>3</x:v>
      </x:c>
      <x:c r="M39" s="57" t="n">
        <x:v>3</x:v>
      </x:c>
      <x:c r="N39" s="57" t="n">
        <x:v>3</x:v>
      </x:c>
      <x:c r="O39" s="57" t="n">
        <x:v>3</x:v>
      </x:c>
      <x:c r="P39" s="57" t="n">
        <x:v>3</x:v>
      </x:c>
      <x:c r="Q39" s="57" t="n">
        <x:v>3</x:v>
      </x:c>
      <x:c r="R39" s="57" t="n">
        <x:v>4</x:v>
      </x:c>
      <x:c r="S39" s="57" t="n">
        <x:v>3</x:v>
      </x:c>
      <x:c r="T39" s="57" t="n">
        <x:v>2</x:v>
      </x:c>
      <x:c r="U39" s="57" t="n">
        <x:v>3</x:v>
      </x:c>
      <x:c r="V39" s="57" t="n">
        <x:v>3</x:v>
      </x:c>
      <x:c r="W39" s="57" t="n">
        <x:v>3</x:v>
      </x:c>
      <x:c r="X39" s="57" t="n">
        <x:v>2</x:v>
      </x:c>
      <x:c r="Y39" s="57" t="n">
        <x:v>3</x:v>
      </x:c>
      <x:c r="Z39" s="57" t="n">
        <x:v>3</x:v>
      </x:c>
      <x:c r="AA39" s="57" t="n">
        <x:v>2</x:v>
      </x:c>
      <x:c r="AB39" s="57" t="n">
        <x:v>2</x:v>
      </x:c>
      <x:c r="AC39" s="57" t="n">
        <x:v>3</x:v>
      </x:c>
      <x:c r="AD39" s="57" t="n">
        <x:v>3</x:v>
      </x:c>
      <x:c r="AE39" s="57" t="n">
        <x:v>4</x:v>
      </x:c>
      <x:c r="AF39" s="57" t="n">
        <x:v>4</x:v>
      </x:c>
      <x:c r="AG39" s="57" t="n">
        <x:v>4</x:v>
      </x:c>
      <x:c r="AH39" s="57" t="n">
        <x:v>3</x:v>
      </x:c>
      <x:c r="AI39" s="57" t="n">
        <x:v>4</x:v>
      </x:c>
      <x:c r="AJ39" s="57" t="n">
        <x:v>2</x:v>
      </x:c>
      <x:c r="AK39" s="57" t="n">
        <x:v>2</x:v>
      </x:c>
      <x:c r="AL39" s="57" t="n">
        <x:v>4</x:v>
      </x:c>
      <x:c r="AM39" s="48" t="str">
        <x:v>ควรจัดสรรทรัพยากรบุคคลให้เพียงพอเพื่อแบ่งหน้าที่ของแต่ละคนชัดเจนยิ่งขึ้น เช่น เเบ่งงาน OPD และ ER ให้ชัดเจน เพื่อการทำงานเป็นไปด้วยความเรียบร้อย</x:v>
      </x:c>
      <x:c r="AN39" s="49" t="str"/>
    </x:row>
    <x:row r="40">
      <x:c r="A40" s="54" t="str">
        <x:v>Yes</x:v>
      </x:c>
      <x:c r="B40" s="57" t="n">
        <x:v>39</x:v>
      </x:c>
      <x:c r="C40" s="60" t="n">
        <x:v>46246.75448096065</x:v>
      </x:c>
      <x:c r="D40" s="48" t="str">
        <x:v>จ่ายกลาง</x:v>
      </x:c>
      <x:c r="E40" s="48" t="str">
        <x:v>สายสนับสนุนทั่วไป</x:v>
      </x:c>
      <x:c r="F40" s="48" t="str">
        <x:v>สายสนับสนุนทั่วไป</x:v>
      </x:c>
      <x:c r="G40" s="57" t="n">
        <x:v>5</x:v>
      </x:c>
      <x:c r="H40" s="57" t="n">
        <x:v>5</x:v>
      </x:c>
      <x:c r="I40" s="57" t="n">
        <x:v>1</x:v>
      </x:c>
      <x:c r="J40" s="57" t="n">
        <x:v>4</x:v>
      </x:c>
      <x:c r="K40" s="57" t="n">
        <x:v>5</x:v>
      </x:c>
      <x:c r="L40" s="57" t="n">
        <x:v>4</x:v>
      </x:c>
      <x:c r="M40" s="57" t="n">
        <x:v>3</x:v>
      </x:c>
      <x:c r="N40" s="57" t="n">
        <x:v>5</x:v>
      </x:c>
      <x:c r="O40" s="57" t="n">
        <x:v>5</x:v>
      </x:c>
      <x:c r="P40" s="57" t="n">
        <x:v>3</x:v>
      </x:c>
      <x:c r="Q40" s="57" t="n">
        <x:v>3</x:v>
      </x:c>
      <x:c r="R40" s="57" t="n">
        <x:v>4</x:v>
      </x:c>
      <x:c r="S40" s="57" t="n">
        <x:v>3</x:v>
      </x:c>
      <x:c r="T40" s="57" t="n">
        <x:v>4</x:v>
      </x:c>
      <x:c r="U40" s="57" t="n">
        <x:v>5</x:v>
      </x:c>
      <x:c r="V40" s="57" t="n">
        <x:v>5</x:v>
      </x:c>
      <x:c r="W40" s="57" t="n">
        <x:v>5</x:v>
      </x:c>
      <x:c r="X40" s="57" t="n">
        <x:v>5</x:v>
      </x:c>
      <x:c r="Y40" s="57" t="n">
        <x:v>5</x:v>
      </x:c>
      <x:c r="Z40" s="57" t="n">
        <x:v>5</x:v>
      </x:c>
      <x:c r="AA40" s="57" t="n">
        <x:v>5</x:v>
      </x:c>
      <x:c r="AB40" s="57" t="n">
        <x:v>4</x:v>
      </x:c>
      <x:c r="AC40" s="57" t="n">
        <x:v>4</x:v>
      </x:c>
      <x:c r="AD40" s="57" t="n">
        <x:v>4</x:v>
      </x:c>
      <x:c r="AE40" s="57" t="n">
        <x:v>3</x:v>
      </x:c>
      <x:c r="AF40" s="57" t="n">
        <x:v>3</x:v>
      </x:c>
      <x:c r="AG40" s="57" t="n">
        <x:v>5</x:v>
      </x:c>
      <x:c r="AH40" s="57" t="n">
        <x:v>5</x:v>
      </x:c>
      <x:c r="AI40" s="57" t="n">
        <x:v>1</x:v>
      </x:c>
      <x:c r="AJ40" s="57" t="n">
        <x:v>1</x:v>
      </x:c>
      <x:c r="AK40" s="57" t="n">
        <x:v>1</x:v>
      </x:c>
      <x:c r="AL40" s="57" t="n">
        <x:v>5</x:v>
      </x:c>
      <x:c r="AM40" s="48" t="str">
        <x:v>ควรทำงานร่วมกันอย่างมีประสิทธิภาพ</x:v>
      </x:c>
      <x:c r="AN40" s="49" t="str"/>
    </x:row>
    <x:row r="41">
      <x:c r="A41" s="54" t="str">
        <x:v>Yes</x:v>
      </x:c>
      <x:c r="B41" s="57" t="n">
        <x:v>40</x:v>
      </x:c>
      <x:c r="C41" s="60" t="n">
        <x:v>46246.75751149305</x:v>
      </x:c>
      <x:c r="D41" s="48" t="str">
        <x:v>ERและเปล</x:v>
      </x:c>
      <x:c r="E41" s="48" t="str">
        <x:v>สายวิชาชีพสาธารณสุข</x:v>
      </x:c>
      <x:c r="F41" s="48" t="str">
        <x:v>สายวิชาชีพสาธารณสุข</x:v>
      </x:c>
      <x:c r="G41" s="57" t="n">
        <x:v>3</x:v>
      </x:c>
      <x:c r="H41" s="57" t="n">
        <x:v>3</x:v>
      </x:c>
      <x:c r="I41" s="57" t="n">
        <x:v>3</x:v>
      </x:c>
      <x:c r="J41" s="57" t="n">
        <x:v>3</x:v>
      </x:c>
      <x:c r="K41" s="57" t="n">
        <x:v>4</x:v>
      </x:c>
      <x:c r="L41" s="57" t="n">
        <x:v>4</x:v>
      </x:c>
      <x:c r="M41" s="57" t="n">
        <x:v>4</x:v>
      </x:c>
      <x:c r="N41" s="57" t="n">
        <x:v>3</x:v>
      </x:c>
      <x:c r="O41" s="57" t="n">
        <x:v>3</x:v>
      </x:c>
      <x:c r="P41" s="57" t="n">
        <x:v>4</x:v>
      </x:c>
      <x:c r="Q41" s="57" t="n">
        <x:v>4</x:v>
      </x:c>
      <x:c r="R41" s="57" t="n">
        <x:v>4</x:v>
      </x:c>
      <x:c r="S41" s="57" t="n">
        <x:v>3</x:v>
      </x:c>
      <x:c r="T41" s="57" t="n">
        <x:v>3</x:v>
      </x:c>
      <x:c r="U41" s="57" t="n">
        <x:v>3</x:v>
      </x:c>
      <x:c r="V41" s="57" t="n">
        <x:v>4</x:v>
      </x:c>
      <x:c r="W41" s="57" t="n">
        <x:v>4</x:v>
      </x:c>
      <x:c r="X41" s="57" t="n">
        <x:v>3</x:v>
      </x:c>
      <x:c r="Y41" s="57" t="n">
        <x:v>3</x:v>
      </x:c>
      <x:c r="Z41" s="57" t="n">
        <x:v>3</x:v>
      </x:c>
      <x:c r="AA41" s="57" t="n">
        <x:v>3</x:v>
      </x:c>
      <x:c r="AB41" s="57" t="n">
        <x:v>4</x:v>
      </x:c>
      <x:c r="AC41" s="57" t="n">
        <x:v>3</x:v>
      </x:c>
      <x:c r="AD41" s="57" t="n">
        <x:v>4</x:v>
      </x:c>
      <x:c r="AE41" s="57" t="n">
        <x:v>3</x:v>
      </x:c>
      <x:c r="AF41" s="57" t="n">
        <x:v>3</x:v>
      </x:c>
      <x:c r="AG41" s="57" t="n">
        <x:v>4</x:v>
      </x:c>
      <x:c r="AH41" s="57" t="n">
        <x:v>3</x:v>
      </x:c>
      <x:c r="AI41" s="57" t="n">
        <x:v>4</x:v>
      </x:c>
      <x:c r="AJ41" s="57" t="n">
        <x:v>2</x:v>
      </x:c>
      <x:c r="AK41" s="57" t="n">
        <x:v>4</x:v>
      </x:c>
      <x:c r="AL41" s="57" t="n">
        <x:v>3</x:v>
      </x:c>
      <x:c r="AM41" s="48" t="str">
        <x:v>1. ควรมี Assign ที่ชัดเจน เพื่อป้องกันการเกี่ยงงานเมื่อคนขาดหรือลงพัก และให้ jobงานหรือหน้าที่ชัดเจนขึ้น ตอนนี้มี assign จริง แต่ควรให้มี incharge และ member ที่ชัดเจน ไม่ใช่ช่วยๆกันทำ เปลี่ยนหน้าที่ในเวรไปเรื่อยๆ เดี๋ยวinchargeเป็นmember สักพัก member มานั่งเป็น incharge  2.ควรกระจาย assignและเวรให้เท่ากัน เพื่อลดความเลื่อมล้ำหรือความลำเอียง</x:v>
      </x:c>
      <x:c r="AN41" s="49" t="str"/>
    </x:row>
    <x:row r="42">
      <x:c r="A42" s="54" t="str">
        <x:v>Yes</x:v>
      </x:c>
      <x:c r="B42" s="57" t="n">
        <x:v>41</x:v>
      </x:c>
      <x:c r="C42" s="60" t="n">
        <x:v>46246.76010005787</x:v>
      </x:c>
      <x:c r="D42" s="48" t="str">
        <x:v>ERและเปล</x:v>
      </x:c>
      <x:c r="E42" s="48" t="str">
        <x:v>สายวิชาชีพสาธารณสุข</x:v>
      </x:c>
      <x:c r="F42" s="48" t="str">
        <x:v>สายวิชาชีพสาธารณสุข</x:v>
      </x:c>
      <x:c r="G42" s="57" t="n">
        <x:v>2</x:v>
      </x:c>
      <x:c r="H42" s="57" t="n">
        <x:v>3</x:v>
      </x:c>
      <x:c r="I42" s="57" t="n">
        <x:v>3</x:v>
      </x:c>
      <x:c r="J42" s="57" t="n">
        <x:v>2</x:v>
      </x:c>
      <x:c r="K42" s="57" t="n">
        <x:v>3</x:v>
      </x:c>
      <x:c r="L42" s="57" t="n">
        <x:v>5</x:v>
      </x:c>
      <x:c r="M42" s="57" t="n">
        <x:v>2</x:v>
      </x:c>
      <x:c r="N42" s="57" t="n">
        <x:v>2</x:v>
      </x:c>
      <x:c r="O42" s="57" t="n">
        <x:v>3</x:v>
      </x:c>
      <x:c r="P42" s="57" t="n">
        <x:v>3</x:v>
      </x:c>
      <x:c r="Q42" s="57" t="n">
        <x:v>4</x:v>
      </x:c>
      <x:c r="R42" s="57" t="n">
        <x:v>4</x:v>
      </x:c>
      <x:c r="S42" s="57" t="n">
        <x:v>2</x:v>
      </x:c>
      <x:c r="T42" s="57" t="n">
        <x:v>2</x:v>
      </x:c>
      <x:c r="U42" s="57" t="n">
        <x:v>2</x:v>
      </x:c>
      <x:c r="V42" s="57" t="n">
        <x:v>4</x:v>
      </x:c>
      <x:c r="W42" s="57" t="n">
        <x:v>5</x:v>
      </x:c>
      <x:c r="X42" s="57" t="n">
        <x:v>3</x:v>
      </x:c>
      <x:c r="Y42" s="57" t="n">
        <x:v>3</x:v>
      </x:c>
      <x:c r="Z42" s="57" t="n">
        <x:v>3</x:v>
      </x:c>
      <x:c r="AA42" s="57" t="n">
        <x:v>2</x:v>
      </x:c>
      <x:c r="AB42" s="57" t="n">
        <x:v>2</x:v>
      </x:c>
      <x:c r="AC42" s="57" t="n">
        <x:v>2</x:v>
      </x:c>
      <x:c r="AD42" s="57" t="n">
        <x:v>3</x:v>
      </x:c>
      <x:c r="AE42" s="57" t="n">
        <x:v>3</x:v>
      </x:c>
      <x:c r="AF42" s="57" t="n">
        <x:v>3</x:v>
      </x:c>
      <x:c r="AG42" s="57" t="n">
        <x:v>3</x:v>
      </x:c>
      <x:c r="AH42" s="57" t="n">
        <x:v>1</x:v>
      </x:c>
      <x:c r="AI42" s="57" t="n">
        <x:v>3</x:v>
      </x:c>
      <x:c r="AJ42" s="57" t="n">
        <x:v>2</x:v>
      </x:c>
      <x:c r="AK42" s="57" t="n">
        <x:v>2</x:v>
      </x:c>
      <x:c r="AL42" s="57" t="n">
        <x:v>3</x:v>
      </x:c>
      <x:c r="AM42" s="48" t="str">
        <x:v>อยากเสนอให้พิจารณาเรื่องการจัดสรรบุคลากรระหว่างแผนกผู้ป่วยนอก (OPD) และแผนกฉุกเฉิน (ER) ให้มีความชัดเจนมากขึ้น เนื่องจากปัจจุบันยังใช้บุคลากรร่วมกันและมีการกำหนดในแต่ละวันว่าใครจะไปปฏิบัติงานที่แผนกใด ซึ่งบุคลากรแต่ละคนมีความถนัด ประสบการณ์ และความคุ้นเคยกับงานที่แตกต่างกัน  จึงอาจทำให้เกิดปัญหาเรื่องความต่อเนื่องของงาน ภาระงาน และความรับผิดชอบ รวมถึงอาจส่งผลต่อประสิทธิภาพและความปลอดภัยในการให้บริการ</x:v>
      </x:c>
      <x:c r="AN42" s="49" t="str"/>
    </x:row>
    <x:row r="43">
      <x:c r="A43" s="54" t="str">
        <x:v>Yes</x:v>
      </x:c>
      <x:c r="B43" s="57" t="n">
        <x:v>42</x:v>
      </x:c>
      <x:c r="C43" s="60" t="n">
        <x:v>46246.76690077546</x:v>
      </x:c>
      <x:c r="D43" s="48" t="str">
        <x:v>ผู้ป่วยสัมพันธ์</x:v>
      </x:c>
      <x:c r="E43" s="48" t="str">
        <x:v>สายสนับสนุนทางการแพทย์</x:v>
      </x:c>
      <x:c r="F43" s="48" t="str">
        <x:v>สายสนับสนุนทางการแพทย์</x:v>
      </x:c>
      <x:c r="G43" s="57" t="n">
        <x:v>4</x:v>
      </x:c>
      <x:c r="H43" s="57" t="n">
        <x:v>3</x:v>
      </x:c>
      <x:c r="I43" s="57" t="n">
        <x:v>1</x:v>
      </x:c>
      <x:c r="J43" s="57" t="n">
        <x:v>3</x:v>
      </x:c>
      <x:c r="K43" s="57" t="n">
        <x:v>3</x:v>
      </x:c>
      <x:c r="L43" s="57" t="n">
        <x:v>1</x:v>
      </x:c>
      <x:c r="M43" s="57" t="n">
        <x:v>1</x:v>
      </x:c>
      <x:c r="N43" s="57" t="n">
        <x:v>2</x:v>
      </x:c>
      <x:c r="O43" s="57" t="n">
        <x:v>4</x:v>
      </x:c>
      <x:c r="P43" s="57" t="n">
        <x:v>3</x:v>
      </x:c>
      <x:c r="Q43" s="57" t="n">
        <x:v>2</x:v>
      </x:c>
      <x:c r="R43" s="57" t="n">
        <x:v>2</x:v>
      </x:c>
      <x:c r="S43" s="57" t="n">
        <x:v>3</x:v>
      </x:c>
      <x:c r="T43" s="57" t="n">
        <x:v>1</x:v>
      </x:c>
      <x:c r="U43" s="57" t="n">
        <x:v>3</x:v>
      </x:c>
      <x:c r="V43" s="57" t="n">
        <x:v>2</x:v>
      </x:c>
      <x:c r="W43" s="57" t="n">
        <x:v>3</x:v>
      </x:c>
      <x:c r="X43" s="57" t="n">
        <x:v>4</x:v>
      </x:c>
      <x:c r="Y43" s="57" t="n">
        <x:v>4</x:v>
      </x:c>
      <x:c r="Z43" s="57" t="n">
        <x:v>4</x:v>
      </x:c>
      <x:c r="AA43" s="57" t="n">
        <x:v>4</x:v>
      </x:c>
      <x:c r="AB43" s="57" t="n">
        <x:v>3</x:v>
      </x:c>
      <x:c r="AC43" s="57" t="n">
        <x:v>3</x:v>
      </x:c>
      <x:c r="AD43" s="57" t="n">
        <x:v>1</x:v>
      </x:c>
      <x:c r="AE43" s="57" t="n">
        <x:v>4</x:v>
      </x:c>
      <x:c r="AF43" s="57" t="n">
        <x:v>3</x:v>
      </x:c>
      <x:c r="AG43" s="57" t="n">
        <x:v>4</x:v>
      </x:c>
      <x:c r="AH43" s="57" t="n">
        <x:v>4</x:v>
      </x:c>
      <x:c r="AI43" s="57" t="n">
        <x:v>3</x:v>
      </x:c>
      <x:c r="AJ43" s="57" t="n">
        <x:v>1</x:v>
      </x:c>
      <x:c r="AK43" s="57" t="n">
        <x:v>1</x:v>
      </x:c>
      <x:c r="AL43" s="57" t="n">
        <x:v>2</x:v>
      </x:c>
      <x:c r="AM43" s="48" t="str">
        <x:v>ควรมีความปลอดภัยมากขึ้นกว่านี้ เช่น การมีกล้องวงจรปิดทุกจุดที่มีความเสี่ยง</x:v>
      </x:c>
      <x:c r="AN43" s="49" t="str"/>
    </x:row>
    <x:row r="44">
      <x:c r="A44" s="54" t="str">
        <x:v>Yes</x:v>
      </x:c>
      <x:c r="B44" s="57" t="n">
        <x:v>43</x:v>
      </x:c>
      <x:c r="C44" s="60" t="n">
        <x:v>46246.78778284723</x:v>
      </x:c>
      <x:c r="D44" s="48" t="str">
        <x:v>ERและเปล</x:v>
      </x:c>
      <x:c r="E44" s="48" t="str">
        <x:v>สายวิชาชีพสาธารณสุข</x:v>
      </x:c>
      <x:c r="F44" s="48" t="str">
        <x:v>สายวิชาชีพสาธารณสุข</x:v>
      </x:c>
      <x:c r="G44" s="57" t="n">
        <x:v>2</x:v>
      </x:c>
      <x:c r="H44" s="57" t="n">
        <x:v>1</x:v>
      </x:c>
      <x:c r="I44" s="57" t="n">
        <x:v>5</x:v>
      </x:c>
      <x:c r="J44" s="57" t="n">
        <x:v>3</x:v>
      </x:c>
      <x:c r="K44" s="57" t="n">
        <x:v>4</x:v>
      </x:c>
      <x:c r="L44" s="57" t="n">
        <x:v>5</x:v>
      </x:c>
      <x:c r="M44" s="57" t="n">
        <x:v>4</x:v>
      </x:c>
      <x:c r="N44" s="57" t="n">
        <x:v>3</x:v>
      </x:c>
      <x:c r="O44" s="57" t="n">
        <x:v>3</x:v>
      </x:c>
      <x:c r="P44" s="57" t="n">
        <x:v>3</x:v>
      </x:c>
      <x:c r="Q44" s="57" t="n">
        <x:v>5</x:v>
      </x:c>
      <x:c r="R44" s="57" t="n">
        <x:v>5</x:v>
      </x:c>
      <x:c r="S44" s="57" t="n">
        <x:v>2</x:v>
      </x:c>
      <x:c r="T44" s="57" t="n">
        <x:v>3</x:v>
      </x:c>
      <x:c r="U44" s="57" t="n">
        <x:v>3</x:v>
      </x:c>
      <x:c r="V44" s="57" t="n">
        <x:v>4</x:v>
      </x:c>
      <x:c r="W44" s="57" t="n">
        <x:v>4</x:v>
      </x:c>
      <x:c r="X44" s="57" t="n">
        <x:v>1</x:v>
      </x:c>
      <x:c r="Y44" s="57" t="n">
        <x:v>3</x:v>
      </x:c>
      <x:c r="Z44" s="57" t="n">
        <x:v>2</x:v>
      </x:c>
      <x:c r="AA44" s="57" t="n">
        <x:v>1</x:v>
      </x:c>
      <x:c r="AB44" s="57" t="n">
        <x:v>1</x:v>
      </x:c>
      <x:c r="AC44" s="57" t="n">
        <x:v>2</x:v>
      </x:c>
      <x:c r="AD44" s="57" t="n">
        <x:v>5</x:v>
      </x:c>
      <x:c r="AE44" s="57" t="n">
        <x:v>2</x:v>
      </x:c>
      <x:c r="AF44" s="57" t="n">
        <x:v>2</x:v>
      </x:c>
      <x:c r="AG44" s="57" t="n">
        <x:v>4</x:v>
      </x:c>
      <x:c r="AH44" s="57" t="n">
        <x:v>3</x:v>
      </x:c>
      <x:c r="AI44" s="57" t="n">
        <x:v>4</x:v>
      </x:c>
      <x:c r="AJ44" s="57" t="n">
        <x:v>4</x:v>
      </x:c>
      <x:c r="AK44" s="57" t="n">
        <x:v>4</x:v>
      </x:c>
      <x:c r="AL44" s="57" t="n">
        <x:v>3</x:v>
      </x:c>
      <x:c r="AM44" s="48" t="str">
        <x:v>คนรายงานความเสี่ยงมักถูกมองว่าเป็นคนไม่ดี เลยไม่มีใครกล้าทำ</x:v>
      </x:c>
      <x:c r="AN44" s="49" t="str"/>
    </x:row>
    <x:row r="45">
      <x:c r="A45" s="54" t="str">
        <x:v>Yes</x:v>
      </x:c>
      <x:c r="B45" s="57" t="n">
        <x:v>44</x:v>
      </x:c>
      <x:c r="C45" s="60" t="n">
        <x:v>46246.79125724537</x:v>
      </x:c>
      <x:c r="D45" s="48" t="str">
        <x:v>ERและเปล</x:v>
      </x:c>
      <x:c r="E45" s="48" t="str">
        <x:v>สายสนับสนุนทั่วไป</x:v>
      </x:c>
      <x:c r="F45" s="48" t="str">
        <x:v>สายสนับสนุนทั่วไป</x:v>
      </x:c>
      <x:c r="G45" s="57" t="n">
        <x:v>3</x:v>
      </x:c>
      <x:c r="H45" s="57" t="n">
        <x:v>4</x:v>
      </x:c>
      <x:c r="I45" s="57" t="n">
        <x:v>2</x:v>
      </x:c>
      <x:c r="J45" s="57" t="n">
        <x:v>3</x:v>
      </x:c>
      <x:c r="K45" s="57" t="n">
        <x:v>3</x:v>
      </x:c>
      <x:c r="L45" s="57" t="n">
        <x:v>2</x:v>
      </x:c>
      <x:c r="M45" s="57" t="n">
        <x:v>2</x:v>
      </x:c>
      <x:c r="N45" s="57" t="n">
        <x:v>4</x:v>
      </x:c>
      <x:c r="O45" s="57" t="n">
        <x:v>4</x:v>
      </x:c>
      <x:c r="P45" s="57" t="n">
        <x:v>3</x:v>
      </x:c>
      <x:c r="Q45" s="57" t="n">
        <x:v>4</x:v>
      </x:c>
      <x:c r="R45" s="57" t="n">
        <x:v>4</x:v>
      </x:c>
      <x:c r="S45" s="57" t="n">
        <x:v>2</x:v>
      </x:c>
      <x:c r="T45" s="57" t="n">
        <x:v>1</x:v>
      </x:c>
      <x:c r="U45" s="57" t="n">
        <x:v>4</x:v>
      </x:c>
      <x:c r="V45" s="57" t="n">
        <x:v>2</x:v>
      </x:c>
      <x:c r="W45" s="57" t="n">
        <x:v>3</x:v>
      </x:c>
      <x:c r="X45" s="57" t="n">
        <x:v>2</x:v>
      </x:c>
      <x:c r="Y45" s="57" t="n">
        <x:v>2</x:v>
      </x:c>
      <x:c r="Z45" s="57" t="n">
        <x:v>4</x:v>
      </x:c>
      <x:c r="AA45" s="57" t="n">
        <x:v>3</x:v>
      </x:c>
      <x:c r="AB45" s="57" t="n">
        <x:v>2</x:v>
      </x:c>
      <x:c r="AC45" s="57" t="n">
        <x:v>2</x:v>
      </x:c>
      <x:c r="AD45" s="57" t="n">
        <x:v>2</x:v>
      </x:c>
      <x:c r="AE45" s="57" t="n">
        <x:v>2</x:v>
      </x:c>
      <x:c r="AF45" s="57" t="n">
        <x:v>3</x:v>
      </x:c>
      <x:c r="AG45" s="57" t="n">
        <x:v>5</x:v>
      </x:c>
      <x:c r="AH45" s="57" t="n">
        <x:v>3</x:v>
      </x:c>
      <x:c r="AI45" s="57" t="n">
        <x:v>2</x:v>
      </x:c>
      <x:c r="AJ45" s="57" t="n">
        <x:v>2</x:v>
      </x:c>
      <x:c r="AK45" s="57" t="n">
        <x:v>4</x:v>
      </x:c>
      <x:c r="AL45" s="57" t="n">
        <x:v>3</x:v>
      </x:c>
      <x:c r="AM45" s="48" t="str">
        <x:v>โอเค</x:v>
      </x:c>
      <x:c r="AN45" s="49" t="str"/>
    </x:row>
    <x:row r="46">
      <x:c r="A46" s="54" t="str">
        <x:v>Yes</x:v>
      </x:c>
      <x:c r="B46" s="57" t="n">
        <x:v>45</x:v>
      </x:c>
      <x:c r="C46" s="60" t="n">
        <x:v>46246.8589022338</x:v>
      </x:c>
      <x:c r="D46" s="48" t="str">
        <x:v>ERและเปล</x:v>
      </x:c>
      <x:c r="E46" s="48" t="str">
        <x:v>สายสนับสนุนทางการแพทย์</x:v>
      </x:c>
      <x:c r="F46" s="48" t="str">
        <x:v>สายสนับสนุนทางการแพทย์</x:v>
      </x:c>
      <x:c r="G46" s="57" t="n">
        <x:v>3</x:v>
      </x:c>
      <x:c r="H46" s="57" t="n">
        <x:v>3</x:v>
      </x:c>
      <x:c r="I46" s="57" t="n">
        <x:v>3</x:v>
      </x:c>
      <x:c r="J46" s="57" t="n">
        <x:v>3</x:v>
      </x:c>
      <x:c r="K46" s="57" t="n">
        <x:v>3</x:v>
      </x:c>
      <x:c r="L46" s="57" t="n">
        <x:v>3</x:v>
      </x:c>
      <x:c r="M46" s="57" t="n">
        <x:v>3</x:v>
      </x:c>
      <x:c r="N46" s="57" t="n">
        <x:v>4</x:v>
      </x:c>
      <x:c r="O46" s="57" t="n">
        <x:v>4</x:v>
      </x:c>
      <x:c r="P46" s="57" t="n">
        <x:v>4</x:v>
      </x:c>
      <x:c r="Q46" s="57" t="n">
        <x:v>3</x:v>
      </x:c>
      <x:c r="R46" s="57" t="n">
        <x:v>2</x:v>
      </x:c>
      <x:c r="S46" s="57" t="n">
        <x:v>4</x:v>
      </x:c>
      <x:c r="T46" s="57" t="n">
        <x:v>2</x:v>
      </x:c>
      <x:c r="U46" s="57" t="n">
        <x:v>3</x:v>
      </x:c>
      <x:c r="V46" s="57" t="n">
        <x:v>3</x:v>
      </x:c>
      <x:c r="W46" s="57" t="n">
        <x:v>4</x:v>
      </x:c>
      <x:c r="X46" s="57" t="n">
        <x:v>3</x:v>
      </x:c>
      <x:c r="Y46" s="57" t="n">
        <x:v>4</x:v>
      </x:c>
      <x:c r="Z46" s="57" t="n">
        <x:v>3</x:v>
      </x:c>
      <x:c r="AA46" s="57" t="n">
        <x:v>4</x:v>
      </x:c>
      <x:c r="AB46" s="57" t="n">
        <x:v>3</x:v>
      </x:c>
      <x:c r="AC46" s="57" t="n">
        <x:v>3</x:v>
      </x:c>
      <x:c r="AD46" s="57" t="n">
        <x:v>3</x:v>
      </x:c>
      <x:c r="AE46" s="57" t="n">
        <x:v>3</x:v>
      </x:c>
      <x:c r="AF46" s="57" t="n">
        <x:v>4</x:v>
      </x:c>
      <x:c r="AG46" s="57" t="n">
        <x:v>3</x:v>
      </x:c>
      <x:c r="AH46" s="57" t="n">
        <x:v>3</x:v>
      </x:c>
      <x:c r="AI46" s="57" t="n">
        <x:v>3</x:v>
      </x:c>
      <x:c r="AJ46" s="57" t="n">
        <x:v>3</x:v>
      </x:c>
      <x:c r="AK46" s="57" t="n">
        <x:v>2</x:v>
      </x:c>
      <x:c r="AL46" s="57" t="n">
        <x:v>3</x:v>
      </x:c>
      <x:c r="AM46" s="48" t="str">
        <x:v>.</x:v>
      </x:c>
      <x:c r="AN46" s="49" t="str"/>
    </x:row>
    <x:row r="47">
      <x:c r="A47" s="54" t="str">
        <x:v>Yes</x:v>
      </x:c>
      <x:c r="B47" s="57" t="n">
        <x:v>46</x:v>
      </x:c>
      <x:c r="C47" s="60" t="n">
        <x:v>46246.93563269676</x:v>
      </x:c>
      <x:c r="D47" s="48" t="str">
        <x:v>IPD</x:v>
      </x:c>
      <x:c r="E47" s="48" t="str">
        <x:v>สายสนับสนุนทั่วไป</x:v>
      </x:c>
      <x:c r="F47" s="48" t="str">
        <x:v>สายสนับสนุนทั่วไป</x:v>
      </x:c>
      <x:c r="G47" s="57" t="n">
        <x:v>3</x:v>
      </x:c>
      <x:c r="H47" s="57" t="n">
        <x:v>3</x:v>
      </x:c>
      <x:c r="I47" s="57" t="n">
        <x:v>4</x:v>
      </x:c>
      <x:c r="J47" s="57" t="n">
        <x:v>3</x:v>
      </x:c>
      <x:c r="K47" s="57" t="n">
        <x:v>3</x:v>
      </x:c>
      <x:c r="L47" s="57" t="n">
        <x:v>4</x:v>
      </x:c>
      <x:c r="M47" s="57" t="n">
        <x:v>3</x:v>
      </x:c>
      <x:c r="N47" s="57" t="n">
        <x:v>3</x:v>
      </x:c>
      <x:c r="O47" s="57" t="n">
        <x:v>3</x:v>
      </x:c>
      <x:c r="P47" s="57" t="n">
        <x:v>3</x:v>
      </x:c>
      <x:c r="Q47" s="57" t="n">
        <x:v>4</x:v>
      </x:c>
      <x:c r="R47" s="57" t="n">
        <x:v>3</x:v>
      </x:c>
      <x:c r="S47" s="57" t="n">
        <x:v>3</x:v>
      </x:c>
      <x:c r="T47" s="57" t="n">
        <x:v>4</x:v>
      </x:c>
      <x:c r="U47" s="57" t="n">
        <x:v>3</x:v>
      </x:c>
      <x:c r="V47" s="57" t="n">
        <x:v>3</x:v>
      </x:c>
      <x:c r="W47" s="57" t="n">
        <x:v>3</x:v>
      </x:c>
      <x:c r="X47" s="57" t="n">
        <x:v>3</x:v>
      </x:c>
      <x:c r="Y47" s="57" t="n">
        <x:v>4</x:v>
      </x:c>
      <x:c r="Z47" s="57" t="n">
        <x:v>2</x:v>
      </x:c>
      <x:c r="AA47" s="57" t="n">
        <x:v>3</x:v>
      </x:c>
      <x:c r="AB47" s="57" t="n">
        <x:v>3</x:v>
      </x:c>
      <x:c r="AC47" s="57" t="n">
        <x:v>3</x:v>
      </x:c>
      <x:c r="AD47" s="57" t="n">
        <x:v>3</x:v>
      </x:c>
      <x:c r="AE47" s="57" t="n">
        <x:v>3</x:v>
      </x:c>
      <x:c r="AF47" s="57" t="n">
        <x:v>3</x:v>
      </x:c>
      <x:c r="AG47" s="57" t="n">
        <x:v>2</x:v>
      </x:c>
      <x:c r="AH47" s="57" t="n">
        <x:v>3</x:v>
      </x:c>
      <x:c r="AI47" s="57" t="n">
        <x:v>3</x:v>
      </x:c>
      <x:c r="AJ47" s="57" t="n">
        <x:v>4</x:v>
      </x:c>
      <x:c r="AK47" s="57" t="n">
        <x:v>4</x:v>
      </x:c>
      <x:c r="AL47" s="57" t="n">
        <x:v>3</x:v>
      </x:c>
      <x:c r="AM47" s="48" t="str">
        <x:v>ความปลอดภัยเป็นอย่างดีเยี่ยม</x:v>
      </x:c>
      <x:c r="AN47" s="49" t="str"/>
    </x:row>
    <x:row r="48">
      <x:c r="A48" s="54" t="str">
        <x:v>Yes</x:v>
      </x:c>
      <x:c r="B48" s="57" t="n">
        <x:v>47</x:v>
      </x:c>
      <x:c r="C48" s="60" t="n">
        <x:v>46247.022123483795</x:v>
      </x:c>
      <x:c r="D48" s="48" t="str">
        <x:v>ICU</x:v>
      </x:c>
      <x:c r="E48" s="48" t="str">
        <x:v>สายสนับสนุนทางการแพทย์</x:v>
      </x:c>
      <x:c r="F48" s="48" t="str">
        <x:v>สายสนับสนุนทางการแพทย์</x:v>
      </x:c>
      <x:c r="G48" s="57" t="n">
        <x:v>4</x:v>
      </x:c>
      <x:c r="H48" s="57" t="n">
        <x:v>5</x:v>
      </x:c>
      <x:c r="I48" s="57" t="n">
        <x:v>4</x:v>
      </x:c>
      <x:c r="J48" s="57" t="n">
        <x:v>4</x:v>
      </x:c>
      <x:c r="K48" s="57" t="n">
        <x:v>4</x:v>
      </x:c>
      <x:c r="L48" s="57" t="n">
        <x:v>3</x:v>
      </x:c>
      <x:c r="M48" s="57" t="n">
        <x:v>2</x:v>
      </x:c>
      <x:c r="N48" s="57" t="n">
        <x:v>4</x:v>
      </x:c>
      <x:c r="O48" s="57" t="n">
        <x:v>4</x:v>
      </x:c>
      <x:c r="P48" s="57" t="n">
        <x:v>1</x:v>
      </x:c>
      <x:c r="Q48" s="57" t="n">
        <x:v>3</x:v>
      </x:c>
      <x:c r="R48" s="57" t="n">
        <x:v>3</x:v>
      </x:c>
      <x:c r="S48" s="57" t="n">
        <x:v>4</x:v>
      </x:c>
      <x:c r="T48" s="57" t="n">
        <x:v>1</x:v>
      </x:c>
      <x:c r="U48" s="57" t="n">
        <x:v>5</x:v>
      </x:c>
      <x:c r="V48" s="57" t="n">
        <x:v>4</x:v>
      </x:c>
      <x:c r="W48" s="57" t="n">
        <x:v>4</x:v>
      </x:c>
      <x:c r="X48" s="57" t="n">
        <x:v>5</x:v>
      </x:c>
      <x:c r="Y48" s="57" t="n">
        <x:v>5</x:v>
      </x:c>
      <x:c r="Z48" s="57" t="n">
        <x:v>5</x:v>
      </x:c>
      <x:c r="AA48" s="57" t="n">
        <x:v>4</x:v>
      </x:c>
      <x:c r="AB48" s="57" t="n">
        <x:v>4</x:v>
      </x:c>
      <x:c r="AC48" s="57" t="n">
        <x:v>4</x:v>
      </x:c>
      <x:c r="AD48" s="57" t="n">
        <x:v>2</x:v>
      </x:c>
      <x:c r="AE48" s="57" t="n">
        <x:v>2</x:v>
      </x:c>
      <x:c r="AF48" s="57" t="n">
        <x:v>2</x:v>
      </x:c>
      <x:c r="AG48" s="57" t="n">
        <x:v>5</x:v>
      </x:c>
      <x:c r="AH48" s="57" t="n">
        <x:v>4</x:v>
      </x:c>
      <x:c r="AI48" s="57" t="n">
        <x:v>1</x:v>
      </x:c>
      <x:c r="AJ48" s="57" t="n">
        <x:v>1</x:v>
      </x:c>
      <x:c r="AK48" s="57" t="n">
        <x:v>1</x:v>
      </x:c>
      <x:c r="AL48" s="57" t="n">
        <x:v>4</x:v>
      </x:c>
      <x:c r="AM48" s="48" t="str">
        <x:v>ตอนนี้มีระบบการจัดการความปลอดภัยในรพ.ได้ดี มีเครื่องมือคู่มือต่างๆมาช่วยมากขึ้น แม้มีเหตุการณ์/ปัญหาที่เกิดขึ้นมาในหลากหลายแบบ สามารถมีแนวทางจากคู่มือที่จัดทำขึ้น ช่วยเป็นแนวทางแก้ปัญหาและทบทวนได้ดี</x:v>
      </x:c>
      <x:c r="AN48" s="49" t="str"/>
    </x:row>
    <x:row r="49">
      <x:c r="A49" s="54" t="str">
        <x:v>Yes</x:v>
      </x:c>
      <x:c r="B49" s="57" t="n">
        <x:v>48</x:v>
      </x:c>
      <x:c r="C49" s="60" t="n">
        <x:v>46247.31691980324</x:v>
      </x:c>
      <x:c r="D49" s="48" t="str">
        <x:v>ERและเปล</x:v>
      </x:c>
      <x:c r="E49" s="48" t="str">
        <x:v>สายสนับสนุนทั่วไป</x:v>
      </x:c>
      <x:c r="F49" s="48" t="str">
        <x:v>สายสนับสนุนทั่วไป</x:v>
      </x:c>
      <x:c r="G49" s="57" t="n">
        <x:v>5</x:v>
      </x:c>
      <x:c r="H49" s="57" t="n">
        <x:v>5</x:v>
      </x:c>
      <x:c r="I49" s="57" t="n">
        <x:v>1</x:v>
      </x:c>
      <x:c r="J49" s="57" t="n">
        <x:v>5</x:v>
      </x:c>
      <x:c r="K49" s="57" t="n">
        <x:v>4</x:v>
      </x:c>
      <x:c r="L49" s="57" t="n">
        <x:v>5</x:v>
      </x:c>
      <x:c r="M49" s="57" t="n">
        <x:v>5</x:v>
      </x:c>
      <x:c r="N49" s="57" t="n">
        <x:v>5</x:v>
      </x:c>
      <x:c r="O49" s="57" t="n">
        <x:v>5</x:v>
      </x:c>
      <x:c r="P49" s="57" t="n">
        <x:v>2</x:v>
      </x:c>
      <x:c r="Q49" s="57" t="n">
        <x:v>1</x:v>
      </x:c>
      <x:c r="R49" s="57" t="n">
        <x:v>1</x:v>
      </x:c>
      <x:c r="S49" s="57" t="n">
        <x:v>1</x:v>
      </x:c>
      <x:c r="T49" s="57" t="n">
        <x:v>1</x:v>
      </x:c>
      <x:c r="U49" s="57" t="n">
        <x:v>5</x:v>
      </x:c>
      <x:c r="V49" s="57" t="n">
        <x:v>5</x:v>
      </x:c>
      <x:c r="W49" s="57" t="n">
        <x:v>5</x:v>
      </x:c>
      <x:c r="X49" s="57" t="n">
        <x:v>5</x:v>
      </x:c>
      <x:c r="Y49" s="57" t="n">
        <x:v>5</x:v>
      </x:c>
      <x:c r="Z49" s="57" t="n">
        <x:v>5</x:v>
      </x:c>
      <x:c r="AA49" s="57" t="n">
        <x:v>5</x:v>
      </x:c>
      <x:c r="AB49" s="57" t="n">
        <x:v>5</x:v>
      </x:c>
      <x:c r="AC49" s="57" t="n">
        <x:v>5</x:v>
      </x:c>
      <x:c r="AD49" s="57" t="n">
        <x:v>5</x:v>
      </x:c>
      <x:c r="AE49" s="57" t="n">
        <x:v>1</x:v>
      </x:c>
      <x:c r="AF49" s="57" t="n">
        <x:v>1</x:v>
      </x:c>
      <x:c r="AG49" s="57" t="n">
        <x:v>5</x:v>
      </x:c>
      <x:c r="AH49" s="57" t="n">
        <x:v>5</x:v>
      </x:c>
      <x:c r="AI49" s="57" t="n">
        <x:v>5</x:v>
      </x:c>
      <x:c r="AJ49" s="57" t="n">
        <x:v>1</x:v>
      </x:c>
      <x:c r="AK49" s="57" t="n">
        <x:v>1</x:v>
      </x:c>
      <x:c r="AL49" s="57" t="n">
        <x:v>5</x:v>
      </x:c>
      <x:c r="AM49" s="48" t="str">
        <x:v>เห็นด้วยคะ เพื่อความปลอดภัยของโรงพยาบาล</x:v>
      </x:c>
      <x:c r="AN49" s="49" t="str"/>
    </x:row>
    <x:row r="50">
      <x:c r="A50" s="54" t="str">
        <x:v>Yes</x:v>
      </x:c>
      <x:c r="B50" s="57" t="n">
        <x:v>49</x:v>
      </x:c>
      <x:c r="C50" s="60" t="n">
        <x:v>46247.44433636574</x:v>
      </x:c>
      <x:c r="D50" s="48" t="str">
        <x:v>การเงิน</x:v>
      </x:c>
      <x:c r="E50" s="48" t="str">
        <x:v>สายสนับสนุนทั่วไป</x:v>
      </x:c>
      <x:c r="F50" s="48" t="str">
        <x:v>สายสนับสนุนทั่วไป</x:v>
      </x:c>
      <x:c r="G50" s="57" t="n">
        <x:v>1</x:v>
      </x:c>
      <x:c r="H50" s="57" t="n">
        <x:v>3</x:v>
      </x:c>
      <x:c r="I50" s="57" t="n">
        <x:v>2</x:v>
      </x:c>
      <x:c r="J50" s="57" t="n">
        <x:v>1</x:v>
      </x:c>
      <x:c r="K50" s="57" t="n">
        <x:v>1</x:v>
      </x:c>
      <x:c r="L50" s="57" t="n">
        <x:v>1</x:v>
      </x:c>
      <x:c r="M50" s="57" t="n">
        <x:v>1</x:v>
      </x:c>
      <x:c r="N50" s="57" t="n">
        <x:v>1</x:v>
      </x:c>
      <x:c r="O50" s="57" t="n">
        <x:v>5</x:v>
      </x:c>
      <x:c r="P50" s="57" t="n">
        <x:v>3</x:v>
      </x:c>
      <x:c r="Q50" s="57" t="n">
        <x:v>2</x:v>
      </x:c>
      <x:c r="R50" s="57" t="n">
        <x:v>5</x:v>
      </x:c>
      <x:c r="S50" s="57" t="n">
        <x:v>2</x:v>
      </x:c>
      <x:c r="T50" s="57" t="n">
        <x:v>5</x:v>
      </x:c>
      <x:c r="U50" s="57" t="n">
        <x:v>1</x:v>
      </x:c>
      <x:c r="V50" s="57" t="n">
        <x:v>1</x:v>
      </x:c>
      <x:c r="W50" s="57" t="n">
        <x:v>2</x:v>
      </x:c>
      <x:c r="X50" s="57" t="n">
        <x:v>2</x:v>
      </x:c>
      <x:c r="Y50" s="57" t="n">
        <x:v>2</x:v>
      </x:c>
      <x:c r="Z50" s="57" t="n">
        <x:v>3</x:v>
      </x:c>
      <x:c r="AA50" s="57" t="n">
        <x:v>4</x:v>
      </x:c>
      <x:c r="AB50" s="57" t="n">
        <x:v>3</x:v>
      </x:c>
      <x:c r="AC50" s="57" t="n">
        <x:v>2</x:v>
      </x:c>
      <x:c r="AD50" s="57" t="n">
        <x:v>2</x:v>
      </x:c>
      <x:c r="AE50" s="57" t="n">
        <x:v>2</x:v>
      </x:c>
      <x:c r="AF50" s="57" t="n">
        <x:v>3</x:v>
      </x:c>
      <x:c r="AG50" s="57" t="n">
        <x:v>2</x:v>
      </x:c>
      <x:c r="AH50" s="57" t="n">
        <x:v>3</x:v>
      </x:c>
      <x:c r="AI50" s="57" t="n">
        <x:v>2</x:v>
      </x:c>
      <x:c r="AJ50" s="57" t="n">
        <x:v>2</x:v>
      </x:c>
      <x:c r="AK50" s="57" t="n">
        <x:v>2</x:v>
      </x:c>
      <x:c r="AL50" s="57" t="n">
        <x:v>3</x:v>
      </x:c>
      <x:c r="AM50" s="48" t="str">
        <x:v>ขอทำเคาน์เตอร์ระบบเปิดปิด.เพือความปลอดภัยเวรกลางคืน</x:v>
      </x:c>
      <x:c r="AN50" s="49" t="str"/>
    </x:row>
    <x:row r="51">
      <x:c r="A51" s="54" t="str">
        <x:v>Yes</x:v>
      </x:c>
      <x:c r="B51" s="57" t="n">
        <x:v>50</x:v>
      </x:c>
      <x:c r="C51" s="60" t="n">
        <x:v>46248.88288826389</x:v>
      </x:c>
      <x:c r="D51" s="48" t="str">
        <x:v>ERและเปล</x:v>
      </x:c>
      <x:c r="E51" s="48" t="str">
        <x:v>สายวิชาชีพสาธารณสุข</x:v>
      </x:c>
      <x:c r="F51" s="48" t="str">
        <x:v>สายวิชาชีพสาธารณสุข</x:v>
      </x:c>
      <x:c r="G51" s="57" t="n">
        <x:v>2</x:v>
      </x:c>
      <x:c r="H51" s="57" t="n">
        <x:v>2</x:v>
      </x:c>
      <x:c r="I51" s="57" t="n">
        <x:v>5</x:v>
      </x:c>
      <x:c r="J51" s="57" t="n">
        <x:v>1</x:v>
      </x:c>
      <x:c r="K51" s="57" t="n">
        <x:v>5</x:v>
      </x:c>
      <x:c r="L51" s="57" t="n">
        <x:v>5</x:v>
      </x:c>
      <x:c r="M51" s="57" t="n">
        <x:v>4</x:v>
      </x:c>
      <x:c r="N51" s="57" t="n">
        <x:v>2</x:v>
      </x:c>
      <x:c r="O51" s="57" t="n">
        <x:v>3</x:v>
      </x:c>
      <x:c r="P51" s="57" t="n">
        <x:v>2</x:v>
      </x:c>
      <x:c r="Q51" s="57" t="n">
        <x:v>5</x:v>
      </x:c>
      <x:c r="R51" s="57" t="n">
        <x:v>3</x:v>
      </x:c>
      <x:c r="S51" s="57" t="n">
        <x:v>3</x:v>
      </x:c>
      <x:c r="T51" s="57" t="n">
        <x:v>2</x:v>
      </x:c>
      <x:c r="U51" s="57" t="n">
        <x:v>4</x:v>
      </x:c>
      <x:c r="V51" s="57" t="n">
        <x:v>1</x:v>
      </x:c>
      <x:c r="W51" s="57" t="n">
        <x:v>4</x:v>
      </x:c>
      <x:c r="X51" s="57" t="n">
        <x:v>4</x:v>
      </x:c>
      <x:c r="Y51" s="57" t="n">
        <x:v>3</x:v>
      </x:c>
      <x:c r="Z51" s="57" t="n">
        <x:v>3</x:v>
      </x:c>
      <x:c r="AA51" s="57" t="n">
        <x:v>4</x:v>
      </x:c>
      <x:c r="AB51" s="57" t="n">
        <x:v>2</x:v>
      </x:c>
      <x:c r="AC51" s="57" t="n">
        <x:v>4</x:v>
      </x:c>
      <x:c r="AD51" s="57" t="n">
        <x:v>3</x:v>
      </x:c>
      <x:c r="AE51" s="57" t="n">
        <x:v>4</x:v>
      </x:c>
      <x:c r="AF51" s="57" t="n">
        <x:v>4</x:v>
      </x:c>
      <x:c r="AG51" s="57" t="n">
        <x:v>5</x:v>
      </x:c>
      <x:c r="AH51" s="57" t="n">
        <x:v>3</x:v>
      </x:c>
      <x:c r="AI51" s="57" t="n">
        <x:v>1</x:v>
      </x:c>
      <x:c r="AJ51" s="57" t="n">
        <x:v>1</x:v>
      </x:c>
      <x:c r="AK51" s="57" t="n">
        <x:v>1</x:v>
      </x:c>
      <x:c r="AL51" s="57" t="n">
        <x:v>4</x:v>
      </x:c>
      <x:c r="AM51" s="48" t="str">
        <x:v>รพควรมีเจ้าหน้าที่รักษาความปลอดภัยประจำโรงพยาบาล</x:v>
      </x:c>
      <x:c r="AN51" s="49" t="str"/>
    </x:row>
    <x:row r="52">
      <x:c r="A52" s="54" t="str">
        <x:v>Yes</x:v>
      </x:c>
      <x:c r="B52" s="57" t="n">
        <x:v>51</x:v>
      </x:c>
      <x:c r="C52" s="60" t="n">
        <x:v>46248.89595329861</x:v>
      </x:c>
      <x:c r="D52" s="48" t="str">
        <x:v>ห้องยา</x:v>
      </x:c>
      <x:c r="E52" s="48" t="str">
        <x:v>สายสนับสนุนทางการแพทย์</x:v>
      </x:c>
      <x:c r="F52" s="48" t="str">
        <x:v>สายสนับสนุนทางการแพทย์</x:v>
      </x:c>
      <x:c r="G52" s="57" t="n">
        <x:v>4</x:v>
      </x:c>
      <x:c r="H52" s="57" t="n">
        <x:v>4</x:v>
      </x:c>
      <x:c r="I52" s="57" t="n">
        <x:v>4</x:v>
      </x:c>
      <x:c r="J52" s="57" t="n">
        <x:v>4</x:v>
      </x:c>
      <x:c r="K52" s="57" t="n">
        <x:v>3</x:v>
      </x:c>
      <x:c r="L52" s="57" t="n">
        <x:v>2</x:v>
      </x:c>
      <x:c r="M52" s="57" t="n">
        <x:v>2</x:v>
      </x:c>
      <x:c r="N52" s="57" t="n">
        <x:v>5</x:v>
      </x:c>
      <x:c r="O52" s="57" t="n">
        <x:v>4</x:v>
      </x:c>
      <x:c r="P52" s="57" t="n">
        <x:v>4</x:v>
      </x:c>
      <x:c r="Q52" s="57" t="n">
        <x:v>3</x:v>
      </x:c>
      <x:c r="R52" s="57" t="n">
        <x:v>3</x:v>
      </x:c>
      <x:c r="S52" s="57" t="n">
        <x:v>4</x:v>
      </x:c>
      <x:c r="T52" s="57" t="n">
        <x:v>3</x:v>
      </x:c>
      <x:c r="U52" s="57" t="n">
        <x:v>5</x:v>
      </x:c>
      <x:c r="V52" s="57" t="n">
        <x:v>2</x:v>
      </x:c>
      <x:c r="W52" s="57" t="n">
        <x:v>4</x:v>
      </x:c>
      <x:c r="X52" s="57" t="n">
        <x:v>5</x:v>
      </x:c>
      <x:c r="Y52" s="57" t="n">
        <x:v>5</x:v>
      </x:c>
      <x:c r="Z52" s="57" t="n">
        <x:v>4</x:v>
      </x:c>
      <x:c r="AA52" s="57" t="n">
        <x:v>4</x:v>
      </x:c>
      <x:c r="AB52" s="57" t="n">
        <x:v>4</x:v>
      </x:c>
      <x:c r="AC52" s="57" t="n">
        <x:v>5</x:v>
      </x:c>
      <x:c r="AD52" s="57" t="n">
        <x:v>3</x:v>
      </x:c>
      <x:c r="AE52" s="57" t="n">
        <x:v>5</x:v>
      </x:c>
      <x:c r="AF52" s="57" t="n">
        <x:v>5</x:v>
      </x:c>
      <x:c r="AG52" s="57" t="n">
        <x:v>5</x:v>
      </x:c>
      <x:c r="AH52" s="57" t="n">
        <x:v>4</x:v>
      </x:c>
      <x:c r="AI52" s="57" t="n">
        <x:v>1</x:v>
      </x:c>
      <x:c r="AJ52" s="57" t="n">
        <x:v>1</x:v>
      </x:c>
      <x:c r="AK52" s="57" t="n">
        <x:v>1</x:v>
      </x:c>
      <x:c r="AL52" s="57" t="n">
        <x:v>5</x:v>
      </x:c>
      <x:c r="AM52" s="48" t="str">
        <x:v>ไม่มี</x:v>
      </x:c>
      <x:c r="AN52" s="49" t="str"/>
    </x:row>
    <x:row r="53">
      <x:c r="A53" s="54" t="str">
        <x:v>Yes</x:v>
      </x:c>
      <x:c r="B53" s="57" t="n">
        <x:v>52</x:v>
      </x:c>
      <x:c r="C53" s="60" t="n">
        <x:v>46248.903350196764</x:v>
      </x:c>
      <x:c r="D53" s="48" t="str">
        <x:v>ฝ่ายการพยาบาล</x:v>
      </x:c>
      <x:c r="E53" s="48" t="str">
        <x:v>สายสนับสนุนทางการแพทย์</x:v>
      </x:c>
      <x:c r="F53" s="48" t="str">
        <x:v>สายสนับสนุนทางการแพทย์</x:v>
      </x:c>
      <x:c r="G53" s="57" t="n">
        <x:v>5</x:v>
      </x:c>
      <x:c r="H53" s="57" t="n">
        <x:v>5</x:v>
      </x:c>
      <x:c r="I53" s="57" t="n">
        <x:v>1</x:v>
      </x:c>
      <x:c r="J53" s="57" t="n">
        <x:v>4</x:v>
      </x:c>
      <x:c r="K53" s="57" t="n">
        <x:v>1</x:v>
      </x:c>
      <x:c r="L53" s="57" t="n">
        <x:v>4</x:v>
      </x:c>
      <x:c r="M53" s="57" t="n">
        <x:v>1</x:v>
      </x:c>
      <x:c r="N53" s="57" t="n">
        <x:v>5</x:v>
      </x:c>
      <x:c r="O53" s="57" t="n">
        <x:v>5</x:v>
      </x:c>
      <x:c r="P53" s="57" t="n">
        <x:v>1</x:v>
      </x:c>
      <x:c r="Q53" s="57" t="n">
        <x:v>1</x:v>
      </x:c>
      <x:c r="R53" s="57" t="n">
        <x:v>1</x:v>
      </x:c>
      <x:c r="S53" s="57" t="n">
        <x:v>5</x:v>
      </x:c>
      <x:c r="T53" s="57" t="n">
        <x:v>1</x:v>
      </x:c>
      <x:c r="U53" s="57" t="n">
        <x:v>5</x:v>
      </x:c>
      <x:c r="V53" s="57" t="n">
        <x:v>1</x:v>
      </x:c>
      <x:c r="W53" s="57" t="n">
        <x:v>5</x:v>
      </x:c>
      <x:c r="X53" s="57" t="n">
        <x:v>5</x:v>
      </x:c>
      <x:c r="Y53" s="57" t="n">
        <x:v>5</x:v>
      </x:c>
      <x:c r="Z53" s="57" t="n">
        <x:v>5</x:v>
      </x:c>
      <x:c r="AA53" s="57" t="n">
        <x:v>5</x:v>
      </x:c>
      <x:c r="AB53" s="57" t="n">
        <x:v>5</x:v>
      </x:c>
      <x:c r="AC53" s="57" t="n">
        <x:v>5</x:v>
      </x:c>
      <x:c r="AD53" s="57" t="n">
        <x:v>1</x:v>
      </x:c>
      <x:c r="AE53" s="57" t="n">
        <x:v>5</x:v>
      </x:c>
      <x:c r="AF53" s="57" t="n">
        <x:v>5</x:v>
      </x:c>
      <x:c r="AG53" s="57" t="n">
        <x:v>5</x:v>
      </x:c>
      <x:c r="AH53" s="57" t="n">
        <x:v>5</x:v>
      </x:c>
      <x:c r="AI53" s="57" t="n">
        <x:v>1</x:v>
      </x:c>
      <x:c r="AJ53" s="57" t="n">
        <x:v>1</x:v>
      </x:c>
      <x:c r="AK53" s="57" t="n">
        <x:v>1</x:v>
      </x:c>
      <x:c r="AL53" s="57" t="n">
        <x:v>5</x:v>
      </x:c>
      <x:c r="AM53" s="48" t="str">
        <x:v>มีความรับผิดชอบในการทำงาน ตั้งใจทำงานทำงานด้วยความรอบคอบ ถูกต้อง แม่นยำ</x:v>
      </x:c>
      <x:c r="AN53" s="49" t="str"/>
    </x:row>
    <x:row r="54">
      <x:c r="A54" s="54" t="str">
        <x:v>Yes</x:v>
      </x:c>
      <x:c r="B54" s="57" t="n">
        <x:v>53</x:v>
      </x:c>
      <x:c r="C54" s="60" t="n">
        <x:v>46248.940497986114</x:v>
      </x:c>
      <x:c r="D54" s="48" t="str">
        <x:v>ห้องยา</x:v>
      </x:c>
      <x:c r="E54" s="48" t="str">
        <x:v>สายสนับสนุนทางการแพทย์</x:v>
      </x:c>
      <x:c r="F54" s="48" t="str">
        <x:v>สายสนับสนุนทางการแพทย์</x:v>
      </x:c>
      <x:c r="G54" s="57" t="n">
        <x:v>5</x:v>
      </x:c>
      <x:c r="H54" s="57" t="n">
        <x:v>5</x:v>
      </x:c>
      <x:c r="I54" s="57" t="n">
        <x:v>2</x:v>
      </x:c>
      <x:c r="J54" s="57" t="n">
        <x:v>4</x:v>
      </x:c>
      <x:c r="K54" s="57" t="n">
        <x:v>4</x:v>
      </x:c>
      <x:c r="L54" s="57" t="n">
        <x:v>4</x:v>
      </x:c>
      <x:c r="M54" s="57" t="n">
        <x:v>2</x:v>
      </x:c>
      <x:c r="N54" s="57" t="n">
        <x:v>5</x:v>
      </x:c>
      <x:c r="O54" s="57" t="n">
        <x:v>3</x:v>
      </x:c>
      <x:c r="P54" s="57" t="n">
        <x:v>3</x:v>
      </x:c>
      <x:c r="Q54" s="57" t="n">
        <x:v>4</x:v>
      </x:c>
      <x:c r="R54" s="57" t="n">
        <x:v>3</x:v>
      </x:c>
      <x:c r="S54" s="57" t="n">
        <x:v>3</x:v>
      </x:c>
      <x:c r="T54" s="57" t="n">
        <x:v>1</x:v>
      </x:c>
      <x:c r="U54" s="57" t="n">
        <x:v>4</x:v>
      </x:c>
      <x:c r="V54" s="57" t="n">
        <x:v>3</x:v>
      </x:c>
      <x:c r="W54" s="57" t="n">
        <x:v>4</x:v>
      </x:c>
      <x:c r="X54" s="57" t="n">
        <x:v>4</x:v>
      </x:c>
      <x:c r="Y54" s="57" t="n">
        <x:v>4</x:v>
      </x:c>
      <x:c r="Z54" s="57" t="n">
        <x:v>4</x:v>
      </x:c>
      <x:c r="AA54" s="57" t="n">
        <x:v>5</x:v>
      </x:c>
      <x:c r="AB54" s="57" t="n">
        <x:v>4</x:v>
      </x:c>
      <x:c r="AC54" s="57" t="n">
        <x:v>5</x:v>
      </x:c>
      <x:c r="AD54" s="57" t="n">
        <x:v>3</x:v>
      </x:c>
      <x:c r="AE54" s="57" t="n">
        <x:v>3</x:v>
      </x:c>
      <x:c r="AF54" s="57" t="n">
        <x:v>2</x:v>
      </x:c>
      <x:c r="AG54" s="57" t="n">
        <x:v>5</x:v>
      </x:c>
      <x:c r="AH54" s="57" t="n">
        <x:v>4</x:v>
      </x:c>
      <x:c r="AI54" s="57" t="n">
        <x:v>1</x:v>
      </x:c>
      <x:c r="AJ54" s="57" t="n">
        <x:v>1</x:v>
      </x:c>
      <x:c r="AK54" s="57" t="n">
        <x:v>1</x:v>
      </x:c>
      <x:c r="AL54" s="57" t="n">
        <x:v>4</x:v>
      </x:c>
      <x:c r="AM54" s="48" t="str">
        <x:v>ขาดแคลนแพทย์เฉพาะทาง</x:v>
      </x:c>
      <x:c r="AN54" s="49" t="str"/>
    </x:row>
    <x:row r="55">
      <x:c r="A55" s="54" t="str">
        <x:v>Yes</x:v>
      </x:c>
      <x:c r="B55" s="57" t="n">
        <x:v>54</x:v>
      </x:c>
      <x:c r="C55" s="60" t="n">
        <x:v>46248.98454614583</x:v>
      </x:c>
      <x:c r="D55" s="48" t="str">
        <x:v>ห้องแลป</x:v>
      </x:c>
      <x:c r="E55" s="48" t="str">
        <x:v>สายสนับสนุนทางการแพทย์</x:v>
      </x:c>
      <x:c r="F55" s="48" t="str">
        <x:v>สายสนับสนุนทางการแพทย์</x:v>
      </x:c>
      <x:c r="G55" s="57" t="n">
        <x:v>3</x:v>
      </x:c>
      <x:c r="H55" s="57" t="n">
        <x:v>3</x:v>
      </x:c>
      <x:c r="I55" s="57" t="n">
        <x:v>5</x:v>
      </x:c>
      <x:c r="J55" s="57" t="n">
        <x:v>4</x:v>
      </x:c>
      <x:c r="K55" s="57" t="n">
        <x:v>3</x:v>
      </x:c>
      <x:c r="L55" s="57" t="n">
        <x:v>2</x:v>
      </x:c>
      <x:c r="M55" s="57" t="n">
        <x:v>3</x:v>
      </x:c>
      <x:c r="N55" s="57" t="n">
        <x:v>4</x:v>
      </x:c>
      <x:c r="O55" s="57" t="n">
        <x:v>3</x:v>
      </x:c>
      <x:c r="P55" s="57" t="n">
        <x:v>3</x:v>
      </x:c>
      <x:c r="Q55" s="57" t="n">
        <x:v>2</x:v>
      </x:c>
      <x:c r="R55" s="57" t="n">
        <x:v>4</x:v>
      </x:c>
      <x:c r="S55" s="57" t="n">
        <x:v>4</x:v>
      </x:c>
      <x:c r="T55" s="57" t="n">
        <x:v>2</x:v>
      </x:c>
      <x:c r="U55" s="57" t="n">
        <x:v>2</x:v>
      </x:c>
      <x:c r="V55" s="57" t="n">
        <x:v>3</x:v>
      </x:c>
      <x:c r="W55" s="57" t="n">
        <x:v>3</x:v>
      </x:c>
      <x:c r="X55" s="57" t="n">
        <x:v>3</x:v>
      </x:c>
      <x:c r="Y55" s="57" t="n">
        <x:v>3</x:v>
      </x:c>
      <x:c r="Z55" s="57" t="n">
        <x:v>3</x:v>
      </x:c>
      <x:c r="AA55" s="57" t="n">
        <x:v>3</x:v>
      </x:c>
      <x:c r="AB55" s="57" t="n">
        <x:v>3</x:v>
      </x:c>
      <x:c r="AC55" s="57" t="n">
        <x:v>3</x:v>
      </x:c>
      <x:c r="AD55" s="57" t="n">
        <x:v>3</x:v>
      </x:c>
      <x:c r="AE55" s="57" t="n">
        <x:v>3</x:v>
      </x:c>
      <x:c r="AF55" s="57" t="n">
        <x:v>3</x:v>
      </x:c>
      <x:c r="AG55" s="57" t="n">
        <x:v>4</x:v>
      </x:c>
      <x:c r="AH55" s="57" t="n">
        <x:v>3</x:v>
      </x:c>
      <x:c r="AI55" s="57" t="n">
        <x:v>3</x:v>
      </x:c>
      <x:c r="AJ55" s="57" t="n">
        <x:v>2</x:v>
      </x:c>
      <x:c r="AK55" s="57" t="n">
        <x:v>2</x:v>
      </x:c>
      <x:c r="AL55" s="57" t="n">
        <x:v>2</x:v>
      </x:c>
      <x:c r="AM55" s="48" t="str">
        <x:v>มีความปลอดภัยที่ไว้วางใจได้</x:v>
      </x:c>
      <x:c r="AN55" s="49" t="str"/>
    </x:row>
    <x:row r="56">
      <x:c r="A56" s="54" t="str">
        <x:v>Yes</x:v>
      </x:c>
      <x:c r="B56" s="57" t="n">
        <x:v>55</x:v>
      </x:c>
      <x:c r="C56" s="60" t="n">
        <x:v>46249.00741259259</x:v>
      </x:c>
      <x:c r="D56" s="48" t="str">
        <x:v>ผู้ป่วยสัมพันธ์</x:v>
      </x:c>
      <x:c r="E56" s="48" t="str">
        <x:v>สายสนับสนุนทางการแพทย์</x:v>
      </x:c>
      <x:c r="F56" s="48" t="str">
        <x:v>สายสนับสนุนทางการแพทย์</x:v>
      </x:c>
      <x:c r="G56" s="57" t="n">
        <x:v>4</x:v>
      </x:c>
      <x:c r="H56" s="57" t="n">
        <x:v>4</x:v>
      </x:c>
      <x:c r="I56" s="57" t="n">
        <x:v>3</x:v>
      </x:c>
      <x:c r="J56" s="57" t="n">
        <x:v>3</x:v>
      </x:c>
      <x:c r="K56" s="57" t="n">
        <x:v>2</x:v>
      </x:c>
      <x:c r="L56" s="57" t="n">
        <x:v>3</x:v>
      </x:c>
      <x:c r="M56" s="57" t="n">
        <x:v>3</x:v>
      </x:c>
      <x:c r="N56" s="57" t="n">
        <x:v>4</x:v>
      </x:c>
      <x:c r="O56" s="57" t="n">
        <x:v>4</x:v>
      </x:c>
      <x:c r="P56" s="57" t="n">
        <x:v>1</x:v>
      </x:c>
      <x:c r="Q56" s="57" t="n">
        <x:v>4</x:v>
      </x:c>
      <x:c r="R56" s="57" t="n">
        <x:v>4</x:v>
      </x:c>
      <x:c r="S56" s="57" t="n">
        <x:v>4</x:v>
      </x:c>
      <x:c r="T56" s="57" t="n">
        <x:v>1</x:v>
      </x:c>
      <x:c r="U56" s="57" t="n">
        <x:v>5</x:v>
      </x:c>
      <x:c r="V56" s="57" t="n">
        <x:v>1</x:v>
      </x:c>
      <x:c r="W56" s="57" t="n">
        <x:v>5</x:v>
      </x:c>
      <x:c r="X56" s="57" t="n">
        <x:v>5</x:v>
      </x:c>
      <x:c r="Y56" s="57" t="n">
        <x:v>5</x:v>
      </x:c>
      <x:c r="Z56" s="57" t="n">
        <x:v>5</x:v>
      </x:c>
      <x:c r="AA56" s="57" t="n">
        <x:v>5</x:v>
      </x:c>
      <x:c r="AB56" s="57" t="n">
        <x:v>4</x:v>
      </x:c>
      <x:c r="AC56" s="57" t="n">
        <x:v>4</x:v>
      </x:c>
      <x:c r="AD56" s="57" t="n">
        <x:v>2</x:v>
      </x:c>
      <x:c r="AE56" s="57" t="n">
        <x:v>5</x:v>
      </x:c>
      <x:c r="AF56" s="57" t="n">
        <x:v>5</x:v>
      </x:c>
      <x:c r="AG56" s="57" t="n">
        <x:v>5</x:v>
      </x:c>
      <x:c r="AH56" s="57" t="n">
        <x:v>5</x:v>
      </x:c>
      <x:c r="AI56" s="57" t="n">
        <x:v>1</x:v>
      </x:c>
      <x:c r="AJ56" s="57" t="n">
        <x:v>1</x:v>
      </x:c>
      <x:c r="AK56" s="57" t="n">
        <x:v>1</x:v>
      </x:c>
      <x:c r="AL56" s="57" t="n">
        <x:v>5</x:v>
      </x:c>
      <x:c r="AM56" s="48" t="str">
        <x:v>-</x:v>
      </x:c>
      <x:c r="AN56" s="49" t="str"/>
    </x:row>
    <x:row r="57">
      <x:c r="A57" s="54" t="str">
        <x:v>Yes</x:v>
      </x:c>
      <x:c r="B57" s="57" t="n">
        <x:v>56</x:v>
      </x:c>
      <x:c r="C57" s="60" t="n">
        <x:v>46249.2709694213</x:v>
      </x:c>
      <x:c r="D57" s="48" t="str">
        <x:v>ห้องเอ็กซเรย์</x:v>
      </x:c>
      <x:c r="E57" s="48" t="str">
        <x:v>สายสนับสนุนทางการแพทย์</x:v>
      </x:c>
      <x:c r="F57" s="48" t="str">
        <x:v>สายสนับสนุนทางการแพทย์</x:v>
      </x:c>
      <x:c r="G57" s="57" t="n">
        <x:v>4</x:v>
      </x:c>
      <x:c r="H57" s="57" t="n">
        <x:v>4</x:v>
      </x:c>
      <x:c r="I57" s="57" t="n">
        <x:v>1</x:v>
      </x:c>
      <x:c r="J57" s="57" t="n">
        <x:v>4</x:v>
      </x:c>
      <x:c r="K57" s="57" t="n">
        <x:v>4</x:v>
      </x:c>
      <x:c r="L57" s="57" t="n">
        <x:v>4</x:v>
      </x:c>
      <x:c r="M57" s="57" t="n">
        <x:v>2</x:v>
      </x:c>
      <x:c r="N57" s="57" t="n">
        <x:v>4</x:v>
      </x:c>
      <x:c r="O57" s="57" t="n">
        <x:v>4</x:v>
      </x:c>
      <x:c r="P57" s="57" t="n">
        <x:v>2</x:v>
      </x:c>
      <x:c r="Q57" s="57" t="n">
        <x:v>2</x:v>
      </x:c>
      <x:c r="R57" s="57" t="n">
        <x:v>3</x:v>
      </x:c>
      <x:c r="S57" s="57" t="n">
        <x:v>3</x:v>
      </x:c>
      <x:c r="T57" s="57" t="n">
        <x:v>1</x:v>
      </x:c>
      <x:c r="U57" s="57" t="n">
        <x:v>4</x:v>
      </x:c>
      <x:c r="V57" s="57" t="n">
        <x:v>3</x:v>
      </x:c>
      <x:c r="W57" s="57" t="n">
        <x:v>4</x:v>
      </x:c>
      <x:c r="X57" s="57" t="n">
        <x:v>3</x:v>
      </x:c>
      <x:c r="Y57" s="57" t="n">
        <x:v>4</x:v>
      </x:c>
      <x:c r="Z57" s="57" t="n">
        <x:v>3</x:v>
      </x:c>
      <x:c r="AA57" s="57" t="n">
        <x:v>3</x:v>
      </x:c>
      <x:c r="AB57" s="57" t="n">
        <x:v>3</x:v>
      </x:c>
      <x:c r="AC57" s="57" t="n">
        <x:v>3</x:v>
      </x:c>
      <x:c r="AD57" s="57" t="n">
        <x:v>3</x:v>
      </x:c>
      <x:c r="AE57" s="57" t="n">
        <x:v>3</x:v>
      </x:c>
      <x:c r="AF57" s="57" t="n">
        <x:v>3</x:v>
      </x:c>
      <x:c r="AG57" s="57" t="n">
        <x:v>4</x:v>
      </x:c>
      <x:c r="AH57" s="57" t="n">
        <x:v>4</x:v>
      </x:c>
      <x:c r="AI57" s="57" t="n">
        <x:v>2</x:v>
      </x:c>
      <x:c r="AJ57" s="57" t="n">
        <x:v>3</x:v>
      </x:c>
      <x:c r="AK57" s="57" t="n">
        <x:v>3</x:v>
      </x:c>
      <x:c r="AL57" s="57" t="n">
        <x:v>4</x:v>
      </x:c>
      <x:c r="AM57" s="48" t="str">
        <x:v>มีความปลอดภัยอยู่มาก</x:v>
      </x:c>
      <x:c r="AN57" s="49" t="str"/>
    </x:row>
    <x:row r="58">
      <x:c r="A58" s="54" t="str">
        <x:v>Yes</x:v>
      </x:c>
      <x:c r="B58" s="57" t="n">
        <x:v>57</x:v>
      </x:c>
      <x:c r="C58" s="60" t="n">
        <x:v>46249.42187002314</x:v>
      </x:c>
      <x:c r="D58" s="48" t="str">
        <x:v>ผู้ป่วยสัมพันธ์</x:v>
      </x:c>
      <x:c r="E58" s="48" t="str">
        <x:v>สายสนับสนุนทั่วไป</x:v>
      </x:c>
      <x:c r="F58" s="48" t="str">
        <x:v>สายสนับสนุนทั่วไป</x:v>
      </x:c>
      <x:c r="G58" s="57" t="n">
        <x:v>3</x:v>
      </x:c>
      <x:c r="H58" s="57" t="n">
        <x:v>3</x:v>
      </x:c>
      <x:c r="I58" s="57" t="n">
        <x:v>5</x:v>
      </x:c>
      <x:c r="J58" s="57" t="n">
        <x:v>2</x:v>
      </x:c>
      <x:c r="K58" s="57" t="n">
        <x:v>2</x:v>
      </x:c>
      <x:c r="L58" s="57" t="n">
        <x:v>4</x:v>
      </x:c>
      <x:c r="M58" s="57" t="n">
        <x:v>2</x:v>
      </x:c>
      <x:c r="N58" s="57" t="n">
        <x:v>3</x:v>
      </x:c>
      <x:c r="O58" s="57" t="n">
        <x:v>5</x:v>
      </x:c>
      <x:c r="P58" s="57" t="n">
        <x:v>4</x:v>
      </x:c>
      <x:c r="Q58" s="57" t="n">
        <x:v>5</x:v>
      </x:c>
      <x:c r="R58" s="57" t="n">
        <x:v>5</x:v>
      </x:c>
      <x:c r="S58" s="57" t="n">
        <x:v>2</x:v>
      </x:c>
      <x:c r="T58" s="57" t="n">
        <x:v>5</x:v>
      </x:c>
      <x:c r="U58" s="57" t="n">
        <x:v>3</x:v>
      </x:c>
      <x:c r="V58" s="57" t="n">
        <x:v>3</x:v>
      </x:c>
      <x:c r="W58" s="57" t="n">
        <x:v>3</x:v>
      </x:c>
      <x:c r="X58" s="57" t="n">
        <x:v>4</x:v>
      </x:c>
      <x:c r="Y58" s="57" t="n">
        <x:v>3</x:v>
      </x:c>
      <x:c r="Z58" s="57" t="n">
        <x:v>4</x:v>
      </x:c>
      <x:c r="AA58" s="57" t="n">
        <x:v>3</x:v>
      </x:c>
      <x:c r="AB58" s="57" t="n">
        <x:v>3</x:v>
      </x:c>
      <x:c r="AC58" s="57" t="n">
        <x:v>4</x:v>
      </x:c>
      <x:c r="AD58" s="57" t="n">
        <x:v>5</x:v>
      </x:c>
      <x:c r="AE58" s="57" t="n">
        <x:v>3</x:v>
      </x:c>
      <x:c r="AF58" s="57" t="n">
        <x:v>3</x:v>
      </x:c>
      <x:c r="AG58" s="57" t="n">
        <x:v>5</x:v>
      </x:c>
      <x:c r="AH58" s="57" t="n">
        <x:v>2</x:v>
      </x:c>
      <x:c r="AI58" s="57" t="n">
        <x:v>2</x:v>
      </x:c>
      <x:c r="AJ58" s="57" t="n">
        <x:v>2</x:v>
      </x:c>
      <x:c r="AK58" s="57" t="n">
        <x:v>2</x:v>
      </x:c>
      <x:c r="AL58" s="57" t="n">
        <x:v>2</x:v>
      </x:c>
      <x:c r="AM58" s="48" t="str">
        <x:v>อย่กให้พนักงานช่วยกันดูแลใส่ใจเรื่องการบริการกับคนป่วยและญาติเพื่อป้องกันการร้องเรียน</x:v>
      </x:c>
      <x:c r="AN58" s="49" t="str"/>
    </x:row>
    <x:row r="59">
      <x:c r="A59" s="55" t="str">
        <x:v>Yes</x:v>
      </x:c>
      <x:c r="B59" s="58" t="n">
        <x:v>58</x:v>
      </x:c>
      <x:c r="C59" s="61" t="n">
        <x:v>46249.501615243054</x:v>
      </x:c>
      <x:c r="D59" s="51" t="str">
        <x:v>IPD</x:v>
      </x:c>
      <x:c r="E59" s="51" t="str">
        <x:v>ผู้บริหาร</x:v>
      </x:c>
      <x:c r="F59" s="51" t="str">
        <x:v>ผู้บริหาร</x:v>
      </x:c>
      <x:c r="G59" s="58" t="n">
        <x:v>5</x:v>
      </x:c>
      <x:c r="H59" s="58" t="n">
        <x:v>4</x:v>
      </x:c>
      <x:c r="I59" s="58" t="n">
        <x:v>2</x:v>
      </x:c>
      <x:c r="J59" s="58" t="n">
        <x:v>4</x:v>
      </x:c>
      <x:c r="K59" s="58" t="n">
        <x:v>4</x:v>
      </x:c>
      <x:c r="L59" s="58" t="n">
        <x:v>4</x:v>
      </x:c>
      <x:c r="M59" s="58" t="n">
        <x:v>3</x:v>
      </x:c>
      <x:c r="N59" s="58" t="n">
        <x:v>4</x:v>
      </x:c>
      <x:c r="O59" s="58" t="n">
        <x:v>4</x:v>
      </x:c>
      <x:c r="P59" s="58" t="n">
        <x:v>2</x:v>
      </x:c>
      <x:c r="Q59" s="58" t="n">
        <x:v>3</x:v>
      </x:c>
      <x:c r="R59" s="58" t="n">
        <x:v>3</x:v>
      </x:c>
      <x:c r="S59" s="58" t="n">
        <x:v>4</x:v>
      </x:c>
      <x:c r="T59" s="58" t="n">
        <x:v>3</x:v>
      </x:c>
      <x:c r="U59" s="58" t="n">
        <x:v>4</x:v>
      </x:c>
      <x:c r="V59" s="58" t="n">
        <x:v>2</x:v>
      </x:c>
      <x:c r="W59" s="58" t="n">
        <x:v>4</x:v>
      </x:c>
      <x:c r="X59" s="58" t="n">
        <x:v>4</x:v>
      </x:c>
      <x:c r="Y59" s="58" t="n">
        <x:v>4</x:v>
      </x:c>
      <x:c r="Z59" s="58" t="n">
        <x:v>4</x:v>
      </x:c>
      <x:c r="AA59" s="58" t="n">
        <x:v>4</x:v>
      </x:c>
      <x:c r="AB59" s="58" t="n">
        <x:v>4</x:v>
      </x:c>
      <x:c r="AC59" s="58" t="n">
        <x:v>4</x:v>
      </x:c>
      <x:c r="AD59" s="58" t="n">
        <x:v>3</x:v>
      </x:c>
      <x:c r="AE59" s="58" t="n">
        <x:v>4</x:v>
      </x:c>
      <x:c r="AF59" s="58" t="n">
        <x:v>5</x:v>
      </x:c>
      <x:c r="AG59" s="58" t="n">
        <x:v>5</x:v>
      </x:c>
      <x:c r="AH59" s="58" t="n">
        <x:v>5</x:v>
      </x:c>
      <x:c r="AI59" s="58" t="n">
        <x:v>5</x:v>
      </x:c>
      <x:c r="AJ59" s="58" t="n">
        <x:v>1</x:v>
      </x:c>
      <x:c r="AK59" s="58" t="n">
        <x:v>2</x:v>
      </x:c>
      <x:c r="AL59" s="58" t="n">
        <x:v>4</x:v>
      </x:c>
      <x:c r="AM59" s="51" t="str">
        <x:v>-</x:v>
      </x:c>
      <x:c r="AN59" s="52" t="str"/>
    </x:row>
  </x:sheetData>
  <x:dataValidations count="1">
    <x:dataValidation type="list" sqref="A2:A59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99a6519f7f485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95" hidden="0" customWidth="1"/>
  </x:cols>
  <x:sheetData>
    <x:row r="1">
      <x:c r="A1" s="67" t="str">
        <x:v>Item_Code</x:v>
      </x:c>
      <x:c r="B1" s="67" t="str">
        <x:v>Dimension</x:v>
      </x:c>
      <x:c r="C1" s="67" t="str">
        <x:v>Section</x:v>
      </x:c>
      <x:c r="D1" s="67" t="str">
        <x:v>Calculation_Type</x:v>
      </x:c>
      <x:c r="E1" s="67" t="str">
        <x:v>Negative_Item</x:v>
      </x:c>
      <x:c r="F1" s="67" t="str">
        <x:v>Positive_Rule</x:v>
      </x:c>
      <x:c r="G1" s="67" t="str">
        <x:v>Question_TH</x:v>
      </x:c>
    </x:row>
    <x:row r="2" ht="38" customHeight="1">
      <x:c r="A2" s="77" t="str">
        <x:v>A1</x:v>
      </x:c>
      <x:c r="B2" s="78" t="str">
        <x:v>1. การทำงานเป็นทีม</x:v>
      </x:c>
      <x:c r="C2" s="78" t="str">
        <x:v>A</x:v>
      </x:c>
      <x:c r="D2" s="78" t="str">
        <x:v>Positive</x:v>
      </x:c>
      <x:c r="E2" s="78" t="str">
        <x:v>No</x:v>
      </x:c>
      <x:c r="F2" s="78" t="str">
        <x:v>4 หรือ 5</x:v>
      </x:c>
      <x:c r="G2" s="79" t="str">
        <x:v>ในหน่วยงานหรือพื้นที่ที่ท่านทำงานอยู่ ทุกคนทำงานร่วมกันเป็นทีมอย่างมีประสิทธิภาพ</x:v>
      </x:c>
    </x:row>
    <x:row r="3" ht="38" customHeight="1">
      <x:c r="A3" s="80" t="str">
        <x:v>A8</x:v>
      </x:c>
      <x:c r="B3" s="81" t="str">
        <x:v>1. การทำงานเป็นทีม</x:v>
      </x:c>
      <x:c r="C3" s="81" t="str">
        <x:v>A</x:v>
      </x:c>
      <x:c r="D3" s="81" t="str">
        <x:v>Positive</x:v>
      </x:c>
      <x:c r="E3" s="81" t="str">
        <x:v>No</x:v>
      </x:c>
      <x:c r="F3" s="81" t="str">
        <x:v>4 หรือ 5</x:v>
      </x:c>
      <x:c r="G3" s="82" t="str">
        <x:v>ในช่วงเวลาที่มีภาระงานยุ่งมาก หรือยาก บุคลากรในหน่วยงานที่ท่านทำงานอยู่จะช่วยเหลือซึ่งกันและกันอย่างดี</x:v>
      </x:c>
    </x:row>
    <x:row r="4" ht="38" customHeight="1">
      <x:c r="A4" s="80" t="str">
        <x:v>A9</x:v>
      </x:c>
      <x:c r="B4" s="81" t="str">
        <x:v>1. การทำงานเป็นทีม</x:v>
      </x:c>
      <x:c r="C4" s="81" t="str">
        <x:v>A</x:v>
      </x:c>
      <x:c r="D4" s="81" t="str">
        <x:v>Positive</x:v>
      </x:c>
      <x:c r="E4" s="81" t="str">
        <x:v>Yes</x:v>
      </x:c>
      <x:c r="F4" s="81" t="str">
        <x:v>1 หรือ 2</x:v>
      </x:c>
      <x:c r="G4" s="82" t="str">
        <x:v>ในหน่วยงานที่ท่านทำงานอยู่มีปัญหาเรื่องพฤติกรรมในการทำงานของบุคลากรที่ไม่เคารพซึ่งกันและกัน</x:v>
      </x:c>
    </x:row>
    <x:row r="5" ht="38" customHeight="1">
      <x:c r="A5" s="80" t="str">
        <x:v>A2</x:v>
      </x:c>
      <x:c r="B5" s="81" t="str">
        <x:v>2. บุคลากรและพื้นที่การทำงาน</x:v>
      </x:c>
      <x:c r="C5" s="81" t="str">
        <x:v>A</x:v>
      </x:c>
      <x:c r="D5" s="81" t="str">
        <x:v>Positive</x:v>
      </x:c>
      <x:c r="E5" s="81" t="str">
        <x:v>No</x:v>
      </x:c>
      <x:c r="F5" s="81" t="str">
        <x:v>4 หรือ 5</x:v>
      </x:c>
      <x:c r="G5" s="82" t="str">
        <x:v>ในหน่วยงานหรือพื้นที่นี้มีจำนวนบุคลากรในการทำงานที่เพียงพอที่จะรับมือกับปริมาณงานหรือภาระงานของหน่วยงานที่กำหนด</x:v>
      </x:c>
    </x:row>
    <x:row r="6" ht="38" customHeight="1">
      <x:c r="A6" s="80" t="str">
        <x:v>A3</x:v>
      </x:c>
      <x:c r="B6" s="81" t="str">
        <x:v>2. บุคลากรและพื้นที่การทำงาน</x:v>
      </x:c>
      <x:c r="C6" s="81" t="str">
        <x:v>A</x:v>
      </x:c>
      <x:c r="D6" s="81" t="str">
        <x:v>Positive</x:v>
      </x:c>
      <x:c r="E6" s="81" t="str">
        <x:v>Yes</x:v>
      </x:c>
      <x:c r="F6" s="81" t="str">
        <x:v>1 หรือ 2</x:v>
      </x:c>
      <x:c r="G6" s="82" t="str">
        <x:v>ในหน่วยงานที่ท่านทำงานมีบุคลากรที่ทำงานจำนวนชั่วโมงต่อเนื่องยาวนานมากกว่าที่เหมาะสมต่อการดูแลผู้ป่วยหรือผู้รับบริการได้ดี</x:v>
      </x:c>
    </x:row>
    <x:row r="7" ht="38" customHeight="1">
      <x:c r="A7" s="80" t="str">
        <x:v>A5</x:v>
      </x:c>
      <x:c r="B7" s="81" t="str">
        <x:v>2. บุคลากรและพื้นที่การทำงาน</x:v>
      </x:c>
      <x:c r="C7" s="81" t="str">
        <x:v>A</x:v>
      </x:c>
      <x:c r="D7" s="81" t="str">
        <x:v>Positive</x:v>
      </x:c>
      <x:c r="E7" s="81" t="str">
        <x:v>Yes</x:v>
      </x:c>
      <x:c r="F7" s="81" t="str">
        <x:v>1 หรือ 2</x:v>
      </x:c>
      <x:c r="G7" s="82" t="str">
        <x:v>หน่วยงานที่ท่านทำงานอยู่ต้องอาศัยหรือพึ่งพาบุคลากรที่มาช่วยทำงานชั่วคราว บุคลากรที่หมุนเวียนมาทำงาน หรือที่ทำงานเฉพาะช่วงที่กำหนดเป็นครั้งๆ มากเกินไป</x:v>
      </x:c>
    </x:row>
    <x:row r="8" ht="38" customHeight="1">
      <x:c r="A8" s="80" t="str">
        <x:v>A11</x:v>
      </x:c>
      <x:c r="B8" s="81" t="str">
        <x:v>2. บุคลากรและพื้นที่การทำงาน</x:v>
      </x:c>
      <x:c r="C8" s="81" t="str">
        <x:v>A</x:v>
      </x:c>
      <x:c r="D8" s="81" t="str">
        <x:v>Positive</x:v>
      </x:c>
      <x:c r="E8" s="81" t="str">
        <x:v>Yes</x:v>
      </x:c>
      <x:c r="F8" s="81" t="str">
        <x:v>1 หรือ 2</x:v>
      </x:c>
      <x:c r="G8" s="82" t="str">
        <x:v>หน่วยงานที่ท่านทำงานอยู่มักจะเร่งรีบในการทำงานมากเกินไปจนส่งผลกระทบในเชิงลบต่อความปลอดภัยของผู้ป่วยหรือผู้รับบริการ</x:v>
      </x:c>
    </x:row>
    <x:row r="9" ht="38" customHeight="1">
      <x:c r="A9" s="80" t="str">
        <x:v>A4</x:v>
      </x:c>
      <x:c r="B9" s="81" t="str">
        <x:v>3. การเป็นองค์กรแห่งการเรียนรู้ มีการพัฒนาอย่างต่อเนื่อง</x:v>
      </x:c>
      <x:c r="C9" s="81" t="str">
        <x:v>A</x:v>
      </x:c>
      <x:c r="D9" s="81" t="str">
        <x:v>Positive</x:v>
      </x:c>
      <x:c r="E9" s="81" t="str">
        <x:v>No</x:v>
      </x:c>
      <x:c r="F9" s="81" t="str">
        <x:v>4 หรือ 5</x:v>
      </x:c>
      <x:c r="G9" s="82" t="str">
        <x:v>หน่วยงานที่ท่านทำงานอยู่มีการทบทวนกระบวนการทำงานอย่างสม่ำเสมอเพื่อพิจารณาว่าจำเป็นต้องมีการเปลี่ยนแปลงใดบ้างที่ควรปรับปรุงแก้ไขเพื่อความปลอดภัยของผู้ป่วยหรือผู้รับบริการ</x:v>
      </x:c>
    </x:row>
    <x:row r="10" ht="38" customHeight="1">
      <x:c r="A10" s="80" t="str">
        <x:v>A12</x:v>
      </x:c>
      <x:c r="B10" s="81" t="str">
        <x:v>3. การเป็นองค์กรแห่งการเรียนรู้ มีการพัฒนาอย่างต่อเนื่อง</x:v>
      </x:c>
      <x:c r="C10" s="81" t="str">
        <x:v>A</x:v>
      </x:c>
      <x:c r="D10" s="81" t="str">
        <x:v>Positive</x:v>
      </x:c>
      <x:c r="E10" s="81" t="str">
        <x:v>No</x:v>
      </x:c>
      <x:c r="F10" s="81" t="str">
        <x:v>4 หรือ 5</x:v>
      </x:c>
      <x:c r="G10" s="82" t="str">
        <x:v>หน่วยงานที่ท่านทำงานอยู่มีการเปลี่ยนแปลงเพื่อเพิ่มความปลอดภัยให้กับผู้ป่วย/ผู้รับบริการ และมีการประเมินผลความปลอดภัยของผู้ป่วย/ผู้รับบริการว่าดีขึ้นอย่างไร</x:v>
      </x:c>
    </x:row>
    <x:row r="11" ht="38" customHeight="1">
      <x:c r="A11" s="80" t="str">
        <x:v>A14</x:v>
      </x:c>
      <x:c r="B11" s="81" t="str">
        <x:v>3. การเป็นองค์กรแห่งการเรียนรู้ มีการพัฒนาอย่างต่อเนื่อง</x:v>
      </x:c>
      <x:c r="C11" s="81" t="str">
        <x:v>A</x:v>
      </x:c>
      <x:c r="D11" s="81" t="str">
        <x:v>Positive</x:v>
      </x:c>
      <x:c r="E11" s="81" t="str">
        <x:v>Yes</x:v>
      </x:c>
      <x:c r="F11" s="81" t="str">
        <x:v>1 หรือ 2</x:v>
      </x:c>
      <x:c r="G11" s="82" t="str">
        <x:v>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x:v>
      </x:c>
    </x:row>
    <x:row r="12" ht="38" customHeight="1">
      <x:c r="A12" s="80" t="str">
        <x:v>A6</x:v>
      </x:c>
      <x:c r="B12" s="81" t="str">
        <x:v>4. การตอบสนองต่อความคลาดเคลื่อน</x:v>
      </x:c>
      <x:c r="C12" s="81" t="str">
        <x:v>A</x:v>
      </x:c>
      <x:c r="D12" s="81" t="str">
        <x:v>Positive</x:v>
      </x:c>
      <x:c r="E12" s="81" t="str">
        <x:v>Yes</x:v>
      </x:c>
      <x:c r="F12" s="81" t="str">
        <x:v>1 หรือ 2</x:v>
      </x:c>
      <x:c r="G12" s="82" t="str">
        <x:v>ในหน่วยงานที่ท่านทำงานอยู่ บุคลากรรู้สึกว่าความผิดพลาดคลาดเคลื่อนที่อาจเกิดขึ้นในการทำงานจะถูกนำมากล่าวโทษกับตัวบุคคล</x:v>
      </x:c>
    </x:row>
    <x:row r="13" ht="38" customHeight="1">
      <x:c r="A13" s="80" t="str">
        <x:v>A7</x:v>
      </x:c>
      <x:c r="B13" s="81" t="str">
        <x:v>4. การตอบสนองต่อความคลาดเคลื่อน</x:v>
      </x:c>
      <x:c r="C13" s="81" t="str">
        <x:v>A</x:v>
      </x:c>
      <x:c r="D13" s="81" t="str">
        <x:v>Positive</x:v>
      </x:c>
      <x:c r="E13" s="81" t="str">
        <x:v>Yes</x:v>
      </x:c>
      <x:c r="F13" s="81" t="str">
        <x:v>1 หรือ 2</x:v>
      </x:c>
      <x:c r="G13" s="82" t="str">
        <x:v>เมื่อมีการรายงานเหตุการณ์หรืออุบัติการณ์ในหน่วยงานที่ท่านทำงานอยู่ มักมีการระบุว่าเป็นความผิดหรือตำหนิตัวบุคคลเสมอ</x:v>
      </x:c>
    </x:row>
    <x:row r="14" ht="38" customHeight="1">
      <x:c r="A14" s="80" t="str">
        <x:v>A10</x:v>
      </x:c>
      <x:c r="B14" s="81" t="str">
        <x:v>4. การตอบสนองต่อความคลาดเคลื่อน</x:v>
      </x:c>
      <x:c r="C14" s="81" t="str">
        <x:v>A</x:v>
      </x:c>
      <x:c r="D14" s="81" t="str">
        <x:v>Positive</x:v>
      </x:c>
      <x:c r="E14" s="81" t="str">
        <x:v>No</x:v>
      </x:c>
      <x:c r="F14" s="81" t="str">
        <x:v>4 หรือ 5</x:v>
      </x:c>
      <x:c r="G14" s="82" t="str">
        <x:v>เมื่อบุคลากรทำงานผิดพลาดหรือคลาดเคลื่อน หน่วยงานที่ท่านทำงานอยู่จะมุ่งเน้นที่การเรียนรู้มากกว่าการกล่าวโทษตัวบุคคล</x:v>
      </x:c>
    </x:row>
    <x:row r="15" ht="38" customHeight="1">
      <x:c r="A15" s="80" t="str">
        <x:v>A13</x:v>
      </x:c>
      <x:c r="B15" s="81" t="str">
        <x:v>4. การตอบสนองต่อความคลาดเคลื่อน</x:v>
      </x:c>
      <x:c r="C15" s="81" t="str">
        <x:v>A</x:v>
      </x:c>
      <x:c r="D15" s="81" t="str">
        <x:v>Positive</x:v>
      </x:c>
      <x:c r="E15" s="81" t="str">
        <x:v>Yes</x:v>
      </x:c>
      <x:c r="F15" s="81" t="str">
        <x:v>1 หรือ 2</x:v>
      </x:c>
      <x:c r="G15" s="82" t="str">
        <x:v>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x:v>
      </x:c>
    </x:row>
    <x:row r="16" ht="38" customHeight="1">
      <x:c r="A16" s="80" t="str">
        <x:v>B1</x:v>
      </x:c>
      <x:c r="B16" s="81" t="str">
        <x:v>5. การสนับสนุนของหัวหน้างาน, ผู้จัดการ หรือทีมนำทางคลินิกในเรื่องความปลอดภัย</x:v>
      </x:c>
      <x:c r="C16" s="81" t="str">
        <x:v>B</x:v>
      </x:c>
      <x:c r="D16" s="81" t="str">
        <x:v>Positive</x:v>
      </x:c>
      <x:c r="E16" s="81" t="str">
        <x:v>No</x:v>
      </x:c>
      <x:c r="F16" s="81" t="str">
        <x:v>4 หรือ 5</x:v>
      </x:c>
      <x:c r="G16" s="82" t="str">
        <x:v>หัวหน้างาน หัวหน้ากลุ่มงาน ผู้จัดการ หัวหน้าทีมการดูแลผู้ป่วย หรือประธานทีมนำทางคลินิกของฉันให้ความสำคัญกับข้อเสนอแนะของบุคลากรและผู้ร่วมงานอย่างจริงจังเพื่อปรับปรุงความปลอดภัยของผู้ป่วย</x:v>
      </x:c>
    </x:row>
    <x:row r="17" ht="38" customHeight="1">
      <x:c r="A17" s="80" t="str">
        <x:v>B2</x:v>
      </x:c>
      <x:c r="B17" s="81" t="str">
        <x:v>5. การสนับสนุนของหัวหน้างาน, ผู้จัดการ หรือทีมนำทางคลินิกในเรื่องความปลอดภัย</x:v>
      </x:c>
      <x:c r="C17" s="81" t="str">
        <x:v>B</x:v>
      </x:c>
      <x:c r="D17" s="81" t="str">
        <x:v>Positive</x:v>
      </x:c>
      <x:c r="E17" s="81" t="str">
        <x:v>Yes</x:v>
      </x:c>
      <x:c r="F17" s="81" t="str">
        <x:v>1 หรือ 2</x:v>
      </x:c>
      <x:c r="G17" s="82" t="str">
        <x:v>หัวหน้างาน หัวหน้ากลุ่มงาน ผู้จัดการ หัวหน้าทีมการดูแลผู้ป่วย หรือประธานทีมนำทางคลินิกของฉันต้องการให้เราทำงานเร็วขึ้นในช่วงเวลาที่ภาระงานยุ่งยาก ชุลมุนหรือเร่งรีบ แม้ว่าต้องลัดขั้นตอนหรือกระบวนการ</x:v>
      </x:c>
    </x:row>
    <x:row r="18" ht="38" customHeight="1">
      <x:c r="A18" s="80" t="str">
        <x:v>B3</x:v>
      </x:c>
      <x:c r="B18" s="81" t="str">
        <x:v>5. การสนับสนุนของหัวหน้างาน, ผู้จัดการ หรือทีมนำทางคลินิกในเรื่องความปลอดภัย</x:v>
      </x:c>
      <x:c r="C18" s="81" t="str">
        <x:v>B</x:v>
      </x:c>
      <x:c r="D18" s="81" t="str">
        <x:v>Positive</x:v>
      </x:c>
      <x:c r="E18" s="81" t="str">
        <x:v>No</x:v>
      </x:c>
      <x:c r="F18" s="81" t="str">
        <x:v>4 หรือ 5</x:v>
      </x:c>
      <x:c r="G18" s="82" t="str">
        <x:v>หัวหน้างาน หัวหน้ากลุ่มงาน ผู้จัดการ หัวหน้าทีมการดูแลผู้ป่วย หรือประธานทีมนำทางคลินิกของฉันมีการดำเนินการเพื่อตอบและแก้ไขความกังวลเรื่องความปลอดภัยของผู้ป่วย/ผู้รับบริการที่ได้รับทราบด้วยความตั้งใจ</x:v>
      </x:c>
    </x:row>
    <x:row r="19" ht="38" customHeight="1">
      <x:c r="A19" s="80" t="str">
        <x:v>C1</x:v>
      </x:c>
      <x:c r="B19" s="81" t="str">
        <x:v>6. การสื่อสารเรื่องความคลาดเคลื่อน</x:v>
      </x:c>
      <x:c r="C19" s="81" t="str">
        <x:v>C</x:v>
      </x:c>
      <x:c r="D19" s="81" t="str">
        <x:v>Positive</x:v>
      </x:c>
      <x:c r="E19" s="81" t="str">
        <x:v>No</x:v>
      </x:c>
      <x:c r="F19" s="81" t="str">
        <x:v>4 หรือ 5</x:v>
      </x:c>
      <x:c r="G19" s="82" t="str">
        <x:v>บุคลากรได้รับการสื่อสารให้ข้อมูลกรณีเกิดความคลาดเคลื่อนขึ้นในหน่วยงานหรือพื้นที่ปฏิบัติงานของตน</x:v>
      </x:c>
    </x:row>
    <x:row r="20" ht="38" customHeight="1">
      <x:c r="A20" s="80" t="str">
        <x:v>C2</x:v>
      </x:c>
      <x:c r="B20" s="81" t="str">
        <x:v>6. การสื่อสารเรื่องความคลาดเคลื่อน</x:v>
      </x:c>
      <x:c r="C20" s="81" t="str">
        <x:v>C</x:v>
      </x:c>
      <x:c r="D20" s="81" t="str">
        <x:v>Positive</x:v>
      </x:c>
      <x:c r="E20" s="81" t="str">
        <x:v>No</x:v>
      </x:c>
      <x:c r="F20" s="81" t="str">
        <x:v>4 หรือ 5</x:v>
      </x:c>
      <x:c r="G20" s="82" t="str">
        <x:v>เมื่อเกิดข้อผิดพลาดหรือความคลาดเคลื่อนในหน่วยงานที่ทำงานอยู่ บุคลากรจะพูดถึงวิธีป้องกันความคลาดเคลื่อนไม่ให้เกิดขึ้นซ้ำอีก</x:v>
      </x:c>
    </x:row>
    <x:row r="21" ht="38" customHeight="1">
      <x:c r="A21" s="80" t="str">
        <x:v>C3</x:v>
      </x:c>
      <x:c r="B21" s="81" t="str">
        <x:v>6. การสื่อสารเรื่องความคลาดเคลื่อน</x:v>
      </x:c>
      <x:c r="C21" s="81" t="str">
        <x:v>C</x:v>
      </x:c>
      <x:c r="D21" s="81" t="str">
        <x:v>Positive</x:v>
      </x:c>
      <x:c r="E21" s="81" t="str">
        <x:v>No</x:v>
      </x:c>
      <x:c r="F21" s="81" t="str">
        <x:v>4 หรือ 5</x:v>
      </x:c>
      <x:c r="G21" s="82" t="str">
        <x:v>ในหน่วยงานที่ฉันปฏิบัติงานอยู่ บุคลากรได้รับการให้ข้อมูลหรือสื่อสารการเปลี่ยนแปลงที่เกิดขึ้นจากรายงานอุบัติการณ์</x:v>
      </x:c>
    </x:row>
    <x:row r="22" ht="38" customHeight="1">
      <x:c r="A22" s="80" t="str">
        <x:v>C4</x:v>
      </x:c>
      <x:c r="B22" s="81" t="str">
        <x:v>7. การสื่อสารที่เปิดกว้าง</x:v>
      </x:c>
      <x:c r="C22" s="81" t="str">
        <x:v>C</x:v>
      </x:c>
      <x:c r="D22" s="81" t="str">
        <x:v>Positive</x:v>
      </x:c>
      <x:c r="E22" s="81" t="str">
        <x:v>No</x:v>
      </x:c>
      <x:c r="F22" s="81" t="str">
        <x:v>4 หรือ 5</x:v>
      </x:c>
      <x:c r="G22" s="82" t="str">
        <x:v>ในหน่วยงานที่ฉันปฏิบัติงานอยู่ บุคลากรสามารถพูดหรือบอกกล่าวได้ทันที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x:v>
      </x:c>
    </x:row>
    <x:row r="23" ht="38" customHeight="1">
      <x:c r="A23" s="80" t="str">
        <x:v>C5</x:v>
      </x:c>
      <x:c r="B23" s="81" t="str">
        <x:v>7. การสื่อสารที่เปิดกว้าง</x:v>
      </x:c>
      <x:c r="C23" s="81" t="str">
        <x:v>C</x:v>
      </x:c>
      <x:c r="D23" s="81" t="str">
        <x:v>Positive</x:v>
      </x:c>
      <x:c r="E23" s="81" t="str">
        <x:v>No</x:v>
      </x:c>
      <x:c r="F23" s="81" t="str">
        <x:v>4 หรือ 5</x:v>
      </x:c>
      <x:c r="G23" s="82" t="str">
        <x:v>ในหน่วยงานที่ฉันปฏิบัติงานอยู่ เมื่อบุคลากรเห็นผู้ที่มีอำนาจ ตำแหน่ง หรือบทบาทหน้าที่สูงกว่า ทำสิ่งที่ไม่ปลอดภัยสำหรับผู้ป่วย/ผู้รับบริการ บุคลากรสามารถพูดหรือบอกกล่าวได้ทันที</x:v>
      </x:c>
    </x:row>
    <x:row r="24" ht="38" customHeight="1">
      <x:c r="A24" s="80" t="str">
        <x:v>C6</x:v>
      </x:c>
      <x:c r="B24" s="81" t="str">
        <x:v>7. การสื่อสารที่เปิดกว้าง</x:v>
      </x:c>
      <x:c r="C24" s="81" t="str">
        <x:v>C</x:v>
      </x:c>
      <x:c r="D24" s="81" t="str">
        <x:v>Positive</x:v>
      </x:c>
      <x:c r="E24" s="81" t="str">
        <x:v>No</x:v>
      </x:c>
      <x:c r="F24" s="81" t="str">
        <x:v>4 หรือ 5</x:v>
      </x:c>
      <x:c r="G24" s="82" t="str">
        <x:v>เมื่อบุคลากรของหน่วยงานที่ฉันปฏิบัติงานอยู่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หรือบทบาทหน้าที่สูงกว่าเปิดกว้างในการรับฟัง</x:v>
      </x:c>
    </x:row>
    <x:row r="25" ht="38" customHeight="1">
      <x:c r="A25" s="80" t="str">
        <x:v>C7</x:v>
      </x:c>
      <x:c r="B25" s="81" t="str">
        <x:v>7. การสื่อสารที่เปิดกว้าง</x:v>
      </x:c>
      <x:c r="C25" s="81" t="str">
        <x:v>C</x:v>
      </x:c>
      <x:c r="D25" s="81" t="str">
        <x:v>Positive</x:v>
      </x:c>
      <x:c r="E25" s="81" t="str">
        <x:v>Yes</x:v>
      </x:c>
      <x:c r="F25" s="81" t="str">
        <x:v>1 หรือ 2</x:v>
      </x:c>
      <x:c r="G25" s="82" t="str">
        <x:v>ในหน่วยงานที่ฉันปฏิบัติงานอยู่ บุคลากรกลัวที่จะตั้งคำถามเมื่อพบสิ่งที่ไม่ถูกต้องหรือผิดปกติ</x:v>
      </x:c>
    </x:row>
    <x:row r="26" ht="38" customHeight="1">
      <x:c r="A26" s="80" t="str">
        <x:v>D1</x:v>
      </x:c>
      <x:c r="B26" s="81" t="str">
        <x:v>8. การรายงานเหตุการณ์ความปลอดภัยของผู้ป่วย/ผู้รับบริการ</x:v>
      </x:c>
      <x:c r="C26" s="81" t="str">
        <x:v>D</x:v>
      </x:c>
      <x:c r="D26" s="81" t="str">
        <x:v>Positive</x:v>
      </x:c>
      <x:c r="E26" s="81" t="str">
        <x:v>No</x:v>
      </x:c>
      <x:c r="F26" s="81" t="str">
        <x:v>4 หรือ 5</x:v>
      </x:c>
      <x:c r="G26" s="82" t="str">
        <x:v>เมื่อเกิดความผิดพลาดหรือคลาดเคลื่อนขึ้นแต่มีการดักจับหรือแก้ไขได้ก่อนถึงตัวผู้ป่วย มีการรายงานอุบัติการณ์ดังกล่าวบ่อยเพียงใด</x:v>
      </x:c>
    </x:row>
    <x:row r="27" ht="38" customHeight="1">
      <x:c r="A27" s="80" t="str">
        <x:v>D2</x:v>
      </x:c>
      <x:c r="B27" s="81" t="str">
        <x:v>8. การรายงานเหตุการณ์ความปลอดภัยของผู้ป่วย/ผู้รับบริการ</x:v>
      </x:c>
      <x:c r="C27" s="81" t="str">
        <x:v>D</x:v>
      </x:c>
      <x:c r="D27" s="81" t="str">
        <x:v>Positive</x:v>
      </x:c>
      <x:c r="E27" s="81" t="str">
        <x:v>No</x:v>
      </x:c>
      <x:c r="F27" s="81" t="str">
        <x:v>4 หรือ 5</x:v>
      </x:c>
      <x:c r="G27" s="82" t="str">
        <x:v>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มีการรายงานอุบัติการณ์ดังกล่าวบ่อยเพียงใด</x:v>
      </x:c>
    </x:row>
    <x:row r="28" ht="38" customHeight="1">
      <x:c r="A28" s="80" t="str">
        <x:v>F1</x:v>
      </x:c>
      <x:c r="B28" s="81" t="str">
        <x:v>9. การสนับสนุนจากทีมผู้บริหารของสถานพยาบาลในเรื่องความปลอดภัยของผู้ป่วย /ผู้รับบริการ</x:v>
      </x:c>
      <x:c r="C28" s="81" t="str">
        <x:v>F</x:v>
      </x:c>
      <x:c r="D28" s="81" t="str">
        <x:v>Positive</x:v>
      </x:c>
      <x:c r="E28" s="81" t="str">
        <x:v>No</x:v>
      </x:c>
      <x:c r="F28" s="81" t="str">
        <x:v>4 หรือ 5</x:v>
      </x:c>
      <x:c r="G28" s="82" t="str">
        <x:v>การกระทำหรือการดำเนินการของผู้บริหารสถานพยาบาลแสดงให้เห็นถึงการให้ความสำคัญสูงสุดในเรื่องความปลอดภัยของผู้ป่วย/ผู้รับบริการ</x:v>
      </x:c>
    </x:row>
    <x:row r="29" ht="38" customHeight="1">
      <x:c r="A29" s="80" t="str">
        <x:v>F2</x:v>
      </x:c>
      <x:c r="B29" s="81" t="str">
        <x:v>9. การสนับสนุนจากทีมผู้บริหารของสถานพยาบาลในเรื่องความปลอดภัยของผู้ป่วย /ผู้รับบริการ</x:v>
      </x:c>
      <x:c r="C29" s="81" t="str">
        <x:v>F</x:v>
      </x:c>
      <x:c r="D29" s="81" t="str">
        <x:v>Positive</x:v>
      </x:c>
      <x:c r="E29" s="81" t="str">
        <x:v>No</x:v>
      </x:c>
      <x:c r="F29" s="81" t="str">
        <x:v>4 หรือ 5</x:v>
      </x:c>
      <x:c r="G29" s="82" t="str">
        <x:v>ผู้บริหารสถานพยาบาลจัดสรรทรัพยากรอย่างเพียงพอเพื่อปรับปรุงและเพิ่มความปลอดภัยของผู้ป่วยและผู้รับบริการในระบบบริการ</x:v>
      </x:c>
    </x:row>
    <x:row r="30" ht="38" customHeight="1">
      <x:c r="A30" s="80" t="str">
        <x:v>F3</x:v>
      </x:c>
      <x:c r="B30" s="81" t="str">
        <x:v>9. การสนับสนุนจากทีมผู้บริหารของสถานพยาบาลในเรื่องความปลอดภัยของผู้ป่วย /ผู้รับบริการ</x:v>
      </x:c>
      <x:c r="C30" s="81" t="str">
        <x:v>F</x:v>
      </x:c>
      <x:c r="D30" s="81" t="str">
        <x:v>Positive</x:v>
      </x:c>
      <x:c r="E30" s="81" t="str">
        <x:v>Yes</x:v>
      </x:c>
      <x:c r="F30" s="81" t="str">
        <x:v>1 หรือ 2</x:v>
      </x:c>
      <x:c r="G30" s="82" t="str">
        <x:v>ผู้บริหารโรงพยาบาลเหมือนจะให้ความสนใจเรื่องความปลอดภัยของผู้ป่วย/ผู้รับบริการ เฉพาะกรณีเกิดเหตุการณ์ไม่พึงประสงค์ขึ้นแล้วเท่านั้น</x:v>
      </x:c>
    </x:row>
    <x:row r="31" ht="38" customHeight="1">
      <x:c r="A31" s="80" t="str">
        <x:v>F4</x:v>
      </x:c>
      <x:c r="B31" s="81" t="str">
        <x:v>10. การส่งต่องานและแลกเปลี่ยนข้อมูล ในการเปลี่ยนผ่านระหว่างหน่วยงานหรือเวร</x:v>
      </x:c>
      <x:c r="C31" s="81" t="str">
        <x:v>F</x:v>
      </x:c>
      <x:c r="D31" s="81" t="str">
        <x:v>Positive</x:v>
      </x:c>
      <x:c r="E31" s="81" t="str">
        <x:v>Yes</x:v>
      </x:c>
      <x:c r="F31" s="81" t="str">
        <x:v>1 หรือ 2</x:v>
      </x:c>
      <x:c r="G31" s="82" t="str">
        <x:v>เมื่อย้ายผู้ป่วย/ผู้รับบริการจากหน่วยงานหรือพื้นที่หนึ่งไปยังอีกหน่วยงานหรืออีกพื้นที่หนึ่ง ข้อมูลสำคัญของผู้ป่วยและการรักษา มักถูกละทิ้งโดยไม่มีการส่งต่อ</x:v>
      </x:c>
    </x:row>
    <x:row r="32" ht="38" customHeight="1">
      <x:c r="A32" s="80" t="str">
        <x:v>F5</x:v>
      </x:c>
      <x:c r="B32" s="81" t="str">
        <x:v>10. การส่งต่องานและแลกเปลี่ยนข้อมูล ในการเปลี่ยนผ่านระหว่างหน่วยงานหรือเวร</x:v>
      </x:c>
      <x:c r="C32" s="81" t="str">
        <x:v>F</x:v>
      </x:c>
      <x:c r="D32" s="81" t="str">
        <x:v>Positive</x:v>
      </x:c>
      <x:c r="E32" s="81" t="str">
        <x:v>Yes</x:v>
      </x:c>
      <x:c r="F32" s="81" t="str">
        <x:v>1 หรือ 2</x:v>
      </x:c>
      <x:c r="G32" s="82" t="str">
        <x:v>ระหว่างการเปลี่ยนเวรหรือกะการทำงาน ข้อมูลสำคัญในการดูแลผู้ป่วย/ผู้รับบริการ มักถูกละทิ้งหรือละเลยโดยไม่มีการส่งต่อ</x:v>
      </x:c>
    </x:row>
    <x:row r="33" ht="38" customHeight="1">
      <x:c r="A33" s="83" t="str">
        <x:v>F6</x:v>
      </x:c>
      <x:c r="B33" s="84" t="str">
        <x:v>10. การส่งต่องานและแลกเปลี่ยนข้อมูล ในการเปลี่ยนผ่านระหว่างหน่วยงานหรือเวร</x:v>
      </x:c>
      <x:c r="C33" s="84" t="str">
        <x:v>F</x:v>
      </x:c>
      <x:c r="D33" s="84" t="str">
        <x:v>Positive</x:v>
      </x:c>
      <x:c r="E33" s="84" t="str">
        <x:v>No</x:v>
      </x:c>
      <x:c r="F33" s="84" t="str">
        <x:v>4 หรือ 5</x:v>
      </x:c>
      <x:c r="G33" s="85" t="str">
        <x:v>ระหว่างการเปลี่ยนเวรหรือกะการทำงานมีเวลาเพียงพอในการแลกเปลี่ยนและส่งต่อข้อมูลสำคัญการดูแลผู้ป่วย/ผู้รับบริการ ที่สำคัญทั้งหมด</x:v>
      </x:c>
    </x:row>
  </x:sheetData>
  <x:pageMargins left="0.7" right="0.7" top="0.75" bottom="0.75" header="0.3" footer="0.3"/>
  <x:tableParts count="1">
    <x:tablePart xmlns:r="http://schemas.openxmlformats.org/officeDocument/2006/relationships" r:id="R06c4a53d2dd44a7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36" hidden="0" customWidth="1"/>
    <x:col min="3" max="3" width="36" hidden="0" customWidth="1"/>
    <x:col min="4" max="4" width="36" hidden="0" customWidth="1"/>
    <x:col min="5" max="5" width="16" hidden="0" customWidth="1"/>
  </x:cols>
  <x:sheetData>
    <x:row r="1">
      <x:c r="A1" s="91" t="str">
        <x:v>Scope</x:v>
      </x:c>
      <x:c r="B1" s="91" t="str">
        <x:v>กลุ่มตามสายงาน</x:v>
      </x:c>
      <x:c r="C1" s="91" t="str">
        <x:v>กลุ่มงาน</x:v>
      </x:c>
      <x:c r="D1" s="91" t="str">
        <x:v>พื้นที่ปฏิบัติงาน</x:v>
      </x:c>
      <x:c r="E1" s="91" t="str">
        <x:v>จำนวนผู้ตอบ</x:v>
      </x:c>
    </x:row>
    <x:row r="2">
      <x:c r="A2" s="92" t="str">
        <x:v>ภาพรวม</x:v>
      </x:c>
      <x:c r="B2" s="93" t="str">
        <x:v>ภาพรวม</x:v>
      </x:c>
      <x:c r="C2" s="93" t="str">
        <x:v>ภาพรวม</x:v>
      </x:c>
      <x:c r="D2" s="93" t="str">
        <x:v>ภาพรวม</x:v>
      </x:c>
      <x:c r="E2" s="101" t="n">
        <x:v>58</x:v>
      </x:c>
    </x:row>
    <x:row r="3">
      <x:c r="A3" s="95" t="str">
        <x:v>ภาพรวมทุกกลุ่ม</x:v>
      </x:c>
      <x:c r="B3" s="96" t="str">
        <x:v>ภาพรวม</x:v>
      </x:c>
      <x:c r="C3" s="96" t="str">
        <x:v>ภาพรวมทุกกลุ่ม</x:v>
      </x:c>
      <x:c r="D3" s="96" t="str">
        <x:v>การเงิน</x:v>
      </x:c>
      <x:c r="E3" s="102" t="n">
        <x:v>3</x:v>
      </x:c>
    </x:row>
    <x:row r="4">
      <x:c r="A4" s="95" t="str">
        <x:v>ภาพรวมทุกกลุ่ม</x:v>
      </x:c>
      <x:c r="B4" s="96" t="str">
        <x:v>ภาพรวม</x:v>
      </x:c>
      <x:c r="C4" s="96" t="str">
        <x:v>ภาพรวมทุกกลุ่ม</x:v>
      </x:c>
      <x:c r="D4" s="96" t="str">
        <x:v>เคหรักษ์</x:v>
      </x:c>
      <x:c r="E4" s="102" t="n">
        <x:v>2</x:v>
      </x:c>
    </x:row>
    <x:row r="5">
      <x:c r="A5" s="95" t="str">
        <x:v>ภาพรวมทุกกลุ่ม</x:v>
      </x:c>
      <x:c r="B5" s="96" t="str">
        <x:v>ภาพรวม</x:v>
      </x:c>
      <x:c r="C5" s="96" t="str">
        <x:v>ภาพรวมทุกกลุ่ม</x:v>
      </x:c>
      <x:c r="D5" s="96" t="str">
        <x:v>จ่ายกลาง</x:v>
      </x:c>
      <x:c r="E5" s="102" t="n">
        <x:v>1</x:v>
      </x:c>
    </x:row>
    <x:row r="6">
      <x:c r="A6" s="95" t="str">
        <x:v>ภาพรวมทุกกลุ่ม</x:v>
      </x:c>
      <x:c r="B6" s="96" t="str">
        <x:v>ภาพรวม</x:v>
      </x:c>
      <x:c r="C6" s="96" t="str">
        <x:v>ภาพรวมทุกกลุ่ม</x:v>
      </x:c>
      <x:c r="D6" s="96" t="str">
        <x:v>ช่างและสนาม</x:v>
      </x:c>
      <x:c r="E6" s="102" t="n">
        <x:v>4</x:v>
      </x:c>
    </x:row>
    <x:row r="7">
      <x:c r="A7" s="95" t="str">
        <x:v>ภาพรวมทุกกลุ่ม</x:v>
      </x:c>
      <x:c r="B7" s="96" t="str">
        <x:v>ภาพรวม</x:v>
      </x:c>
      <x:c r="C7" s="96" t="str">
        <x:v>ภาพรวมทุกกลุ่ม</x:v>
      </x:c>
      <x:c r="D7" s="96" t="str">
        <x:v>ผู้ป่วยสัมพันธ์</x:v>
      </x:c>
      <x:c r="E7" s="102" t="n">
        <x:v>4</x:v>
      </x:c>
    </x:row>
    <x:row r="8">
      <x:c r="A8" s="95" t="str">
        <x:v>ภาพรวมทุกกลุ่ม</x:v>
      </x:c>
      <x:c r="B8" s="96" t="str">
        <x:v>ภาพรวม</x:v>
      </x:c>
      <x:c r="C8" s="96" t="str">
        <x:v>ภาพรวมทุกกลุ่ม</x:v>
      </x:c>
      <x:c r="D8" s="96" t="str">
        <x:v>ฝ่ายการพยาบาล</x:v>
      </x:c>
      <x:c r="E8" s="102" t="n">
        <x:v>2</x:v>
      </x:c>
    </x:row>
    <x:row r="9">
      <x:c r="A9" s="95" t="str">
        <x:v>ภาพรวมทุกกลุ่ม</x:v>
      </x:c>
      <x:c r="B9" s="96" t="str">
        <x:v>ภาพรวม</x:v>
      </x:c>
      <x:c r="C9" s="96" t="str">
        <x:v>ภาพรวมทุกกลุ่ม</x:v>
      </x:c>
      <x:c r="D9" s="96" t="str">
        <x:v>โภชนาการ</x:v>
      </x:c>
      <x:c r="E9" s="102" t="n">
        <x:v>1</x:v>
      </x:c>
    </x:row>
    <x:row r="10">
      <x:c r="A10" s="95" t="str">
        <x:v>ภาพรวมทุกกลุ่ม</x:v>
      </x:c>
      <x:c r="B10" s="96" t="str">
        <x:v>ภาพรวม</x:v>
      </x:c>
      <x:c r="C10" s="96" t="str">
        <x:v>ภาพรวมทุกกลุ่ม</x:v>
      </x:c>
      <x:c r="D10" s="96" t="str">
        <x:v>ยานพาหนะ</x:v>
      </x:c>
      <x:c r="E10" s="102" t="n">
        <x:v>1</x:v>
      </x:c>
    </x:row>
    <x:row r="11">
      <x:c r="A11" s="95" t="str">
        <x:v>ภาพรวมทุกกลุ่ม</x:v>
      </x:c>
      <x:c r="B11" s="96" t="str">
        <x:v>ภาพรวม</x:v>
      </x:c>
      <x:c r="C11" s="96" t="str">
        <x:v>ภาพรวมทุกกลุ่ม</x:v>
      </x:c>
      <x:c r="D11" s="96" t="str">
        <x:v>สื่อสารการตลาด</x:v>
      </x:c>
      <x:c r="E11" s="102" t="n">
        <x:v>1</x:v>
      </x:c>
    </x:row>
    <x:row r="12">
      <x:c r="A12" s="95" t="str">
        <x:v>ภาพรวมทุกกลุ่ม</x:v>
      </x:c>
      <x:c r="B12" s="96" t="str">
        <x:v>ภาพรวม</x:v>
      </x:c>
      <x:c r="C12" s="96" t="str">
        <x:v>ภาพรวมทุกกลุ่ม</x:v>
      </x:c>
      <x:c r="D12" s="96" t="str">
        <x:v>ห้องยา</x:v>
      </x:c>
      <x:c r="E12" s="102" t="n">
        <x:v>6</x:v>
      </x:c>
    </x:row>
    <x:row r="13">
      <x:c r="A13" s="95" t="str">
        <x:v>ภาพรวมทุกกลุ่ม</x:v>
      </x:c>
      <x:c r="B13" s="96" t="str">
        <x:v>ภาพรวม</x:v>
      </x:c>
      <x:c r="C13" s="96" t="str">
        <x:v>ภาพรวมทุกกลุ่ม</x:v>
      </x:c>
      <x:c r="D13" s="96" t="str">
        <x:v>ห้องแลป</x:v>
      </x:c>
      <x:c r="E13" s="102" t="n">
        <x:v>2</x:v>
      </x:c>
    </x:row>
    <x:row r="14">
      <x:c r="A14" s="95" t="str">
        <x:v>ภาพรวมทุกกลุ่ม</x:v>
      </x:c>
      <x:c r="B14" s="96" t="str">
        <x:v>ภาพรวม</x:v>
      </x:c>
      <x:c r="C14" s="96" t="str">
        <x:v>ภาพรวมทุกกลุ่ม</x:v>
      </x:c>
      <x:c r="D14" s="96" t="str">
        <x:v>ห้องเอ็กซเรย์</x:v>
      </x:c>
      <x:c r="E14" s="102" t="n">
        <x:v>3</x:v>
      </x:c>
    </x:row>
    <x:row r="15">
      <x:c r="A15" s="95" t="str">
        <x:v>ภาพรวมทุกกลุ่ม</x:v>
      </x:c>
      <x:c r="B15" s="96" t="str">
        <x:v>ภาพรวม</x:v>
      </x:c>
      <x:c r="C15" s="96" t="str">
        <x:v>ภาพรวมทุกกลุ่ม</x:v>
      </x:c>
      <x:c r="D15" s="96" t="str">
        <x:v>ERและเปล</x:v>
      </x:c>
      <x:c r="E15" s="102" t="n">
        <x:v>11</x:v>
      </x:c>
    </x:row>
    <x:row r="16">
      <x:c r="A16" s="95" t="str">
        <x:v>ภาพรวมทุกกลุ่ม</x:v>
      </x:c>
      <x:c r="B16" s="96" t="str">
        <x:v>ภาพรวม</x:v>
      </x:c>
      <x:c r="C16" s="96" t="str">
        <x:v>ภาพรวมทุกกลุ่ม</x:v>
      </x:c>
      <x:c r="D16" s="96" t="str">
        <x:v>HR</x:v>
      </x:c>
      <x:c r="E16" s="102" t="n">
        <x:v>1</x:v>
      </x:c>
    </x:row>
    <x:row r="17">
      <x:c r="A17" s="95" t="str">
        <x:v>ภาพรวมทุกกลุ่ม</x:v>
      </x:c>
      <x:c r="B17" s="96" t="str">
        <x:v>ภาพรวม</x:v>
      </x:c>
      <x:c r="C17" s="96" t="str">
        <x:v>ภาพรวมทุกกลุ่ม</x:v>
      </x:c>
      <x:c r="D17" s="96" t="str">
        <x:v>ICU</x:v>
      </x:c>
      <x:c r="E17" s="102" t="n">
        <x:v>4</x:v>
      </x:c>
    </x:row>
    <x:row r="18">
      <x:c r="A18" s="95" t="str">
        <x:v>ภาพรวมทุกกลุ่ม</x:v>
      </x:c>
      <x:c r="B18" s="96" t="str">
        <x:v>ภาพรวม</x:v>
      </x:c>
      <x:c r="C18" s="96" t="str">
        <x:v>ภาพรวมทุกกลุ่ม</x:v>
      </x:c>
      <x:c r="D18" s="96" t="str">
        <x:v>IPD</x:v>
      </x:c>
      <x:c r="E18" s="102" t="n">
        <x:v>6</x:v>
      </x:c>
    </x:row>
    <x:row r="19">
      <x:c r="A19" s="95" t="str">
        <x:v>ภาพรวมทุกกลุ่ม</x:v>
      </x:c>
      <x:c r="B19" s="96" t="str">
        <x:v>ภาพรวม</x:v>
      </x:c>
      <x:c r="C19" s="96" t="str">
        <x:v>ภาพรวมทุกกลุ่ม</x:v>
      </x:c>
      <x:c r="D19" s="96" t="str">
        <x:v>IT</x:v>
      </x:c>
      <x:c r="E19" s="102" t="n">
        <x:v>2</x:v>
      </x:c>
    </x:row>
    <x:row r="20">
      <x:c r="A20" s="95" t="str">
        <x:v>ภาพรวมทุกกลุ่ม</x:v>
      </x:c>
      <x:c r="B20" s="96" t="str">
        <x:v>ภาพรวม</x:v>
      </x:c>
      <x:c r="C20" s="96" t="str">
        <x:v>ภาพรวมทุกกลุ่ม</x:v>
      </x:c>
      <x:c r="D20" s="96" t="str">
        <x:v>OR</x:v>
      </x:c>
      <x:c r="E20" s="102" t="n">
        <x:v>4</x:v>
      </x:c>
    </x:row>
    <x:row r="21">
      <x:c r="A21" s="95" t="str">
        <x:v>ผู้บริหาร</x:v>
      </x:c>
      <x:c r="B21" s="96" t="str">
        <x:v>ผู้บริหาร</x:v>
      </x:c>
      <x:c r="C21" s="96" t="str">
        <x:v>ผู้บริหาร</x:v>
      </x:c>
      <x:c r="D21" s="96" t="str">
        <x:v>IPD</x:v>
      </x:c>
      <x:c r="E21" s="102" t="n">
        <x:v>1</x:v>
      </x:c>
    </x:row>
    <x:row r="22">
      <x:c r="A22" s="95" t="str">
        <x:v>สายวิชาชีพสาธารณสุข</x:v>
      </x:c>
      <x:c r="B22" s="96" t="str">
        <x:v>สายวิชาชีพสาธารณสุข</x:v>
      </x:c>
      <x:c r="C22" s="96" t="str">
        <x:v>สายวิชาชีพสาธารณสุข</x:v>
      </x:c>
      <x:c r="D22" s="96" t="str">
        <x:v>ฝ่ายการพยาบาล</x:v>
      </x:c>
      <x:c r="E22" s="102" t="n">
        <x:v>1</x:v>
      </x:c>
    </x:row>
    <x:row r="23">
      <x:c r="A23" s="95" t="str">
        <x:v>สายวิชาชีพสาธารณสุข</x:v>
      </x:c>
      <x:c r="B23" s="96" t="str">
        <x:v>สายวิชาชีพสาธารณสุข</x:v>
      </x:c>
      <x:c r="C23" s="96" t="str">
        <x:v>สายวิชาชีพสาธารณสุข</x:v>
      </x:c>
      <x:c r="D23" s="96" t="str">
        <x:v>ERและเปล</x:v>
      </x:c>
      <x:c r="E23" s="102" t="n">
        <x:v>7</x:v>
      </x:c>
    </x:row>
    <x:row r="24">
      <x:c r="A24" s="95" t="str">
        <x:v>สายวิชาชีพสาธารณสุข</x:v>
      </x:c>
      <x:c r="B24" s="96" t="str">
        <x:v>สายวิชาชีพสาธารณสุข</x:v>
      </x:c>
      <x:c r="C24" s="96" t="str">
        <x:v>สายวิชาชีพสาธารณสุข</x:v>
      </x:c>
      <x:c r="D24" s="96" t="str">
        <x:v>ICU</x:v>
      </x:c>
      <x:c r="E24" s="102" t="n">
        <x:v>2</x:v>
      </x:c>
    </x:row>
    <x:row r="25">
      <x:c r="A25" s="95" t="str">
        <x:v>สายวิชาชีพสาธารณสุข</x:v>
      </x:c>
      <x:c r="B25" s="96" t="str">
        <x:v>สายวิชาชีพสาธารณสุข</x:v>
      </x:c>
      <x:c r="C25" s="96" t="str">
        <x:v>สายวิชาชีพสาธารณสุข</x:v>
      </x:c>
      <x:c r="D25" s="96" t="str">
        <x:v>IPD</x:v>
      </x:c>
      <x:c r="E25" s="102" t="n">
        <x:v>2</x:v>
      </x:c>
    </x:row>
    <x:row r="26">
      <x:c r="A26" s="95" t="str">
        <x:v>สายวิชาชีพสาธารณสุข</x:v>
      </x:c>
      <x:c r="B26" s="96" t="str">
        <x:v>สายวิชาชีพสาธารณสุข</x:v>
      </x:c>
      <x:c r="C26" s="96" t="str">
        <x:v>สายวิชาชีพสาธารณสุข</x:v>
      </x:c>
      <x:c r="D26" s="96" t="str">
        <x:v>OR</x:v>
      </x:c>
      <x:c r="E26" s="102" t="n">
        <x:v>4</x:v>
      </x:c>
    </x:row>
    <x:row r="27">
      <x:c r="A27" s="95" t="str">
        <x:v>สายสนับสนุนทั่วไป</x:v>
      </x:c>
      <x:c r="B27" s="96" t="str">
        <x:v>สายสนับสนุนทั่วไป</x:v>
      </x:c>
      <x:c r="C27" s="96" t="str">
        <x:v>สายสนับสนุนทั่วไป</x:v>
      </x:c>
      <x:c r="D27" s="96" t="str">
        <x:v>การเงิน</x:v>
      </x:c>
      <x:c r="E27" s="102" t="n">
        <x:v>3</x:v>
      </x:c>
    </x:row>
    <x:row r="28">
      <x:c r="A28" s="95" t="str">
        <x:v>สายสนับสนุนทั่วไป</x:v>
      </x:c>
      <x:c r="B28" s="96" t="str">
        <x:v>สายสนับสนุนทั่วไป</x:v>
      </x:c>
      <x:c r="C28" s="96" t="str">
        <x:v>สายสนับสนุนทั่วไป</x:v>
      </x:c>
      <x:c r="D28" s="96" t="str">
        <x:v>เคหรักษ์</x:v>
      </x:c>
      <x:c r="E28" s="102" t="n">
        <x:v>2</x:v>
      </x:c>
    </x:row>
    <x:row r="29">
      <x:c r="A29" s="95" t="str">
        <x:v>สายสนับสนุนทั่วไป</x:v>
      </x:c>
      <x:c r="B29" s="96" t="str">
        <x:v>สายสนับสนุนทั่วไป</x:v>
      </x:c>
      <x:c r="C29" s="96" t="str">
        <x:v>สายสนับสนุนทั่วไป</x:v>
      </x:c>
      <x:c r="D29" s="96" t="str">
        <x:v>จ่ายกลาง</x:v>
      </x:c>
      <x:c r="E29" s="102" t="n">
        <x:v>1</x:v>
      </x:c>
    </x:row>
    <x:row r="30">
      <x:c r="A30" s="95" t="str">
        <x:v>สายสนับสนุนทั่วไป</x:v>
      </x:c>
      <x:c r="B30" s="96" t="str">
        <x:v>สายสนับสนุนทั่วไป</x:v>
      </x:c>
      <x:c r="C30" s="96" t="str">
        <x:v>สายสนับสนุนทั่วไป</x:v>
      </x:c>
      <x:c r="D30" s="96" t="str">
        <x:v>ช่างและสนาม</x:v>
      </x:c>
      <x:c r="E30" s="102" t="n">
        <x:v>4</x:v>
      </x:c>
    </x:row>
    <x:row r="31">
      <x:c r="A31" s="95" t="str">
        <x:v>สายสนับสนุนทั่วไป</x:v>
      </x:c>
      <x:c r="B31" s="96" t="str">
        <x:v>สายสนับสนุนทั่วไป</x:v>
      </x:c>
      <x:c r="C31" s="96" t="str">
        <x:v>สายสนับสนุนทั่วไป</x:v>
      </x:c>
      <x:c r="D31" s="96" t="str">
        <x:v>ผู้ป่วยสัมพันธ์</x:v>
      </x:c>
      <x:c r="E31" s="102" t="n">
        <x:v>1</x:v>
      </x:c>
    </x:row>
    <x:row r="32">
      <x:c r="A32" s="95" t="str">
        <x:v>สายสนับสนุนทั่วไป</x:v>
      </x:c>
      <x:c r="B32" s="96" t="str">
        <x:v>สายสนับสนุนทั่วไป</x:v>
      </x:c>
      <x:c r="C32" s="96" t="str">
        <x:v>สายสนับสนุนทั่วไป</x:v>
      </x:c>
      <x:c r="D32" s="96" t="str">
        <x:v>ยานพาหนะ</x:v>
      </x:c>
      <x:c r="E32" s="102" t="n">
        <x:v>1</x:v>
      </x:c>
    </x:row>
    <x:row r="33">
      <x:c r="A33" s="95" t="str">
        <x:v>สายสนับสนุนทั่วไป</x:v>
      </x:c>
      <x:c r="B33" s="96" t="str">
        <x:v>สายสนับสนุนทั่วไป</x:v>
      </x:c>
      <x:c r="C33" s="96" t="str">
        <x:v>สายสนับสนุนทั่วไป</x:v>
      </x:c>
      <x:c r="D33" s="96" t="str">
        <x:v>สื่อสารการตลาด</x:v>
      </x:c>
      <x:c r="E33" s="102" t="n">
        <x:v>1</x:v>
      </x:c>
    </x:row>
    <x:row r="34">
      <x:c r="A34" s="95" t="str">
        <x:v>สายสนับสนุนทั่วไป</x:v>
      </x:c>
      <x:c r="B34" s="96" t="str">
        <x:v>สายสนับสนุนทั่วไป</x:v>
      </x:c>
      <x:c r="C34" s="96" t="str">
        <x:v>สายสนับสนุนทั่วไป</x:v>
      </x:c>
      <x:c r="D34" s="96" t="str">
        <x:v>ERและเปล</x:v>
      </x:c>
      <x:c r="E34" s="102" t="n">
        <x:v>3</x:v>
      </x:c>
    </x:row>
    <x:row r="35">
      <x:c r="A35" s="95" t="str">
        <x:v>สายสนับสนุนทั่วไป</x:v>
      </x:c>
      <x:c r="B35" s="96" t="str">
        <x:v>สายสนับสนุนทั่วไป</x:v>
      </x:c>
      <x:c r="C35" s="96" t="str">
        <x:v>สายสนับสนุนทั่วไป</x:v>
      </x:c>
      <x:c r="D35" s="96" t="str">
        <x:v>HR</x:v>
      </x:c>
      <x:c r="E35" s="102" t="n">
        <x:v>1</x:v>
      </x:c>
    </x:row>
    <x:row r="36">
      <x:c r="A36" s="95" t="str">
        <x:v>สายสนับสนุนทั่วไป</x:v>
      </x:c>
      <x:c r="B36" s="96" t="str">
        <x:v>สายสนับสนุนทั่วไป</x:v>
      </x:c>
      <x:c r="C36" s="96" t="str">
        <x:v>สายสนับสนุนทั่วไป</x:v>
      </x:c>
      <x:c r="D36" s="96" t="str">
        <x:v>ICU</x:v>
      </x:c>
      <x:c r="E36" s="102" t="n">
        <x:v>1</x:v>
      </x:c>
    </x:row>
    <x:row r="37">
      <x:c r="A37" s="95" t="str">
        <x:v>สายสนับสนุนทั่วไป</x:v>
      </x:c>
      <x:c r="B37" s="96" t="str">
        <x:v>สายสนับสนุนทั่วไป</x:v>
      </x:c>
      <x:c r="C37" s="96" t="str">
        <x:v>สายสนับสนุนทั่วไป</x:v>
      </x:c>
      <x:c r="D37" s="96" t="str">
        <x:v>IPD</x:v>
      </x:c>
      <x:c r="E37" s="102" t="n">
        <x:v>1</x:v>
      </x:c>
    </x:row>
    <x:row r="38">
      <x:c r="A38" s="95" t="str">
        <x:v>สายสนับสนุนทั่วไป</x:v>
      </x:c>
      <x:c r="B38" s="96" t="str">
        <x:v>สายสนับสนุนทั่วไป</x:v>
      </x:c>
      <x:c r="C38" s="96" t="str">
        <x:v>สายสนับสนุนทั่วไป</x:v>
      </x:c>
      <x:c r="D38" s="96" t="str">
        <x:v>IT</x:v>
      </x:c>
      <x:c r="E38" s="102" t="n">
        <x:v>1</x:v>
      </x:c>
    </x:row>
    <x:row r="39">
      <x:c r="A39" s="95" t="str">
        <x:v>สายสนับสนุนทางการแพทย์</x:v>
      </x:c>
      <x:c r="B39" s="96" t="str">
        <x:v>สายสนับสนุนทางการแพทย์</x:v>
      </x:c>
      <x:c r="C39" s="96" t="str">
        <x:v>สายสนับสนุนทางการแพทย์</x:v>
      </x:c>
      <x:c r="D39" s="96" t="str">
        <x:v>ผู้ป่วยสัมพันธ์</x:v>
      </x:c>
      <x:c r="E39" s="102" t="n">
        <x:v>3</x:v>
      </x:c>
    </x:row>
    <x:row r="40">
      <x:c r="A40" s="95" t="str">
        <x:v>สายสนับสนุนทางการแพทย์</x:v>
      </x:c>
      <x:c r="B40" s="96" t="str">
        <x:v>สายสนับสนุนทางการแพทย์</x:v>
      </x:c>
      <x:c r="C40" s="96" t="str">
        <x:v>สายสนับสนุนทางการแพทย์</x:v>
      </x:c>
      <x:c r="D40" s="96" t="str">
        <x:v>ฝ่ายการพยาบาล</x:v>
      </x:c>
      <x:c r="E40" s="102" t="n">
        <x:v>1</x:v>
      </x:c>
    </x:row>
    <x:row r="41">
      <x:c r="A41" s="95" t="str">
        <x:v>สายสนับสนุนทางการแพทย์</x:v>
      </x:c>
      <x:c r="B41" s="96" t="str">
        <x:v>สายสนับสนุนทางการแพทย์</x:v>
      </x:c>
      <x:c r="C41" s="96" t="str">
        <x:v>สายสนับสนุนทางการแพทย์</x:v>
      </x:c>
      <x:c r="D41" s="96" t="str">
        <x:v>โภชนาการ</x:v>
      </x:c>
      <x:c r="E41" s="102" t="n">
        <x:v>1</x:v>
      </x:c>
    </x:row>
    <x:row r="42">
      <x:c r="A42" s="95" t="str">
        <x:v>สายสนับสนุนทางการแพทย์</x:v>
      </x:c>
      <x:c r="B42" s="96" t="str">
        <x:v>สายสนับสนุนทางการแพทย์</x:v>
      </x:c>
      <x:c r="C42" s="96" t="str">
        <x:v>สายสนับสนุนทางการแพทย์</x:v>
      </x:c>
      <x:c r="D42" s="96" t="str">
        <x:v>ห้องยา</x:v>
      </x:c>
      <x:c r="E42" s="102" t="n">
        <x:v>6</x:v>
      </x:c>
    </x:row>
    <x:row r="43">
      <x:c r="A43" s="95" t="str">
        <x:v>สายสนับสนุนทางการแพทย์</x:v>
      </x:c>
      <x:c r="B43" s="96" t="str">
        <x:v>สายสนับสนุนทางการแพทย์</x:v>
      </x:c>
      <x:c r="C43" s="96" t="str">
        <x:v>สายสนับสนุนทางการแพทย์</x:v>
      </x:c>
      <x:c r="D43" s="96" t="str">
        <x:v>ห้องแลป</x:v>
      </x:c>
      <x:c r="E43" s="102" t="n">
        <x:v>2</x:v>
      </x:c>
    </x:row>
    <x:row r="44">
      <x:c r="A44" s="95" t="str">
        <x:v>สายสนับสนุนทางการแพทย์</x:v>
      </x:c>
      <x:c r="B44" s="96" t="str">
        <x:v>สายสนับสนุนทางการแพทย์</x:v>
      </x:c>
      <x:c r="C44" s="96" t="str">
        <x:v>สายสนับสนุนทางการแพทย์</x:v>
      </x:c>
      <x:c r="D44" s="96" t="str">
        <x:v>ห้องเอ็กซเรย์</x:v>
      </x:c>
      <x:c r="E44" s="102" t="n">
        <x:v>3</x:v>
      </x:c>
    </x:row>
    <x:row r="45">
      <x:c r="A45" s="95" t="str">
        <x:v>สายสนับสนุนทางการแพทย์</x:v>
      </x:c>
      <x:c r="B45" s="96" t="str">
        <x:v>สายสนับสนุนทางการแพทย์</x:v>
      </x:c>
      <x:c r="C45" s="96" t="str">
        <x:v>สายสนับสนุนทางการแพทย์</x:v>
      </x:c>
      <x:c r="D45" s="96" t="str">
        <x:v>ERและเปล</x:v>
      </x:c>
      <x:c r="E45" s="102" t="n">
        <x:v>1</x:v>
      </x:c>
    </x:row>
    <x:row r="46">
      <x:c r="A46" s="95" t="str">
        <x:v>สายสนับสนุนทางการแพทย์</x:v>
      </x:c>
      <x:c r="B46" s="96" t="str">
        <x:v>สายสนับสนุนทางการแพทย์</x:v>
      </x:c>
      <x:c r="C46" s="96" t="str">
        <x:v>สายสนับสนุนทางการแพทย์</x:v>
      </x:c>
      <x:c r="D46" s="96" t="str">
        <x:v>ICU</x:v>
      </x:c>
      <x:c r="E46" s="102" t="n">
        <x:v>1</x:v>
      </x:c>
    </x:row>
    <x:row r="47">
      <x:c r="A47" s="95" t="str">
        <x:v>สายสนับสนุนทางการแพทย์</x:v>
      </x:c>
      <x:c r="B47" s="96" t="str">
        <x:v>สายสนับสนุนทางการแพทย์</x:v>
      </x:c>
      <x:c r="C47" s="96" t="str">
        <x:v>สายสนับสนุนทางการแพทย์</x:v>
      </x:c>
      <x:c r="D47" s="96" t="str">
        <x:v>IPD</x:v>
      </x:c>
      <x:c r="E47" s="102" t="n">
        <x:v>2</x:v>
      </x:c>
    </x:row>
    <x:row r="48">
      <x:c r="A48" s="98" t="str">
        <x:v>สายสนับสนุนทางการแพทย์</x:v>
      </x:c>
      <x:c r="B48" s="99" t="str">
        <x:v>สายสนับสนุนทางการแพทย์</x:v>
      </x:c>
      <x:c r="C48" s="99" t="str">
        <x:v>สายสนับสนุนทางการแพทย์</x:v>
      </x:c>
      <x:c r="D48" s="99" t="str">
        <x:v>IT</x:v>
      </x:c>
      <x:c r="E48" s="103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497b3f12951b4f4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9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</x:cols>
  <x:sheetData>
    <x:row r="1" ht="34" customHeight="1">
      <x:c r="A1" s="108" t="str">
        <x:v>Dimension</x:v>
      </x:c>
      <x:c r="B1" s="108" t="str">
        <x:v>Item</x:v>
      </x:c>
      <x:c r="C1" s="108" t="str">
        <x:v>ภาพรวม</x:v>
      </x:c>
      <x:c r="D1" s="108" t="str">
        <x:v>ภาพรวม</x:v>
      </x:c>
      <x:c r="E1" s="108"/>
      <x:c r="F1" s="108"/>
      <x:c r="G1" s="108"/>
      <x:c r="H1" s="108"/>
      <x:c r="I1" s="108"/>
      <x:c r="J1" s="108"/>
      <x:c r="K1" s="108"/>
      <x:c r="L1" s="108"/>
      <x:c r="M1" s="108"/>
      <x:c r="N1" s="108"/>
      <x:c r="O1" s="108"/>
      <x:c r="P1" s="108"/>
      <x:c r="Q1" s="108"/>
      <x:c r="R1" s="108"/>
      <x:c r="S1" s="108"/>
      <x:c r="T1" s="108"/>
      <x:c r="U1" s="108"/>
      <x:c r="V1" s="108" t="str">
        <x:v>ผู้บริหาร</x:v>
      </x:c>
      <x:c r="W1" s="108" t="str">
        <x:v>สายวิชาชีพสาธารณสุข</x:v>
      </x:c>
      <x:c r="X1" s="108"/>
      <x:c r="Y1" s="108"/>
      <x:c r="Z1" s="108"/>
      <x:c r="AA1" s="108"/>
      <x:c r="AB1" s="108" t="str">
        <x:v>สายสนับสนุนทั่วไป</x:v>
      </x:c>
      <x:c r="AC1" s="108"/>
      <x:c r="AD1" s="108"/>
      <x:c r="AE1" s="108"/>
      <x:c r="AF1" s="108"/>
      <x:c r="AG1" s="108"/>
      <x:c r="AH1" s="108"/>
      <x:c r="AI1" s="108"/>
      <x:c r="AJ1" s="108"/>
      <x:c r="AK1" s="108"/>
      <x:c r="AL1" s="108"/>
      <x:c r="AM1" s="108"/>
      <x:c r="AN1" s="108" t="str">
        <x:v>สายสนับสนุนทางการแพทย์</x:v>
      </x:c>
      <x:c r="AO1" s="108"/>
      <x:c r="AP1" s="108"/>
      <x:c r="AQ1" s="108"/>
      <x:c r="AR1" s="108"/>
      <x:c r="AS1" s="108"/>
      <x:c r="AT1" s="108"/>
      <x:c r="AU1" s="108"/>
      <x:c r="AV1" s="108"/>
      <x:c r="AW1" s="108"/>
    </x:row>
    <x:row r="2" ht="34" customHeight="1">
      <x:c r="A2" s="108"/>
      <x:c r="B2" s="108"/>
      <x:c r="C2" s="108"/>
      <x:c r="D2" s="108" t="str">
        <x:v>ภาพรวมทุกกลุ่ม</x:v>
      </x:c>
      <x:c r="E2" s="108"/>
      <x:c r="F2" s="108"/>
      <x:c r="G2" s="108"/>
      <x:c r="H2" s="108"/>
      <x:c r="I2" s="108"/>
      <x:c r="J2" s="108"/>
      <x:c r="K2" s="108"/>
      <x:c r="L2" s="108"/>
      <x:c r="M2" s="108"/>
      <x:c r="N2" s="108"/>
      <x:c r="O2" s="108"/>
      <x:c r="P2" s="108"/>
      <x:c r="Q2" s="108"/>
      <x:c r="R2" s="108"/>
      <x:c r="S2" s="108"/>
      <x:c r="T2" s="108"/>
      <x:c r="U2" s="108"/>
      <x:c r="V2" s="108" t="str">
        <x:v>ผู้บริหาร</x:v>
      </x:c>
      <x:c r="W2" s="108" t="str">
        <x:v>สายวิชาชีพสาธารณสุข</x:v>
      </x:c>
      <x:c r="X2" s="108"/>
      <x:c r="Y2" s="108"/>
      <x:c r="Z2" s="108"/>
      <x:c r="AA2" s="108"/>
      <x:c r="AB2" s="108" t="str">
        <x:v>สายสนับสนุนทั่วไป</x:v>
      </x:c>
      <x:c r="AC2" s="108"/>
      <x:c r="AD2" s="108"/>
      <x:c r="AE2" s="108"/>
      <x:c r="AF2" s="108"/>
      <x:c r="AG2" s="108"/>
      <x:c r="AH2" s="108"/>
      <x:c r="AI2" s="108"/>
      <x:c r="AJ2" s="108"/>
      <x:c r="AK2" s="108"/>
      <x:c r="AL2" s="108"/>
      <x:c r="AM2" s="108"/>
      <x:c r="AN2" s="108" t="str">
        <x:v>สายสนับสนุนทางการแพทย์</x:v>
      </x:c>
      <x:c r="AO2" s="108"/>
      <x:c r="AP2" s="108"/>
      <x:c r="AQ2" s="108"/>
      <x:c r="AR2" s="108"/>
      <x:c r="AS2" s="108"/>
      <x:c r="AT2" s="108"/>
      <x:c r="AU2" s="108"/>
      <x:c r="AV2" s="108"/>
      <x:c r="AW2" s="108"/>
    </x:row>
    <x:row r="3" ht="34" customHeight="1">
      <x:c r="A3" s="108"/>
      <x:c r="B3" s="108"/>
      <x:c r="C3" s="108"/>
      <x:c r="D3" s="108" t="str">
        <x:v>การเงิน</x:v>
      </x:c>
      <x:c r="E3" s="108" t="str">
        <x:v>เคหรักษ์</x:v>
      </x:c>
      <x:c r="F3" s="108" t="str">
        <x:v>จ่ายกลาง</x:v>
      </x:c>
      <x:c r="G3" s="108" t="str">
        <x:v>ช่างและสนาม</x:v>
      </x:c>
      <x:c r="H3" s="108" t="str">
        <x:v>ผู้ป่วยสัมพันธ์</x:v>
      </x:c>
      <x:c r="I3" s="108" t="str">
        <x:v>ฝ่ายการพยาบาล</x:v>
      </x:c>
      <x:c r="J3" s="108" t="str">
        <x:v>โภชนาการ</x:v>
      </x:c>
      <x:c r="K3" s="108" t="str">
        <x:v>ยานพาหนะ</x:v>
      </x:c>
      <x:c r="L3" s="108" t="str">
        <x:v>สื่อสารการตลาด</x:v>
      </x:c>
      <x:c r="M3" s="108" t="str">
        <x:v>ห้องยา</x:v>
      </x:c>
      <x:c r="N3" s="108" t="str">
        <x:v>ห้องแลป</x:v>
      </x:c>
      <x:c r="O3" s="108" t="str">
        <x:v>ห้องเอ็กซเรย์</x:v>
      </x:c>
      <x:c r="P3" s="108" t="str">
        <x:v>ERและเปล</x:v>
      </x:c>
      <x:c r="Q3" s="108" t="str">
        <x:v>HR</x:v>
      </x:c>
      <x:c r="R3" s="108" t="str">
        <x:v>ICU</x:v>
      </x:c>
      <x:c r="S3" s="108" t="str">
        <x:v>IPD</x:v>
      </x:c>
      <x:c r="T3" s="108" t="str">
        <x:v>IT</x:v>
      </x:c>
      <x:c r="U3" s="108" t="str">
        <x:v>OR</x:v>
      </x:c>
      <x:c r="V3" s="108" t="str">
        <x:v>IPD</x:v>
      </x:c>
      <x:c r="W3" s="108" t="str">
        <x:v>ฝ่ายการพยาบาล</x:v>
      </x:c>
      <x:c r="X3" s="108" t="str">
        <x:v>ERและเปล</x:v>
      </x:c>
      <x:c r="Y3" s="108" t="str">
        <x:v>ICU</x:v>
      </x:c>
      <x:c r="Z3" s="108" t="str">
        <x:v>IPD</x:v>
      </x:c>
      <x:c r="AA3" s="108" t="str">
        <x:v>OR</x:v>
      </x:c>
      <x:c r="AB3" s="108" t="str">
        <x:v>การเงิน</x:v>
      </x:c>
      <x:c r="AC3" s="108" t="str">
        <x:v>เคหรักษ์</x:v>
      </x:c>
      <x:c r="AD3" s="108" t="str">
        <x:v>จ่ายกลาง</x:v>
      </x:c>
      <x:c r="AE3" s="108" t="str">
        <x:v>ช่างและสนาม</x:v>
      </x:c>
      <x:c r="AF3" s="108" t="str">
        <x:v>ผู้ป่วยสัมพันธ์</x:v>
      </x:c>
      <x:c r="AG3" s="108" t="str">
        <x:v>ยานพาหนะ</x:v>
      </x:c>
      <x:c r="AH3" s="108" t="str">
        <x:v>สื่อสารการตลาด</x:v>
      </x:c>
      <x:c r="AI3" s="108" t="str">
        <x:v>ERและเปล</x:v>
      </x:c>
      <x:c r="AJ3" s="108" t="str">
        <x:v>HR</x:v>
      </x:c>
      <x:c r="AK3" s="108" t="str">
        <x:v>ICU</x:v>
      </x:c>
      <x:c r="AL3" s="108" t="str">
        <x:v>IPD</x:v>
      </x:c>
      <x:c r="AM3" s="108" t="str">
        <x:v>IT</x:v>
      </x:c>
      <x:c r="AN3" s="108" t="str">
        <x:v>ผู้ป่วยสัมพันธ์</x:v>
      </x:c>
      <x:c r="AO3" s="108" t="str">
        <x:v>ฝ่ายการพยาบาล</x:v>
      </x:c>
      <x:c r="AP3" s="108" t="str">
        <x:v>โภชนาการ</x:v>
      </x:c>
      <x:c r="AQ3" s="108" t="str">
        <x:v>ห้องยา</x:v>
      </x:c>
      <x:c r="AR3" s="108" t="str">
        <x:v>ห้องแลป</x:v>
      </x:c>
      <x:c r="AS3" s="108" t="str">
        <x:v>ห้องเอ็กซเรย์</x:v>
      </x:c>
      <x:c r="AT3" s="108" t="str">
        <x:v>ERและเปล</x:v>
      </x:c>
      <x:c r="AU3" s="108" t="str">
        <x:v>ICU</x:v>
      </x:c>
      <x:c r="AV3" s="108" t="str">
        <x:v>IPD</x:v>
      </x:c>
      <x:c r="AW3" s="108" t="str">
        <x:v>IT</x:v>
      </x:c>
    </x:row>
    <x:row r="4" ht="42" customHeight="1">
      <x:c r="A4" s="121" t="str">
        <x:v>1. การทำงานเป็นทีม</x:v>
      </x:c>
      <x:c r="B4" s="122" t="str">
        <x:v>A1. ในหน่วยงานหรือพื้นที่ที่ท่านทำงานอยู่ ทุกคนทำงานร่วมกันเป็นทีมอย่างมีประสิทธิภาพ</x:v>
      </x:c>
      <x:c r="C4" s="131" t="n">
        <x:f>IFERROR(100*COUNTIFS('Raw_Data'!$G$2:$G$59,"&gt;=4",'Raw_Data'!$G$2:$G$59,"&lt;=5",'Raw_Data'!$A$2:$A$59,"Yes")/COUNTIFS('Raw_Data'!$G$2:$G$59,"&gt;=1",'Raw_Data'!$G$2:$G$59,"&lt;=5",'Raw_Data'!$A$2:$A$59,"Yes"),"")</x:f>
        <x:v>63.793103448275865</x:v>
      </x:c>
      <x:c r="D4" s="131" t="n">
        <x:f>IFERROR(100*COUNTIFS('Raw_Data'!$G$2:$G$59,"&gt;=4",'Raw_Data'!$G$2:$G$59,"&lt;=5",'Raw_Data'!$A$2:$A$59,"Yes",'Raw_Data'!$D$2:$D$59,"การเงิน")/COUNTIFS('Raw_Data'!$G$2:$G$59,"&gt;=1",'Raw_Data'!$G$2:$G$59,"&lt;=5",'Raw_Data'!$A$2:$A$59,"Yes",'Raw_Data'!$D$2:$D$59,"การเงิน"),"")</x:f>
        <x:v>33.333333333333336</x:v>
      </x:c>
      <x:c r="E4" s="131" t="n">
        <x:f>IFERROR(100*COUNTIFS('Raw_Data'!$G$2:$G$59,"&gt;=4",'Raw_Data'!$G$2:$G$59,"&lt;=5",'Raw_Data'!$A$2:$A$59,"Yes",'Raw_Data'!$D$2:$D$59,"เคหรักษ์")/COUNTIFS('Raw_Data'!$G$2:$G$59,"&gt;=1",'Raw_Data'!$G$2:$G$59,"&lt;=5",'Raw_Data'!$A$2:$A$59,"Yes",'Raw_Data'!$D$2:$D$59,"เคหรักษ์"),"")</x:f>
        <x:v>0</x:v>
      </x:c>
      <x:c r="F4" s="131" t="n">
        <x:f>IFERROR(100*COUNTIFS('Raw_Data'!$G$2:$G$59,"&gt;=4",'Raw_Data'!$G$2:$G$59,"&lt;=5",'Raw_Data'!$A$2:$A$59,"Yes",'Raw_Data'!$D$2:$D$59,"จ่ายกลาง")/COUNTIFS('Raw_Data'!$G$2:$G$59,"&gt;=1",'Raw_Data'!$G$2:$G$59,"&lt;=5",'Raw_Data'!$A$2:$A$59,"Yes",'Raw_Data'!$D$2:$D$59,"จ่ายกลาง"),"")</x:f>
        <x:v>100</x:v>
      </x:c>
      <x:c r="G4" s="131" t="n">
        <x:f>IFERROR(100*COUNTIFS('Raw_Data'!$G$2:$G$59,"&gt;=4",'Raw_Data'!$G$2:$G$59,"&lt;=5",'Raw_Data'!$A$2:$A$59,"Yes",'Raw_Data'!$D$2:$D$59,"ช่างและสนาม")/COUNTIFS('Raw_Data'!$G$2:$G$59,"&gt;=1",'Raw_Data'!$G$2:$G$59,"&lt;=5",'Raw_Data'!$A$2:$A$59,"Yes",'Raw_Data'!$D$2:$D$59,"ช่างและสนาม"),"")</x:f>
        <x:v>50</x:v>
      </x:c>
      <x:c r="H4" s="131" t="n">
        <x:f>IFERROR(100*COUNTIFS('Raw_Data'!$G$2:$G$59,"&gt;=4",'Raw_Data'!$G$2:$G$59,"&lt;=5",'Raw_Data'!$A$2:$A$59,"Yes",'Raw_Data'!$D$2:$D$59,"ผู้ป่วยสัมพันธ์")/COUNTIFS('Raw_Data'!$G$2:$G$59,"&gt;=1",'Raw_Data'!$G$2:$G$59,"&lt;=5",'Raw_Data'!$A$2:$A$59,"Yes",'Raw_Data'!$D$2:$D$59,"ผู้ป่วยสัมพันธ์"),"")</x:f>
        <x:v>75</x:v>
      </x:c>
      <x:c r="I4" s="131" t="n">
        <x:f>IFERROR(100*COUNTIFS('Raw_Data'!$G$2:$G$59,"&gt;=4",'Raw_Data'!$G$2:$G$59,"&lt;=5",'Raw_Data'!$A$2:$A$59,"Yes",'Raw_Data'!$D$2:$D$59,"ฝ่ายการพยาบาล")/COUNTIFS('Raw_Data'!$G$2:$G$59,"&gt;=1",'Raw_Data'!$G$2:$G$59,"&lt;=5",'Raw_Data'!$A$2:$A$59,"Yes",'Raw_Data'!$D$2:$D$59,"ฝ่ายการพยาบาล"),"")</x:f>
        <x:v>50</x:v>
      </x:c>
      <x:c r="J4" s="131" t="n">
        <x:f>IFERROR(100*COUNTIFS('Raw_Data'!$G$2:$G$59,"&gt;=4",'Raw_Data'!$G$2:$G$59,"&lt;=5",'Raw_Data'!$A$2:$A$59,"Yes",'Raw_Data'!$D$2:$D$59,"โภชนาการ")/COUNTIFS('Raw_Data'!$G$2:$G$59,"&gt;=1",'Raw_Data'!$G$2:$G$59,"&lt;=5",'Raw_Data'!$A$2:$A$59,"Yes",'Raw_Data'!$D$2:$D$59,"โภชนาการ"),"")</x:f>
        <x:v>100</x:v>
      </x:c>
      <x:c r="K4" s="131" t="n">
        <x:f>IFERROR(100*COUNTIFS('Raw_Data'!$G$2:$G$59,"&gt;=4",'Raw_Data'!$G$2:$G$59,"&lt;=5",'Raw_Data'!$A$2:$A$59,"Yes",'Raw_Data'!$D$2:$D$59,"ยานพาหนะ")/COUNTIFS('Raw_Data'!$G$2:$G$59,"&gt;=1",'Raw_Data'!$G$2:$G$59,"&lt;=5",'Raw_Data'!$A$2:$A$59,"Yes",'Raw_Data'!$D$2:$D$59,"ยานพาหนะ"),"")</x:f>
        <x:v>0</x:v>
      </x:c>
      <x:c r="L4" s="131" t="n">
        <x:f>IFERROR(100*COUNTIFS('Raw_Data'!$G$2:$G$59,"&gt;=4",'Raw_Data'!$G$2:$G$59,"&lt;=5",'Raw_Data'!$A$2:$A$59,"Yes",'Raw_Data'!$D$2:$D$59,"สื่อสารการตลาด")/COUNTIFS('Raw_Data'!$G$2:$G$59,"&gt;=1",'Raw_Data'!$G$2:$G$59,"&lt;=5",'Raw_Data'!$A$2:$A$59,"Yes",'Raw_Data'!$D$2:$D$59,"สื่อสารการตลาด"),"")</x:f>
        <x:v>0</x:v>
      </x:c>
      <x:c r="M4" s="131" t="n">
        <x:f>IFERROR(100*COUNTIFS('Raw_Data'!$G$2:$G$59,"&gt;=4",'Raw_Data'!$G$2:$G$59,"&lt;=5",'Raw_Data'!$A$2:$A$59,"Yes",'Raw_Data'!$D$2:$D$59,"ห้องยา")/COUNTIFS('Raw_Data'!$G$2:$G$59,"&gt;=1",'Raw_Data'!$G$2:$G$59,"&lt;=5",'Raw_Data'!$A$2:$A$59,"Yes",'Raw_Data'!$D$2:$D$59,"ห้องยา"),"")</x:f>
        <x:v>100</x:v>
      </x:c>
      <x:c r="N4" s="131" t="n">
        <x:f>IFERROR(100*COUNTIFS('Raw_Data'!$G$2:$G$59,"&gt;=4",'Raw_Data'!$G$2:$G$59,"&lt;=5",'Raw_Data'!$A$2:$A$59,"Yes",'Raw_Data'!$D$2:$D$59,"ห้องแลป")/COUNTIFS('Raw_Data'!$G$2:$G$59,"&gt;=1",'Raw_Data'!$G$2:$G$59,"&lt;=5",'Raw_Data'!$A$2:$A$59,"Yes",'Raw_Data'!$D$2:$D$59,"ห้องแลป"),"")</x:f>
        <x:v>50</x:v>
      </x:c>
      <x:c r="O4" s="131" t="n">
        <x:f>IFERROR(100*COUNTIFS('Raw_Data'!$G$2:$G$59,"&gt;=4",'Raw_Data'!$G$2:$G$59,"&lt;=5",'Raw_Data'!$A$2:$A$59,"Yes",'Raw_Data'!$D$2:$D$59,"ห้องเอ็กซเรย์")/COUNTIFS('Raw_Data'!$G$2:$G$59,"&gt;=1",'Raw_Data'!$G$2:$G$59,"&lt;=5",'Raw_Data'!$A$2:$A$59,"Yes",'Raw_Data'!$D$2:$D$59,"ห้องเอ็กซเรย์"),"")</x:f>
        <x:v>100</x:v>
      </x:c>
      <x:c r="P4" s="131" t="n">
        <x:f>IFERROR(100*COUNTIFS('Raw_Data'!$G$2:$G$59,"&gt;=4",'Raw_Data'!$G$2:$G$59,"&lt;=5",'Raw_Data'!$A$2:$A$59,"Yes",'Raw_Data'!$D$2:$D$59,"ERและเปล")/COUNTIFS('Raw_Data'!$G$2:$G$59,"&gt;=1",'Raw_Data'!$G$2:$G$59,"&lt;=5",'Raw_Data'!$A$2:$A$59,"Yes",'Raw_Data'!$D$2:$D$59,"ERและเปล"),"")</x:f>
        <x:v>27.272727272727273</x:v>
      </x:c>
      <x:c r="Q4" s="131" t="n">
        <x:f>IFERROR(100*COUNTIFS('Raw_Data'!$G$2:$G$59,"&gt;=4",'Raw_Data'!$G$2:$G$59,"&lt;=5",'Raw_Data'!$A$2:$A$59,"Yes",'Raw_Data'!$D$2:$D$59,"HR")/COUNTIFS('Raw_Data'!$G$2:$G$59,"&gt;=1",'Raw_Data'!$G$2:$G$59,"&lt;=5",'Raw_Data'!$A$2:$A$59,"Yes",'Raw_Data'!$D$2:$D$59,"HR"),"")</x:f>
        <x:v>100</x:v>
      </x:c>
      <x:c r="R4" s="131" t="n">
        <x:f>IFERROR(100*COUNTIFS('Raw_Data'!$G$2:$G$59,"&gt;=4",'Raw_Data'!$G$2:$G$59,"&lt;=5",'Raw_Data'!$A$2:$A$59,"Yes",'Raw_Data'!$D$2:$D$59,"ICU")/COUNTIFS('Raw_Data'!$G$2:$G$59,"&gt;=1",'Raw_Data'!$G$2:$G$59,"&lt;=5",'Raw_Data'!$A$2:$A$59,"Yes",'Raw_Data'!$D$2:$D$59,"ICU"),"")</x:f>
        <x:v>100</x:v>
      </x:c>
      <x:c r="S4" s="131" t="n">
        <x:f>IFERROR(100*COUNTIFS('Raw_Data'!$G$2:$G$59,"&gt;=4",'Raw_Data'!$G$2:$G$59,"&lt;=5",'Raw_Data'!$A$2:$A$59,"Yes",'Raw_Data'!$D$2:$D$59,"IPD")/COUNTIFS('Raw_Data'!$G$2:$G$59,"&gt;=1",'Raw_Data'!$G$2:$G$59,"&lt;=5",'Raw_Data'!$A$2:$A$59,"Yes",'Raw_Data'!$D$2:$D$59,"IPD"),"")</x:f>
        <x:v>66.66666666666667</x:v>
      </x:c>
      <x:c r="T4" s="131" t="n">
        <x:f>IFERROR(100*COUNTIFS('Raw_Data'!$G$2:$G$59,"&gt;=4",'Raw_Data'!$G$2:$G$59,"&lt;=5",'Raw_Data'!$A$2:$A$59,"Yes",'Raw_Data'!$D$2:$D$59,"IT")/COUNTIFS('Raw_Data'!$G$2:$G$59,"&gt;=1",'Raw_Data'!$G$2:$G$59,"&lt;=5",'Raw_Data'!$A$2:$A$59,"Yes",'Raw_Data'!$D$2:$D$59,"IT"),"")</x:f>
        <x:v>100</x:v>
      </x:c>
      <x:c r="U4" s="131" t="n">
        <x:f>IFERROR(100*COUNTIFS('Raw_Data'!$G$2:$G$59,"&gt;=4",'Raw_Data'!$G$2:$G$59,"&lt;=5",'Raw_Data'!$A$2:$A$59,"Yes",'Raw_Data'!$D$2:$D$59,"OR")/COUNTIFS('Raw_Data'!$G$2:$G$59,"&gt;=1",'Raw_Data'!$G$2:$G$59,"&lt;=5",'Raw_Data'!$A$2:$A$59,"Yes",'Raw_Data'!$D$2:$D$59,"OR"),"")</x:f>
        <x:v>100</x:v>
      </x:c>
      <x:c r="V4" s="131" t="n">
        <x:f>IFERROR(100*COUNTIFS('Raw_Data'!$G$2:$G$59,"&gt;=4",'Raw_Data'!$G$2:$G$59,"&lt;=5",'Raw_Data'!$A$2:$A$59,"Yes",'Raw_Data'!$D$2:$D$59,"IPD",'Raw_Data'!$E$2:$E$59,"ผู้บริหาร")/COUNTIFS('Raw_Data'!$G$2:$G$59,"&gt;=1",'Raw_Data'!$G$2:$G$59,"&lt;=5",'Raw_Data'!$A$2:$A$59,"Yes",'Raw_Data'!$D$2:$D$59,"IPD",'Raw_Data'!$E$2:$E$59,"ผู้บริหาร"),"")</x:f>
        <x:v>100</x:v>
      </x:c>
      <x:c r="W4" s="131" t="n">
        <x:f>IFERROR(100*COUNTIFS('Raw_Data'!$G$2:$G$59,"&gt;=4",'Raw_Data'!$G$2:$G$59,"&lt;=5",'Raw_Data'!$A$2:$A$59,"Yes",'Raw_Data'!$D$2:$D$59,"ฝ่ายการพยาบาล",'Raw_Data'!$E$2:$E$59,"สายวิชาชีพสาธารณสุข")/COUNTIFS('Raw_Data'!$G$2:$G$59,"&gt;=1",'Raw_Data'!$G$2:$G$59,"&lt;=5",'Raw_Data'!$A$2:$A$59,"Yes",'Raw_Data'!$D$2:$D$59,"ฝ่ายการพยาบาล",'Raw_Data'!$E$2:$E$59,"สายวิชาชีพสาธารณสุข"),"")</x:f>
        <x:v>0</x:v>
      </x:c>
      <x:c r="X4" s="131" t="n">
        <x:f>IFERROR(100*COUNTIFS('Raw_Data'!$G$2:$G$59,"&gt;=4",'Raw_Data'!$G$2:$G$59,"&lt;=5",'Raw_Data'!$A$2:$A$59,"Yes",'Raw_Data'!$D$2:$D$59,"ERและเปล",'Raw_Data'!$E$2:$E$59,"สายวิชาชีพสาธารณสุข")/COUNTIFS('Raw_Data'!$G$2:$G$59,"&gt;=1",'Raw_Data'!$G$2:$G$59,"&lt;=5",'Raw_Data'!$A$2:$A$59,"Yes",'Raw_Data'!$D$2:$D$59,"ERและเปล",'Raw_Data'!$E$2:$E$59,"สายวิชาชีพสาธารณสุข"),"")</x:f>
        <x:v>28.571428571428573</x:v>
      </x:c>
      <x:c r="Y4" s="131" t="n">
        <x:f>IFERROR(100*COUNTIFS('Raw_Data'!$G$2:$G$59,"&gt;=4",'Raw_Data'!$G$2:$G$59,"&lt;=5",'Raw_Data'!$A$2:$A$59,"Yes",'Raw_Data'!$D$2:$D$59,"ICU",'Raw_Data'!$E$2:$E$59,"สายวิชาชีพสาธารณสุข")/COUNTIFS('Raw_Data'!$G$2:$G$59,"&gt;=1",'Raw_Data'!$G$2:$G$59,"&lt;=5",'Raw_Data'!$A$2:$A$59,"Yes",'Raw_Data'!$D$2:$D$59,"ICU",'Raw_Data'!$E$2:$E$59,"สายวิชาชีพสาธารณสุข"),"")</x:f>
        <x:v>100</x:v>
      </x:c>
      <x:c r="Z4" s="131" t="n">
        <x:f>IFERROR(100*COUNTIFS('Raw_Data'!$G$2:$G$59,"&gt;=4",'Raw_Data'!$G$2:$G$59,"&lt;=5",'Raw_Data'!$A$2:$A$59,"Yes",'Raw_Data'!$D$2:$D$59,"IPD",'Raw_Data'!$E$2:$E$59,"สายวิชาชีพสาธารณสุข")/COUNTIFS('Raw_Data'!$G$2:$G$59,"&gt;=1",'Raw_Data'!$G$2:$G$59,"&lt;=5",'Raw_Data'!$A$2:$A$59,"Yes",'Raw_Data'!$D$2:$D$59,"IPD",'Raw_Data'!$E$2:$E$59,"สายวิชาชีพสาธารณสุข"),"")</x:f>
        <x:v>100</x:v>
      </x:c>
      <x:c r="AA4" s="131" t="n">
        <x:f>IFERROR(100*COUNTIFS('Raw_Data'!$G$2:$G$59,"&gt;=4",'Raw_Data'!$G$2:$G$59,"&lt;=5",'Raw_Data'!$A$2:$A$59,"Yes",'Raw_Data'!$D$2:$D$59,"OR",'Raw_Data'!$E$2:$E$59,"สายวิชาชีพสาธารณสุข")/COUNTIFS('Raw_Data'!$G$2:$G$59,"&gt;=1",'Raw_Data'!$G$2:$G$59,"&lt;=5",'Raw_Data'!$A$2:$A$59,"Yes",'Raw_Data'!$D$2:$D$59,"OR",'Raw_Data'!$E$2:$E$59,"สายวิชาชีพสาธารณสุข"),"")</x:f>
        <x:v>100</x:v>
      </x:c>
      <x:c r="AB4" s="131" t="n">
        <x:f>IFERROR(100*COUNTIFS('Raw_Data'!$G$2:$G$59,"&gt;=4",'Raw_Data'!$G$2:$G$59,"&lt;=5",'Raw_Data'!$A$2:$A$59,"Yes",'Raw_Data'!$D$2:$D$59,"การเงิน",'Raw_Data'!$E$2:$E$59,"สายสนับสนุนทั่วไป")/COUNTIFS('Raw_Data'!$G$2:$G$59,"&gt;=1",'Raw_Data'!$G$2:$G$59,"&lt;=5",'Raw_Data'!$A$2:$A$59,"Yes",'Raw_Data'!$D$2:$D$59,"การเงิน",'Raw_Data'!$E$2:$E$59,"สายสนับสนุนทั่วไป"),"")</x:f>
        <x:v>33.333333333333336</x:v>
      </x:c>
      <x:c r="AC4" s="131" t="n">
        <x:f>IFERROR(100*COUNTIFS('Raw_Data'!$G$2:$G$59,"&gt;=4",'Raw_Data'!$G$2:$G$59,"&lt;=5",'Raw_Data'!$A$2:$A$59,"Yes",'Raw_Data'!$D$2:$D$59,"เคหรักษ์",'Raw_Data'!$E$2:$E$59,"สายสนับสนุนทั่วไป")/COUNTIFS('Raw_Data'!$G$2:$G$59,"&gt;=1",'Raw_Data'!$G$2:$G$59,"&lt;=5",'Raw_Data'!$A$2:$A$59,"Yes",'Raw_Data'!$D$2:$D$59,"เคหรักษ์",'Raw_Data'!$E$2:$E$59,"สายสนับสนุนทั่วไป"),"")</x:f>
        <x:v>0</x:v>
      </x:c>
      <x:c r="AD4" s="131" t="n">
        <x:f>IFERROR(100*COUNTIFS('Raw_Data'!$G$2:$G$59,"&gt;=4",'Raw_Data'!$G$2:$G$59,"&lt;=5",'Raw_Data'!$A$2:$A$59,"Yes",'Raw_Data'!$D$2:$D$59,"จ่ายกลาง",'Raw_Data'!$E$2:$E$59,"สายสนับสนุนทั่วไป")/COUNTIFS('Raw_Data'!$G$2:$G$59,"&gt;=1",'Raw_Data'!$G$2:$G$59,"&lt;=5",'Raw_Data'!$A$2:$A$59,"Yes",'Raw_Data'!$D$2:$D$59,"จ่ายกลาง",'Raw_Data'!$E$2:$E$59,"สายสนับสนุนทั่วไป"),"")</x:f>
        <x:v>100</x:v>
      </x:c>
      <x:c r="AE4" s="131" t="n">
        <x:f>IFERROR(100*COUNTIFS('Raw_Data'!$G$2:$G$59,"&gt;=4",'Raw_Data'!$G$2:$G$59,"&lt;=5",'Raw_Data'!$A$2:$A$59,"Yes",'Raw_Data'!$D$2:$D$59,"ช่างและสนาม",'Raw_Data'!$E$2:$E$59,"สายสนับสนุนทั่วไป")/COUNTIFS('Raw_Data'!$G$2:$G$59,"&gt;=1",'Raw_Data'!$G$2:$G$59,"&lt;=5",'Raw_Data'!$A$2:$A$59,"Yes",'Raw_Data'!$D$2:$D$59,"ช่างและสนาม",'Raw_Data'!$E$2:$E$59,"สายสนับสนุนทั่วไป"),"")</x:f>
        <x:v>50</x:v>
      </x:c>
      <x:c r="AF4" s="131" t="n">
        <x:f>IFERROR(100*COUNTIFS('Raw_Data'!$G$2:$G$59,"&gt;=4",'Raw_Data'!$G$2:$G$59,"&lt;=5",'Raw_Data'!$A$2:$A$59,"Yes",'Raw_Data'!$D$2:$D$59,"ผู้ป่วยสัมพันธ์",'Raw_Data'!$E$2:$E$59,"สายสนับสนุนทั่วไป")/COUNTIFS('Raw_Data'!$G$2:$G$59,"&gt;=1",'Raw_Data'!$G$2:$G$59,"&lt;=5",'Raw_Data'!$A$2:$A$59,"Yes",'Raw_Data'!$D$2:$D$59,"ผู้ป่วยสัมพันธ์",'Raw_Data'!$E$2:$E$59,"สายสนับสนุนทั่วไป"),"")</x:f>
        <x:v>0</x:v>
      </x:c>
      <x:c r="AG4" s="131" t="n">
        <x:f>IFERROR(100*COUNTIFS('Raw_Data'!$G$2:$G$59,"&gt;=4",'Raw_Data'!$G$2:$G$59,"&lt;=5",'Raw_Data'!$A$2:$A$59,"Yes",'Raw_Data'!$D$2:$D$59,"ยานพาหนะ",'Raw_Data'!$E$2:$E$59,"สายสนับสนุนทั่วไป")/COUNTIFS('Raw_Data'!$G$2:$G$59,"&gt;=1",'Raw_Data'!$G$2:$G$59,"&lt;=5",'Raw_Data'!$A$2:$A$59,"Yes",'Raw_Data'!$D$2:$D$59,"ยานพาหนะ",'Raw_Data'!$E$2:$E$59,"สายสนับสนุนทั่วไป"),"")</x:f>
        <x:v>0</x:v>
      </x:c>
      <x:c r="AH4" s="131" t="n">
        <x:f>IFERROR(100*COUNTIFS('Raw_Data'!$G$2:$G$59,"&gt;=4",'Raw_Data'!$G$2:$G$59,"&lt;=5",'Raw_Data'!$A$2:$A$59,"Yes",'Raw_Data'!$D$2:$D$59,"สื่อสารการตลาด",'Raw_Data'!$E$2:$E$59,"สายสนับสนุนทั่วไป")/COUNTIFS('Raw_Data'!$G$2:$G$59,"&gt;=1",'Raw_Data'!$G$2:$G$59,"&lt;=5",'Raw_Data'!$A$2:$A$59,"Yes",'Raw_Data'!$D$2:$D$59,"สื่อสารการตลาด",'Raw_Data'!$E$2:$E$59,"สายสนับสนุนทั่วไป"),"")</x:f>
        <x:v>0</x:v>
      </x:c>
      <x:c r="AI4" s="131" t="n">
        <x:f>IFERROR(100*COUNTIFS('Raw_Data'!$G$2:$G$59,"&gt;=4",'Raw_Data'!$G$2:$G$59,"&lt;=5",'Raw_Data'!$A$2:$A$59,"Yes",'Raw_Data'!$D$2:$D$59,"ERและเปล",'Raw_Data'!$E$2:$E$59,"สายสนับสนุนทั่วไป")/COUNTIFS('Raw_Data'!$G$2:$G$59,"&gt;=1",'Raw_Data'!$G$2:$G$59,"&lt;=5",'Raw_Data'!$A$2:$A$59,"Yes",'Raw_Data'!$D$2:$D$59,"ERและเปล",'Raw_Data'!$E$2:$E$59,"สายสนับสนุนทั่วไป"),"")</x:f>
        <x:v>33.333333333333336</x:v>
      </x:c>
      <x:c r="AJ4" s="131" t="n">
        <x:f>IFERROR(100*COUNTIFS('Raw_Data'!$G$2:$G$59,"&gt;=4",'Raw_Data'!$G$2:$G$59,"&lt;=5",'Raw_Data'!$A$2:$A$59,"Yes",'Raw_Data'!$D$2:$D$59,"HR",'Raw_Data'!$E$2:$E$59,"สายสนับสนุนทั่วไป")/COUNTIFS('Raw_Data'!$G$2:$G$59,"&gt;=1",'Raw_Data'!$G$2:$G$59,"&lt;=5",'Raw_Data'!$A$2:$A$59,"Yes",'Raw_Data'!$D$2:$D$59,"HR",'Raw_Data'!$E$2:$E$59,"สายสนับสนุนทั่วไป"),"")</x:f>
        <x:v>100</x:v>
      </x:c>
      <x:c r="AK4" s="131" t="n">
        <x:f>IFERROR(100*COUNTIFS('Raw_Data'!$G$2:$G$59,"&gt;=4",'Raw_Data'!$G$2:$G$59,"&lt;=5",'Raw_Data'!$A$2:$A$59,"Yes",'Raw_Data'!$D$2:$D$59,"ICU",'Raw_Data'!$E$2:$E$59,"สายสนับสนุนทั่วไป")/COUNTIFS('Raw_Data'!$G$2:$G$59,"&gt;=1",'Raw_Data'!$G$2:$G$59,"&lt;=5",'Raw_Data'!$A$2:$A$59,"Yes",'Raw_Data'!$D$2:$D$59,"ICU",'Raw_Data'!$E$2:$E$59,"สายสนับสนุนทั่วไป"),"")</x:f>
        <x:v>100</x:v>
      </x:c>
      <x:c r="AL4" s="131" t="n">
        <x:f>IFERROR(100*COUNTIFS('Raw_Data'!$G$2:$G$59,"&gt;=4",'Raw_Data'!$G$2:$G$59,"&lt;=5",'Raw_Data'!$A$2:$A$59,"Yes",'Raw_Data'!$D$2:$D$59,"IPD",'Raw_Data'!$E$2:$E$59,"สายสนับสนุนทั่วไป")/COUNTIFS('Raw_Data'!$G$2:$G$59,"&gt;=1",'Raw_Data'!$G$2:$G$59,"&lt;=5",'Raw_Data'!$A$2:$A$59,"Yes",'Raw_Data'!$D$2:$D$59,"IPD",'Raw_Data'!$E$2:$E$59,"สายสนับสนุนทั่วไป"),"")</x:f>
        <x:v>0</x:v>
      </x:c>
      <x:c r="AM4" s="131" t="n">
        <x:f>IFERROR(100*COUNTIFS('Raw_Data'!$G$2:$G$59,"&gt;=4",'Raw_Data'!$G$2:$G$59,"&lt;=5",'Raw_Data'!$A$2:$A$59,"Yes",'Raw_Data'!$D$2:$D$59,"IT",'Raw_Data'!$E$2:$E$59,"สายสนับสนุนทั่วไป")/COUNTIFS('Raw_Data'!$G$2:$G$59,"&gt;=1",'Raw_Data'!$G$2:$G$59,"&lt;=5",'Raw_Data'!$A$2:$A$59,"Yes",'Raw_Data'!$D$2:$D$59,"IT",'Raw_Data'!$E$2:$E$59,"สายสนับสนุนทั่วไป"),"")</x:f>
        <x:v>100</x:v>
      </x:c>
      <x:c r="AN4" s="131" t="n">
        <x:f>IFERROR(100*COUNTIFS('Raw_Data'!$G$2:$G$59,"&gt;=4",'Raw_Data'!$G$2:$G$59,"&lt;=5",'Raw_Data'!$A$2:$A$59,"Yes",'Raw_Data'!$D$2:$D$59,"ผู้ป่วยสัมพันธ์",'Raw_Data'!$E$2:$E$59,"สายสนับสนุนทางการแพทย์")/COUNTIFS('Raw_Data'!$G$2:$G$59,"&gt;=1",'Raw_Data'!$G$2:$G$59,"&lt;=5",'Raw_Data'!$A$2:$A$59,"Yes",'Raw_Data'!$D$2:$D$59,"ผู้ป่วยสัมพันธ์",'Raw_Data'!$E$2:$E$59,"สายสนับสนุนทางการแพทย์"),"")</x:f>
        <x:v>100</x:v>
      </x:c>
      <x:c r="AO4" s="131" t="n">
        <x:f>IFERROR(100*COUNTIFS('Raw_Data'!$G$2:$G$59,"&gt;=4",'Raw_Data'!$G$2:$G$59,"&lt;=5",'Raw_Data'!$A$2:$A$59,"Yes",'Raw_Data'!$D$2:$D$59,"ฝ่ายการพยาบาล",'Raw_Data'!$E$2:$E$59,"สายสนับสนุนทางการแพทย์")/COUNTIFS('Raw_Data'!$G$2:$G$59,"&gt;=1",'Raw_Data'!$G$2:$G$59,"&lt;=5",'Raw_Data'!$A$2:$A$59,"Yes",'Raw_Data'!$D$2:$D$59,"ฝ่ายการพยาบาล",'Raw_Data'!$E$2:$E$59,"สายสนับสนุนทางการแพทย์"),"")</x:f>
        <x:v>100</x:v>
      </x:c>
      <x:c r="AP4" s="131" t="n">
        <x:f>IFERROR(100*COUNTIFS('Raw_Data'!$G$2:$G$59,"&gt;=4",'Raw_Data'!$G$2:$G$59,"&lt;=5",'Raw_Data'!$A$2:$A$59,"Yes",'Raw_Data'!$D$2:$D$59,"โภชนาการ",'Raw_Data'!$E$2:$E$59,"สายสนับสนุนทางการแพทย์")/COUNTIFS('Raw_Data'!$G$2:$G$59,"&gt;=1",'Raw_Data'!$G$2:$G$59,"&lt;=5",'Raw_Data'!$A$2:$A$59,"Yes",'Raw_Data'!$D$2:$D$59,"โภชนาการ",'Raw_Data'!$E$2:$E$59,"สายสนับสนุนทางการแพทย์"),"")</x:f>
        <x:v>100</x:v>
      </x:c>
      <x:c r="AQ4" s="131" t="n">
        <x:f>IFERROR(100*COUNTIFS('Raw_Data'!$G$2:$G$59,"&gt;=4",'Raw_Data'!$G$2:$G$59,"&lt;=5",'Raw_Data'!$A$2:$A$59,"Yes",'Raw_Data'!$D$2:$D$59,"ห้องยา",'Raw_Data'!$E$2:$E$59,"สายสนับสนุนทางการแพทย์")/COUNTIFS('Raw_Data'!$G$2:$G$59,"&gt;=1",'Raw_Data'!$G$2:$G$59,"&lt;=5",'Raw_Data'!$A$2:$A$59,"Yes",'Raw_Data'!$D$2:$D$59,"ห้องยา",'Raw_Data'!$E$2:$E$59,"สายสนับสนุนทางการแพทย์"),"")</x:f>
        <x:v>100</x:v>
      </x:c>
      <x:c r="AR4" s="131" t="n">
        <x:f>IFERROR(100*COUNTIFS('Raw_Data'!$G$2:$G$59,"&gt;=4",'Raw_Data'!$G$2:$G$59,"&lt;=5",'Raw_Data'!$A$2:$A$59,"Yes",'Raw_Data'!$D$2:$D$59,"ห้องแลป",'Raw_Data'!$E$2:$E$59,"สายสนับสนุนทางการแพทย์")/COUNTIFS('Raw_Data'!$G$2:$G$59,"&gt;=1",'Raw_Data'!$G$2:$G$59,"&lt;=5",'Raw_Data'!$A$2:$A$59,"Yes",'Raw_Data'!$D$2:$D$59,"ห้องแลป",'Raw_Data'!$E$2:$E$59,"สายสนับสนุนทางการแพทย์"),"")</x:f>
        <x:v>50</x:v>
      </x:c>
      <x:c r="AS4" s="131" t="n">
        <x:f>IFERROR(100*COUNTIFS('Raw_Data'!$G$2:$G$59,"&gt;=4",'Raw_Data'!$G$2:$G$59,"&lt;=5",'Raw_Data'!$A$2:$A$59,"Yes",'Raw_Data'!$D$2:$D$59,"ห้องเอ็กซเรย์",'Raw_Data'!$E$2:$E$59,"สายสนับสนุนทางการแพทย์")/COUNTIFS('Raw_Data'!$G$2:$G$59,"&gt;=1",'Raw_Data'!$G$2:$G$59,"&lt;=5",'Raw_Data'!$A$2:$A$59,"Yes",'Raw_Data'!$D$2:$D$59,"ห้องเอ็กซเรย์",'Raw_Data'!$E$2:$E$59,"สายสนับสนุนทางการแพทย์"),"")</x:f>
        <x:v>100</x:v>
      </x:c>
      <x:c r="AT4" s="131" t="n">
        <x:f>IFERROR(100*COUNTIFS('Raw_Data'!$G$2:$G$59,"&gt;=4",'Raw_Data'!$G$2:$G$59,"&lt;=5",'Raw_Data'!$A$2:$A$59,"Yes",'Raw_Data'!$D$2:$D$59,"ERและเปล",'Raw_Data'!$E$2:$E$59,"สายสนับสนุนทางการแพทย์")/COUNTIFS('Raw_Data'!$G$2:$G$59,"&gt;=1",'Raw_Data'!$G$2:$G$59,"&lt;=5",'Raw_Data'!$A$2:$A$59,"Yes",'Raw_Data'!$D$2:$D$59,"ERและเปล",'Raw_Data'!$E$2:$E$59,"สายสนับสนุนทางการแพทย์"),"")</x:f>
        <x:v>0</x:v>
      </x:c>
      <x:c r="AU4" s="131" t="n">
        <x:f>IFERROR(100*COUNTIFS('Raw_Data'!$G$2:$G$59,"&gt;=4",'Raw_Data'!$G$2:$G$59,"&lt;=5",'Raw_Data'!$A$2:$A$59,"Yes",'Raw_Data'!$D$2:$D$59,"ICU",'Raw_Data'!$E$2:$E$59,"สายสนับสนุนทางการแพทย์")/COUNTIFS('Raw_Data'!$G$2:$G$59,"&gt;=1",'Raw_Data'!$G$2:$G$59,"&lt;=5",'Raw_Data'!$A$2:$A$59,"Yes",'Raw_Data'!$D$2:$D$59,"ICU",'Raw_Data'!$E$2:$E$59,"สายสนับสนุนทางการแพทย์"),"")</x:f>
        <x:v>100</x:v>
      </x:c>
      <x:c r="AV4" s="131" t="n">
        <x:f>IFERROR(100*COUNTIFS('Raw_Data'!$G$2:$G$59,"&gt;=4",'Raw_Data'!$G$2:$G$59,"&lt;=5",'Raw_Data'!$A$2:$A$59,"Yes",'Raw_Data'!$D$2:$D$59,"IPD",'Raw_Data'!$E$2:$E$59,"สายสนับสนุนทางการแพทย์")/COUNTIFS('Raw_Data'!$G$2:$G$59,"&gt;=1",'Raw_Data'!$G$2:$G$59,"&lt;=5",'Raw_Data'!$A$2:$A$59,"Yes",'Raw_Data'!$D$2:$D$59,"IPD",'Raw_Data'!$E$2:$E$59,"สายสนับสนุนทางการแพทย์"),"")</x:f>
        <x:v>50</x:v>
      </x:c>
      <x:c r="AW4" s="131" t="n">
        <x:f>IFERROR(100*COUNTIFS('Raw_Data'!$G$2:$G$59,"&gt;=4",'Raw_Data'!$G$2:$G$59,"&lt;=5",'Raw_Data'!$A$2:$A$59,"Yes",'Raw_Data'!$D$2:$D$59,"IT",'Raw_Data'!$E$2:$E$59,"สายสนับสนุนทางการแพทย์")/COUNTIFS('Raw_Data'!$G$2:$G$59,"&gt;=1",'Raw_Data'!$G$2:$G$59,"&lt;=5",'Raw_Data'!$A$2:$A$59,"Yes",'Raw_Data'!$D$2:$D$59,"IT",'Raw_Data'!$E$2:$E$59,"สายสนับสนุนทางการแพทย์"),"")</x:f>
        <x:v>100</x:v>
      </x:c>
    </x:row>
    <x:row r="5" ht="42" customHeight="1">
      <x:c r="A5" s="123"/>
      <x:c r="B5" s="124" t="str">
        <x:v>A8. ในช่วงเวลาที่มีภาระงานยุ่งมาก หรือยาก บุคลากรในหน่วยงานที่ท่านทำงานอยู่จะช่วยเหลือซึ่งกันและกันอย่างดี</x:v>
      </x:c>
      <x:c r="C5" s="131" t="n">
        <x:f>IFERROR(100*COUNTIFS('Raw_Data'!$H$2:$H$59,"&gt;=4",'Raw_Data'!$H$2:$H$59,"&lt;=5",'Raw_Data'!$A$2:$A$59,"Yes")/COUNTIFS('Raw_Data'!$H$2:$H$59,"&gt;=1",'Raw_Data'!$H$2:$H$59,"&lt;=5",'Raw_Data'!$A$2:$A$59,"Yes"),"")</x:f>
        <x:v>62.06896551724138</x:v>
      </x:c>
      <x:c r="D5" s="131" t="n">
        <x:f>IFERROR(100*COUNTIFS('Raw_Data'!$H$2:$H$59,"&gt;=4",'Raw_Data'!$H$2:$H$59,"&lt;=5",'Raw_Data'!$A$2:$A$59,"Yes",'Raw_Data'!$D$2:$D$59,"การเงิน")/COUNTIFS('Raw_Data'!$H$2:$H$59,"&gt;=1",'Raw_Data'!$H$2:$H$59,"&lt;=5",'Raw_Data'!$A$2:$A$59,"Yes",'Raw_Data'!$D$2:$D$59,"การเงิน"),"")</x:f>
        <x:v>33.333333333333336</x:v>
      </x:c>
      <x:c r="E5" s="131" t="n">
        <x:f>IFERROR(100*COUNTIFS('Raw_Data'!$H$2:$H$59,"&gt;=4",'Raw_Data'!$H$2:$H$59,"&lt;=5",'Raw_Data'!$A$2:$A$59,"Yes",'Raw_Data'!$D$2:$D$59,"เคหรักษ์")/COUNTIFS('Raw_Data'!$H$2:$H$59,"&gt;=1",'Raw_Data'!$H$2:$H$59,"&lt;=5",'Raw_Data'!$A$2:$A$59,"Yes",'Raw_Data'!$D$2:$D$59,"เคหรักษ์"),"")</x:f>
        <x:v>0</x:v>
      </x:c>
      <x:c r="F5" s="131" t="n">
        <x:f>IFERROR(100*COUNTIFS('Raw_Data'!$H$2:$H$59,"&gt;=4",'Raw_Data'!$H$2:$H$59,"&lt;=5",'Raw_Data'!$A$2:$A$59,"Yes",'Raw_Data'!$D$2:$D$59,"จ่ายกลาง")/COUNTIFS('Raw_Data'!$H$2:$H$59,"&gt;=1",'Raw_Data'!$H$2:$H$59,"&lt;=5",'Raw_Data'!$A$2:$A$59,"Yes",'Raw_Data'!$D$2:$D$59,"จ่ายกลาง"),"")</x:f>
        <x:v>100</x:v>
      </x:c>
      <x:c r="G5" s="131" t="n">
        <x:f>IFERROR(100*COUNTIFS('Raw_Data'!$H$2:$H$59,"&gt;=4",'Raw_Data'!$H$2:$H$59,"&lt;=5",'Raw_Data'!$A$2:$A$59,"Yes",'Raw_Data'!$D$2:$D$59,"ช่างและสนาม")/COUNTIFS('Raw_Data'!$H$2:$H$59,"&gt;=1",'Raw_Data'!$H$2:$H$59,"&lt;=5",'Raw_Data'!$A$2:$A$59,"Yes",'Raw_Data'!$D$2:$D$59,"ช่างและสนาม"),"")</x:f>
        <x:v>75</x:v>
      </x:c>
      <x:c r="H5" s="131" t="n">
        <x:f>IFERROR(100*COUNTIFS('Raw_Data'!$H$2:$H$59,"&gt;=4",'Raw_Data'!$H$2:$H$59,"&lt;=5",'Raw_Data'!$A$2:$A$59,"Yes",'Raw_Data'!$D$2:$D$59,"ผู้ป่วยสัมพันธ์")/COUNTIFS('Raw_Data'!$H$2:$H$59,"&gt;=1",'Raw_Data'!$H$2:$H$59,"&lt;=5",'Raw_Data'!$A$2:$A$59,"Yes",'Raw_Data'!$D$2:$D$59,"ผู้ป่วยสัมพันธ์"),"")</x:f>
        <x:v>50</x:v>
      </x:c>
      <x:c r="I5" s="131" t="n">
        <x:f>IFERROR(100*COUNTIFS('Raw_Data'!$H$2:$H$59,"&gt;=4",'Raw_Data'!$H$2:$H$59,"&lt;=5",'Raw_Data'!$A$2:$A$59,"Yes",'Raw_Data'!$D$2:$D$59,"ฝ่ายการพยาบาล")/COUNTIFS('Raw_Data'!$H$2:$H$59,"&gt;=1",'Raw_Data'!$H$2:$H$59,"&lt;=5",'Raw_Data'!$A$2:$A$59,"Yes",'Raw_Data'!$D$2:$D$59,"ฝ่ายการพยาบาล"),"")</x:f>
        <x:v>50</x:v>
      </x:c>
      <x:c r="J5" s="131" t="n">
        <x:f>IFERROR(100*COUNTIFS('Raw_Data'!$H$2:$H$59,"&gt;=4",'Raw_Data'!$H$2:$H$59,"&lt;=5",'Raw_Data'!$A$2:$A$59,"Yes",'Raw_Data'!$D$2:$D$59,"โภชนาการ")/COUNTIFS('Raw_Data'!$H$2:$H$59,"&gt;=1",'Raw_Data'!$H$2:$H$59,"&lt;=5",'Raw_Data'!$A$2:$A$59,"Yes",'Raw_Data'!$D$2:$D$59,"โภชนาการ"),"")</x:f>
        <x:v>100</x:v>
      </x:c>
      <x:c r="K5" s="131" t="n">
        <x:f>IFERROR(100*COUNTIFS('Raw_Data'!$H$2:$H$59,"&gt;=4",'Raw_Data'!$H$2:$H$59,"&lt;=5",'Raw_Data'!$A$2:$A$59,"Yes",'Raw_Data'!$D$2:$D$59,"ยานพาหนะ")/COUNTIFS('Raw_Data'!$H$2:$H$59,"&gt;=1",'Raw_Data'!$H$2:$H$59,"&lt;=5",'Raw_Data'!$A$2:$A$59,"Yes",'Raw_Data'!$D$2:$D$59,"ยานพาหนะ"),"")</x:f>
        <x:v>0</x:v>
      </x:c>
      <x:c r="L5" s="131" t="n">
        <x:f>IFERROR(100*COUNTIFS('Raw_Data'!$H$2:$H$59,"&gt;=4",'Raw_Data'!$H$2:$H$59,"&lt;=5",'Raw_Data'!$A$2:$A$59,"Yes",'Raw_Data'!$D$2:$D$59,"สื่อสารการตลาด")/COUNTIFS('Raw_Data'!$H$2:$H$59,"&gt;=1",'Raw_Data'!$H$2:$H$59,"&lt;=5",'Raw_Data'!$A$2:$A$59,"Yes",'Raw_Data'!$D$2:$D$59,"สื่อสารการตลาด"),"")</x:f>
        <x:v>100</x:v>
      </x:c>
      <x:c r="M5" s="131" t="n">
        <x:f>IFERROR(100*COUNTIFS('Raw_Data'!$H$2:$H$59,"&gt;=4",'Raw_Data'!$H$2:$H$59,"&lt;=5",'Raw_Data'!$A$2:$A$59,"Yes",'Raw_Data'!$D$2:$D$59,"ห้องยา")/COUNTIFS('Raw_Data'!$H$2:$H$59,"&gt;=1",'Raw_Data'!$H$2:$H$59,"&lt;=5",'Raw_Data'!$A$2:$A$59,"Yes",'Raw_Data'!$D$2:$D$59,"ห้องยา"),"")</x:f>
        <x:v>100</x:v>
      </x:c>
      <x:c r="N5" s="131" t="n">
        <x:f>IFERROR(100*COUNTIFS('Raw_Data'!$H$2:$H$59,"&gt;=4",'Raw_Data'!$H$2:$H$59,"&lt;=5",'Raw_Data'!$A$2:$A$59,"Yes",'Raw_Data'!$D$2:$D$59,"ห้องแลป")/COUNTIFS('Raw_Data'!$H$2:$H$59,"&gt;=1",'Raw_Data'!$H$2:$H$59,"&lt;=5",'Raw_Data'!$A$2:$A$59,"Yes",'Raw_Data'!$D$2:$D$59,"ห้องแลป"),"")</x:f>
        <x:v>0</x:v>
      </x:c>
      <x:c r="O5" s="131" t="n">
        <x:f>IFERROR(100*COUNTIFS('Raw_Data'!$H$2:$H$59,"&gt;=4",'Raw_Data'!$H$2:$H$59,"&lt;=5",'Raw_Data'!$A$2:$A$59,"Yes",'Raw_Data'!$D$2:$D$59,"ห้องเอ็กซเรย์")/COUNTIFS('Raw_Data'!$H$2:$H$59,"&gt;=1",'Raw_Data'!$H$2:$H$59,"&lt;=5",'Raw_Data'!$A$2:$A$59,"Yes",'Raw_Data'!$D$2:$D$59,"ห้องเอ็กซเรย์"),"")</x:f>
        <x:v>100</x:v>
      </x:c>
      <x:c r="P5" s="131" t="n">
        <x:f>IFERROR(100*COUNTIFS('Raw_Data'!$H$2:$H$59,"&gt;=4",'Raw_Data'!$H$2:$H$59,"&lt;=5",'Raw_Data'!$A$2:$A$59,"Yes",'Raw_Data'!$D$2:$D$59,"ERและเปล")/COUNTIFS('Raw_Data'!$H$2:$H$59,"&gt;=1",'Raw_Data'!$H$2:$H$59,"&lt;=5",'Raw_Data'!$A$2:$A$59,"Yes",'Raw_Data'!$D$2:$D$59,"ERและเปล"),"")</x:f>
        <x:v>36.36363636363637</x:v>
      </x:c>
      <x:c r="Q5" s="131" t="n">
        <x:f>IFERROR(100*COUNTIFS('Raw_Data'!$H$2:$H$59,"&gt;=4",'Raw_Data'!$H$2:$H$59,"&lt;=5",'Raw_Data'!$A$2:$A$59,"Yes",'Raw_Data'!$D$2:$D$59,"HR")/COUNTIFS('Raw_Data'!$H$2:$H$59,"&gt;=1",'Raw_Data'!$H$2:$H$59,"&lt;=5",'Raw_Data'!$A$2:$A$59,"Yes",'Raw_Data'!$D$2:$D$59,"HR"),"")</x:f>
        <x:v>100</x:v>
      </x:c>
      <x:c r="R5" s="131" t="n">
        <x:f>IFERROR(100*COUNTIFS('Raw_Data'!$H$2:$H$59,"&gt;=4",'Raw_Data'!$H$2:$H$59,"&lt;=5",'Raw_Data'!$A$2:$A$59,"Yes",'Raw_Data'!$D$2:$D$59,"ICU")/COUNTIFS('Raw_Data'!$H$2:$H$59,"&gt;=1",'Raw_Data'!$H$2:$H$59,"&lt;=5",'Raw_Data'!$A$2:$A$59,"Yes",'Raw_Data'!$D$2:$D$59,"ICU"),"")</x:f>
        <x:v>100</x:v>
      </x:c>
      <x:c r="S5" s="131" t="n">
        <x:f>IFERROR(100*COUNTIFS('Raw_Data'!$H$2:$H$59,"&gt;=4",'Raw_Data'!$H$2:$H$59,"&lt;=5",'Raw_Data'!$A$2:$A$59,"Yes",'Raw_Data'!$D$2:$D$59,"IPD")/COUNTIFS('Raw_Data'!$H$2:$H$59,"&gt;=1",'Raw_Data'!$H$2:$H$59,"&lt;=5",'Raw_Data'!$A$2:$A$59,"Yes",'Raw_Data'!$D$2:$D$59,"IPD"),"")</x:f>
        <x:v>66.66666666666667</x:v>
      </x:c>
      <x:c r="T5" s="131" t="n">
        <x:f>IFERROR(100*COUNTIFS('Raw_Data'!$H$2:$H$59,"&gt;=4",'Raw_Data'!$H$2:$H$59,"&lt;=5",'Raw_Data'!$A$2:$A$59,"Yes",'Raw_Data'!$D$2:$D$59,"IT")/COUNTIFS('Raw_Data'!$H$2:$H$59,"&gt;=1",'Raw_Data'!$H$2:$H$59,"&lt;=5",'Raw_Data'!$A$2:$A$59,"Yes",'Raw_Data'!$D$2:$D$59,"IT"),"")</x:f>
        <x:v>100</x:v>
      </x:c>
      <x:c r="U5" s="131" t="n">
        <x:f>IFERROR(100*COUNTIFS('Raw_Data'!$H$2:$H$59,"&gt;=4",'Raw_Data'!$H$2:$H$59,"&lt;=5",'Raw_Data'!$A$2:$A$59,"Yes",'Raw_Data'!$D$2:$D$59,"OR")/COUNTIFS('Raw_Data'!$H$2:$H$59,"&gt;=1",'Raw_Data'!$H$2:$H$59,"&lt;=5",'Raw_Data'!$A$2:$A$59,"Yes",'Raw_Data'!$D$2:$D$59,"OR"),"")</x:f>
        <x:v>50</x:v>
      </x:c>
      <x:c r="V5" s="131" t="n">
        <x:f>IFERROR(100*COUNTIFS('Raw_Data'!$H$2:$H$59,"&gt;=4",'Raw_Data'!$H$2:$H$59,"&lt;=5",'Raw_Data'!$A$2:$A$59,"Yes",'Raw_Data'!$D$2:$D$59,"IPD",'Raw_Data'!$E$2:$E$59,"ผู้บริหาร")/COUNTIFS('Raw_Data'!$H$2:$H$59,"&gt;=1",'Raw_Data'!$H$2:$H$59,"&lt;=5",'Raw_Data'!$A$2:$A$59,"Yes",'Raw_Data'!$D$2:$D$59,"IPD",'Raw_Data'!$E$2:$E$59,"ผู้บริหาร"),"")</x:f>
        <x:v>100</x:v>
      </x:c>
      <x:c r="W5" s="131" t="n">
        <x:f>IFERROR(100*COUNTIFS('Raw_Data'!$H$2:$H$59,"&gt;=4",'Raw_Data'!$H$2:$H$59,"&lt;=5",'Raw_Data'!$A$2:$A$59,"Yes",'Raw_Data'!$D$2:$D$59,"ฝ่ายการพยาบาล",'Raw_Data'!$E$2:$E$59,"สายวิชาชีพสาธารณสุข")/COUNTIFS('Raw_Data'!$H$2:$H$59,"&gt;=1",'Raw_Data'!$H$2:$H$59,"&lt;=5",'Raw_Data'!$A$2:$A$59,"Yes",'Raw_Data'!$D$2:$D$59,"ฝ่ายการพยาบาล",'Raw_Data'!$E$2:$E$59,"สายวิชาชีพสาธารณสุข"),"")</x:f>
        <x:v>0</x:v>
      </x:c>
      <x:c r="X5" s="131" t="n">
        <x:f>IFERROR(100*COUNTIFS('Raw_Data'!$H$2:$H$59,"&gt;=4",'Raw_Data'!$H$2:$H$59,"&lt;=5",'Raw_Data'!$A$2:$A$59,"Yes",'Raw_Data'!$D$2:$D$59,"ERและเปล",'Raw_Data'!$E$2:$E$59,"สายวิชาชีพสาธารณสุข")/COUNTIFS('Raw_Data'!$H$2:$H$59,"&gt;=1",'Raw_Data'!$H$2:$H$59,"&lt;=5",'Raw_Data'!$A$2:$A$59,"Yes",'Raw_Data'!$D$2:$D$59,"ERและเปล",'Raw_Data'!$E$2:$E$59,"สายวิชาชีพสาธารณสุข"),"")</x:f>
        <x:v>14.285714285714286</x:v>
      </x:c>
      <x:c r="Y5" s="131" t="n">
        <x:f>IFERROR(100*COUNTIFS('Raw_Data'!$H$2:$H$59,"&gt;=4",'Raw_Data'!$H$2:$H$59,"&lt;=5",'Raw_Data'!$A$2:$A$59,"Yes",'Raw_Data'!$D$2:$D$59,"ICU",'Raw_Data'!$E$2:$E$59,"สายวิชาชีพสาธารณสุข")/COUNTIFS('Raw_Data'!$H$2:$H$59,"&gt;=1",'Raw_Data'!$H$2:$H$59,"&lt;=5",'Raw_Data'!$A$2:$A$59,"Yes",'Raw_Data'!$D$2:$D$59,"ICU",'Raw_Data'!$E$2:$E$59,"สายวิชาชีพสาธารณสุข"),"")</x:f>
        <x:v>100</x:v>
      </x:c>
      <x:c r="Z5" s="131" t="n">
        <x:f>IFERROR(100*COUNTIFS('Raw_Data'!$H$2:$H$59,"&gt;=4",'Raw_Data'!$H$2:$H$59,"&lt;=5",'Raw_Data'!$A$2:$A$59,"Yes",'Raw_Data'!$D$2:$D$59,"IPD",'Raw_Data'!$E$2:$E$59,"สายวิชาชีพสาธารณสุข")/COUNTIFS('Raw_Data'!$H$2:$H$59,"&gt;=1",'Raw_Data'!$H$2:$H$59,"&lt;=5",'Raw_Data'!$A$2:$A$59,"Yes",'Raw_Data'!$D$2:$D$59,"IPD",'Raw_Data'!$E$2:$E$59,"สายวิชาชีพสาธารณสุข"),"")</x:f>
        <x:v>100</x:v>
      </x:c>
      <x:c r="AA5" s="131" t="n">
        <x:f>IFERROR(100*COUNTIFS('Raw_Data'!$H$2:$H$59,"&gt;=4",'Raw_Data'!$H$2:$H$59,"&lt;=5",'Raw_Data'!$A$2:$A$59,"Yes",'Raw_Data'!$D$2:$D$59,"OR",'Raw_Data'!$E$2:$E$59,"สายวิชาชีพสาธารณสุข")/COUNTIFS('Raw_Data'!$H$2:$H$59,"&gt;=1",'Raw_Data'!$H$2:$H$59,"&lt;=5",'Raw_Data'!$A$2:$A$59,"Yes",'Raw_Data'!$D$2:$D$59,"OR",'Raw_Data'!$E$2:$E$59,"สายวิชาชีพสาธารณสุข"),"")</x:f>
        <x:v>50</x:v>
      </x:c>
      <x:c r="AB5" s="131" t="n">
        <x:f>IFERROR(100*COUNTIFS('Raw_Data'!$H$2:$H$59,"&gt;=4",'Raw_Data'!$H$2:$H$59,"&lt;=5",'Raw_Data'!$A$2:$A$59,"Yes",'Raw_Data'!$D$2:$D$59,"การเงิน",'Raw_Data'!$E$2:$E$59,"สายสนับสนุนทั่วไป")/COUNTIFS('Raw_Data'!$H$2:$H$59,"&gt;=1",'Raw_Data'!$H$2:$H$59,"&lt;=5",'Raw_Data'!$A$2:$A$59,"Yes",'Raw_Data'!$D$2:$D$59,"การเงิน",'Raw_Data'!$E$2:$E$59,"สายสนับสนุนทั่วไป"),"")</x:f>
        <x:v>33.333333333333336</x:v>
      </x:c>
      <x:c r="AC5" s="131" t="n">
        <x:f>IFERROR(100*COUNTIFS('Raw_Data'!$H$2:$H$59,"&gt;=4",'Raw_Data'!$H$2:$H$59,"&lt;=5",'Raw_Data'!$A$2:$A$59,"Yes",'Raw_Data'!$D$2:$D$59,"เคหรักษ์",'Raw_Data'!$E$2:$E$59,"สายสนับสนุนทั่วไป")/COUNTIFS('Raw_Data'!$H$2:$H$59,"&gt;=1",'Raw_Data'!$H$2:$H$59,"&lt;=5",'Raw_Data'!$A$2:$A$59,"Yes",'Raw_Data'!$D$2:$D$59,"เคหรักษ์",'Raw_Data'!$E$2:$E$59,"สายสนับสนุนทั่วไป"),"")</x:f>
        <x:v>0</x:v>
      </x:c>
      <x:c r="AD5" s="131" t="n">
        <x:f>IFERROR(100*COUNTIFS('Raw_Data'!$H$2:$H$59,"&gt;=4",'Raw_Data'!$H$2:$H$59,"&lt;=5",'Raw_Data'!$A$2:$A$59,"Yes",'Raw_Data'!$D$2:$D$59,"จ่ายกลาง",'Raw_Data'!$E$2:$E$59,"สายสนับสนุนทั่วไป")/COUNTIFS('Raw_Data'!$H$2:$H$59,"&gt;=1",'Raw_Data'!$H$2:$H$59,"&lt;=5",'Raw_Data'!$A$2:$A$59,"Yes",'Raw_Data'!$D$2:$D$59,"จ่ายกลาง",'Raw_Data'!$E$2:$E$59,"สายสนับสนุนทั่วไป"),"")</x:f>
        <x:v>100</x:v>
      </x:c>
      <x:c r="AE5" s="131" t="n">
        <x:f>IFERROR(100*COUNTIFS('Raw_Data'!$H$2:$H$59,"&gt;=4",'Raw_Data'!$H$2:$H$59,"&lt;=5",'Raw_Data'!$A$2:$A$59,"Yes",'Raw_Data'!$D$2:$D$59,"ช่างและสนาม",'Raw_Data'!$E$2:$E$59,"สายสนับสนุนทั่วไป")/COUNTIFS('Raw_Data'!$H$2:$H$59,"&gt;=1",'Raw_Data'!$H$2:$H$59,"&lt;=5",'Raw_Data'!$A$2:$A$59,"Yes",'Raw_Data'!$D$2:$D$59,"ช่างและสนาม",'Raw_Data'!$E$2:$E$59,"สายสนับสนุนทั่วไป"),"")</x:f>
        <x:v>75</x:v>
      </x:c>
      <x:c r="AF5" s="131" t="n">
        <x:f>IFERROR(100*COUNTIFS('Raw_Data'!$H$2:$H$59,"&gt;=4",'Raw_Data'!$H$2:$H$59,"&lt;=5",'Raw_Data'!$A$2:$A$59,"Yes",'Raw_Data'!$D$2:$D$59,"ผู้ป่วยสัมพันธ์",'Raw_Data'!$E$2:$E$59,"สายสนับสนุนทั่วไป")/COUNTIFS('Raw_Data'!$H$2:$H$59,"&gt;=1",'Raw_Data'!$H$2:$H$59,"&lt;=5",'Raw_Data'!$A$2:$A$59,"Yes",'Raw_Data'!$D$2:$D$59,"ผู้ป่วยสัมพันธ์",'Raw_Data'!$E$2:$E$59,"สายสนับสนุนทั่วไป"),"")</x:f>
        <x:v>0</x:v>
      </x:c>
      <x:c r="AG5" s="131" t="n">
        <x:f>IFERROR(100*COUNTIFS('Raw_Data'!$H$2:$H$59,"&gt;=4",'Raw_Data'!$H$2:$H$59,"&lt;=5",'Raw_Data'!$A$2:$A$59,"Yes",'Raw_Data'!$D$2:$D$59,"ยานพาหนะ",'Raw_Data'!$E$2:$E$59,"สายสนับสนุนทั่วไป")/COUNTIFS('Raw_Data'!$H$2:$H$59,"&gt;=1",'Raw_Data'!$H$2:$H$59,"&lt;=5",'Raw_Data'!$A$2:$A$59,"Yes",'Raw_Data'!$D$2:$D$59,"ยานพาหนะ",'Raw_Data'!$E$2:$E$59,"สายสนับสนุนทั่วไป"),"")</x:f>
        <x:v>0</x:v>
      </x:c>
      <x:c r="AH5" s="131" t="n">
        <x:f>IFERROR(100*COUNTIFS('Raw_Data'!$H$2:$H$59,"&gt;=4",'Raw_Data'!$H$2:$H$59,"&lt;=5",'Raw_Data'!$A$2:$A$59,"Yes",'Raw_Data'!$D$2:$D$59,"สื่อสารการตลาด",'Raw_Data'!$E$2:$E$59,"สายสนับสนุนทั่วไป")/COUNTIFS('Raw_Data'!$H$2:$H$59,"&gt;=1",'Raw_Data'!$H$2:$H$59,"&lt;=5",'Raw_Data'!$A$2:$A$59,"Yes",'Raw_Data'!$D$2:$D$59,"สื่อสารการตลาด",'Raw_Data'!$E$2:$E$59,"สายสนับสนุนทั่วไป"),"")</x:f>
        <x:v>100</x:v>
      </x:c>
      <x:c r="AI5" s="131" t="n">
        <x:f>IFERROR(100*COUNTIFS('Raw_Data'!$H$2:$H$59,"&gt;=4",'Raw_Data'!$H$2:$H$59,"&lt;=5",'Raw_Data'!$A$2:$A$59,"Yes",'Raw_Data'!$D$2:$D$59,"ERและเปล",'Raw_Data'!$E$2:$E$59,"สายสนับสนุนทั่วไป")/COUNTIFS('Raw_Data'!$H$2:$H$59,"&gt;=1",'Raw_Data'!$H$2:$H$59,"&lt;=5",'Raw_Data'!$A$2:$A$59,"Yes",'Raw_Data'!$D$2:$D$59,"ERและเปล",'Raw_Data'!$E$2:$E$59,"สายสนับสนุนทั่วไป"),"")</x:f>
        <x:v>100</x:v>
      </x:c>
      <x:c r="AJ5" s="131" t="n">
        <x:f>IFERROR(100*COUNTIFS('Raw_Data'!$H$2:$H$59,"&gt;=4",'Raw_Data'!$H$2:$H$59,"&lt;=5",'Raw_Data'!$A$2:$A$59,"Yes",'Raw_Data'!$D$2:$D$59,"HR",'Raw_Data'!$E$2:$E$59,"สายสนับสนุนทั่วไป")/COUNTIFS('Raw_Data'!$H$2:$H$59,"&gt;=1",'Raw_Data'!$H$2:$H$59,"&lt;=5",'Raw_Data'!$A$2:$A$59,"Yes",'Raw_Data'!$D$2:$D$59,"HR",'Raw_Data'!$E$2:$E$59,"สายสนับสนุนทั่วไป"),"")</x:f>
        <x:v>100</x:v>
      </x:c>
      <x:c r="AK5" s="131" t="n">
        <x:f>IFERROR(100*COUNTIFS('Raw_Data'!$H$2:$H$59,"&gt;=4",'Raw_Data'!$H$2:$H$59,"&lt;=5",'Raw_Data'!$A$2:$A$59,"Yes",'Raw_Data'!$D$2:$D$59,"ICU",'Raw_Data'!$E$2:$E$59,"สายสนับสนุนทั่วไป")/COUNTIFS('Raw_Data'!$H$2:$H$59,"&gt;=1",'Raw_Data'!$H$2:$H$59,"&lt;=5",'Raw_Data'!$A$2:$A$59,"Yes",'Raw_Data'!$D$2:$D$59,"ICU",'Raw_Data'!$E$2:$E$59,"สายสนับสนุนทั่วไป"),"")</x:f>
        <x:v>100</x:v>
      </x:c>
      <x:c r="AL5" s="131" t="n">
        <x:f>IFERROR(100*COUNTIFS('Raw_Data'!$H$2:$H$59,"&gt;=4",'Raw_Data'!$H$2:$H$59,"&lt;=5",'Raw_Data'!$A$2:$A$59,"Yes",'Raw_Data'!$D$2:$D$59,"IPD",'Raw_Data'!$E$2:$E$59,"สายสนับสนุนทั่วไป")/COUNTIFS('Raw_Data'!$H$2:$H$59,"&gt;=1",'Raw_Data'!$H$2:$H$59,"&lt;=5",'Raw_Data'!$A$2:$A$59,"Yes",'Raw_Data'!$D$2:$D$59,"IPD",'Raw_Data'!$E$2:$E$59,"สายสนับสนุนทั่วไป"),"")</x:f>
        <x:v>0</x:v>
      </x:c>
      <x:c r="AM5" s="131" t="n">
        <x:f>IFERROR(100*COUNTIFS('Raw_Data'!$H$2:$H$59,"&gt;=4",'Raw_Data'!$H$2:$H$59,"&lt;=5",'Raw_Data'!$A$2:$A$59,"Yes",'Raw_Data'!$D$2:$D$59,"IT",'Raw_Data'!$E$2:$E$59,"สายสนับสนุนทั่วไป")/COUNTIFS('Raw_Data'!$H$2:$H$59,"&gt;=1",'Raw_Data'!$H$2:$H$59,"&lt;=5",'Raw_Data'!$A$2:$A$59,"Yes",'Raw_Data'!$D$2:$D$59,"IT",'Raw_Data'!$E$2:$E$59,"สายสนับสนุนทั่วไป"),"")</x:f>
        <x:v>100</x:v>
      </x:c>
      <x:c r="AN5" s="131" t="n">
        <x:f>IFERROR(100*COUNTIFS('Raw_Data'!$H$2:$H$59,"&gt;=4",'Raw_Data'!$H$2:$H$59,"&lt;=5",'Raw_Data'!$A$2:$A$59,"Yes",'Raw_Data'!$D$2:$D$59,"ผู้ป่วยสัมพันธ์",'Raw_Data'!$E$2:$E$59,"สายสนับสนุนทางการแพทย์")/COUNTIFS('Raw_Data'!$H$2:$H$59,"&gt;=1",'Raw_Data'!$H$2:$H$59,"&lt;=5",'Raw_Data'!$A$2:$A$59,"Yes",'Raw_Data'!$D$2:$D$59,"ผู้ป่วยสัมพันธ์",'Raw_Data'!$E$2:$E$59,"สายสนับสนุนทางการแพทย์"),"")</x:f>
        <x:v>66.66666666666667</x:v>
      </x:c>
      <x:c r="AO5" s="131" t="n">
        <x:f>IFERROR(100*COUNTIFS('Raw_Data'!$H$2:$H$59,"&gt;=4",'Raw_Data'!$H$2:$H$59,"&lt;=5",'Raw_Data'!$A$2:$A$59,"Yes",'Raw_Data'!$D$2:$D$59,"ฝ่ายการพยาบาล",'Raw_Data'!$E$2:$E$59,"สายสนับสนุนทางการแพทย์")/COUNTIFS('Raw_Data'!$H$2:$H$59,"&gt;=1",'Raw_Data'!$H$2:$H$59,"&lt;=5",'Raw_Data'!$A$2:$A$59,"Yes",'Raw_Data'!$D$2:$D$59,"ฝ่ายการพยาบาล",'Raw_Data'!$E$2:$E$59,"สายสนับสนุนทางการแพทย์"),"")</x:f>
        <x:v>100</x:v>
      </x:c>
      <x:c r="AP5" s="131" t="n">
        <x:f>IFERROR(100*COUNTIFS('Raw_Data'!$H$2:$H$59,"&gt;=4",'Raw_Data'!$H$2:$H$59,"&lt;=5",'Raw_Data'!$A$2:$A$59,"Yes",'Raw_Data'!$D$2:$D$59,"โภชนาการ",'Raw_Data'!$E$2:$E$59,"สายสนับสนุนทางการแพทย์")/COUNTIFS('Raw_Data'!$H$2:$H$59,"&gt;=1",'Raw_Data'!$H$2:$H$59,"&lt;=5",'Raw_Data'!$A$2:$A$59,"Yes",'Raw_Data'!$D$2:$D$59,"โภชนาการ",'Raw_Data'!$E$2:$E$59,"สายสนับสนุนทางการแพทย์"),"")</x:f>
        <x:v>100</x:v>
      </x:c>
      <x:c r="AQ5" s="131" t="n">
        <x:f>IFERROR(100*COUNTIFS('Raw_Data'!$H$2:$H$59,"&gt;=4",'Raw_Data'!$H$2:$H$59,"&lt;=5",'Raw_Data'!$A$2:$A$59,"Yes",'Raw_Data'!$D$2:$D$59,"ห้องยา",'Raw_Data'!$E$2:$E$59,"สายสนับสนุนทางการแพทย์")/COUNTIFS('Raw_Data'!$H$2:$H$59,"&gt;=1",'Raw_Data'!$H$2:$H$59,"&lt;=5",'Raw_Data'!$A$2:$A$59,"Yes",'Raw_Data'!$D$2:$D$59,"ห้องยา",'Raw_Data'!$E$2:$E$59,"สายสนับสนุนทางการแพทย์"),"")</x:f>
        <x:v>100</x:v>
      </x:c>
      <x:c r="AR5" s="131" t="n">
        <x:f>IFERROR(100*COUNTIFS('Raw_Data'!$H$2:$H$59,"&gt;=4",'Raw_Data'!$H$2:$H$59,"&lt;=5",'Raw_Data'!$A$2:$A$59,"Yes",'Raw_Data'!$D$2:$D$59,"ห้องแลป",'Raw_Data'!$E$2:$E$59,"สายสนับสนุนทางการแพทย์")/COUNTIFS('Raw_Data'!$H$2:$H$59,"&gt;=1",'Raw_Data'!$H$2:$H$59,"&lt;=5",'Raw_Data'!$A$2:$A$59,"Yes",'Raw_Data'!$D$2:$D$59,"ห้องแลป",'Raw_Data'!$E$2:$E$59,"สายสนับสนุนทางการแพทย์"),"")</x:f>
        <x:v>0</x:v>
      </x:c>
      <x:c r="AS5" s="131" t="n">
        <x:f>IFERROR(100*COUNTIFS('Raw_Data'!$H$2:$H$59,"&gt;=4",'Raw_Data'!$H$2:$H$59,"&lt;=5",'Raw_Data'!$A$2:$A$59,"Yes",'Raw_Data'!$D$2:$D$59,"ห้องเอ็กซเรย์",'Raw_Data'!$E$2:$E$59,"สายสนับสนุนทางการแพทย์")/COUNTIFS('Raw_Data'!$H$2:$H$59,"&gt;=1",'Raw_Data'!$H$2:$H$59,"&lt;=5",'Raw_Data'!$A$2:$A$59,"Yes",'Raw_Data'!$D$2:$D$59,"ห้องเอ็กซเรย์",'Raw_Data'!$E$2:$E$59,"สายสนับสนุนทางการแพทย์"),"")</x:f>
        <x:v>100</x:v>
      </x:c>
      <x:c r="AT5" s="131" t="n">
        <x:f>IFERROR(100*COUNTIFS('Raw_Data'!$H$2:$H$59,"&gt;=4",'Raw_Data'!$H$2:$H$59,"&lt;=5",'Raw_Data'!$A$2:$A$59,"Yes",'Raw_Data'!$D$2:$D$59,"ERและเปล",'Raw_Data'!$E$2:$E$59,"สายสนับสนุนทางการแพทย์")/COUNTIFS('Raw_Data'!$H$2:$H$59,"&gt;=1",'Raw_Data'!$H$2:$H$59,"&lt;=5",'Raw_Data'!$A$2:$A$59,"Yes",'Raw_Data'!$D$2:$D$59,"ERและเปล",'Raw_Data'!$E$2:$E$59,"สายสนับสนุนทางการแพทย์"),"")</x:f>
        <x:v>0</x:v>
      </x:c>
      <x:c r="AU5" s="131" t="n">
        <x:f>IFERROR(100*COUNTIFS('Raw_Data'!$H$2:$H$59,"&gt;=4",'Raw_Data'!$H$2:$H$59,"&lt;=5",'Raw_Data'!$A$2:$A$59,"Yes",'Raw_Data'!$D$2:$D$59,"ICU",'Raw_Data'!$E$2:$E$59,"สายสนับสนุนทางการแพทย์")/COUNTIFS('Raw_Data'!$H$2:$H$59,"&gt;=1",'Raw_Data'!$H$2:$H$59,"&lt;=5",'Raw_Data'!$A$2:$A$59,"Yes",'Raw_Data'!$D$2:$D$59,"ICU",'Raw_Data'!$E$2:$E$59,"สายสนับสนุนทางการแพทย์"),"")</x:f>
        <x:v>100</x:v>
      </x:c>
      <x:c r="AV5" s="131" t="n">
        <x:f>IFERROR(100*COUNTIFS('Raw_Data'!$H$2:$H$59,"&gt;=4",'Raw_Data'!$H$2:$H$59,"&lt;=5",'Raw_Data'!$A$2:$A$59,"Yes",'Raw_Data'!$D$2:$D$59,"IPD",'Raw_Data'!$E$2:$E$59,"สายสนับสนุนทางการแพทย์")/COUNTIFS('Raw_Data'!$H$2:$H$59,"&gt;=1",'Raw_Data'!$H$2:$H$59,"&lt;=5",'Raw_Data'!$A$2:$A$59,"Yes",'Raw_Data'!$D$2:$D$59,"IPD",'Raw_Data'!$E$2:$E$59,"สายสนับสนุนทางการแพทย์"),"")</x:f>
        <x:v>50</x:v>
      </x:c>
      <x:c r="AW5" s="131" t="n">
        <x:f>IFERROR(100*COUNTIFS('Raw_Data'!$H$2:$H$59,"&gt;=4",'Raw_Data'!$H$2:$H$59,"&lt;=5",'Raw_Data'!$A$2:$A$59,"Yes",'Raw_Data'!$D$2:$D$59,"IT",'Raw_Data'!$E$2:$E$59,"สายสนับสนุนทางการแพทย์")/COUNTIFS('Raw_Data'!$H$2:$H$59,"&gt;=1",'Raw_Data'!$H$2:$H$59,"&lt;=5",'Raw_Data'!$A$2:$A$59,"Yes",'Raw_Data'!$D$2:$D$59,"IT",'Raw_Data'!$E$2:$E$59,"สายสนับสนุนทางการแพทย์"),"")</x:f>
        <x:v>100</x:v>
      </x:c>
    </x:row>
    <x:row r="6" ht="42" customHeight="1">
      <x:c r="A6" s="123"/>
      <x:c r="B6" s="124" t="str">
        <x:v>A9. ในหน่วยงานที่ท่านทำงานอยู่มีปัญหาเรื่องพฤติกรรมในการทำงานของบุคลากรที่ไม่เคารพซึ่งกันและกัน</x:v>
      </x:c>
      <x:c r="C6" s="131" t="n">
        <x:f>IFERROR(100*COUNTIFS('Raw_Data'!$I$2:$I$59,"&gt;=1",'Raw_Data'!$I$2:$I$59,"&lt;=2",'Raw_Data'!$A$2:$A$59,"Yes")/COUNTIFS('Raw_Data'!$I$2:$I$59,"&gt;=1",'Raw_Data'!$I$2:$I$59,"&lt;=5",'Raw_Data'!$A$2:$A$59,"Yes"),"")</x:f>
        <x:v>46.55172413793103</x:v>
      </x:c>
      <x:c r="D6" s="131" t="n">
        <x:f>IFERROR(100*COUNTIFS('Raw_Data'!$I$2:$I$59,"&gt;=1",'Raw_Data'!$I$2:$I$59,"&lt;=2",'Raw_Data'!$A$2:$A$59,"Yes",'Raw_Data'!$D$2:$D$59,"การเงิน")/COUNTIFS('Raw_Data'!$I$2:$I$59,"&gt;=1",'Raw_Data'!$I$2:$I$59,"&lt;=5",'Raw_Data'!$A$2:$A$59,"Yes",'Raw_Data'!$D$2:$D$59,"การเงิน"),"")</x:f>
        <x:v>33.333333333333336</x:v>
      </x:c>
      <x:c r="E6" s="131" t="n">
        <x:f>IFERROR(100*COUNTIFS('Raw_Data'!$I$2:$I$59,"&gt;=1",'Raw_Data'!$I$2:$I$59,"&lt;=2",'Raw_Data'!$A$2:$A$59,"Yes",'Raw_Data'!$D$2:$D$59,"เคหรักษ์")/COUNTIFS('Raw_Data'!$I$2:$I$59,"&gt;=1",'Raw_Data'!$I$2:$I$59,"&lt;=5",'Raw_Data'!$A$2:$A$59,"Yes",'Raw_Data'!$D$2:$D$59,"เคหรักษ์"),"")</x:f>
        <x:v>0</x:v>
      </x:c>
      <x:c r="F6" s="131" t="n">
        <x:f>IFERROR(100*COUNTIFS('Raw_Data'!$I$2:$I$59,"&gt;=1",'Raw_Data'!$I$2:$I$59,"&lt;=2",'Raw_Data'!$A$2:$A$59,"Yes",'Raw_Data'!$D$2:$D$59,"จ่ายกลาง")/COUNTIFS('Raw_Data'!$I$2:$I$59,"&gt;=1",'Raw_Data'!$I$2:$I$59,"&lt;=5",'Raw_Data'!$A$2:$A$59,"Yes",'Raw_Data'!$D$2:$D$59,"จ่ายกลาง"),"")</x:f>
        <x:v>100</x:v>
      </x:c>
      <x:c r="G6" s="131" t="n">
        <x:f>IFERROR(100*COUNTIFS('Raw_Data'!$I$2:$I$59,"&gt;=1",'Raw_Data'!$I$2:$I$59,"&lt;=2",'Raw_Data'!$A$2:$A$59,"Yes",'Raw_Data'!$D$2:$D$59,"ช่างและสนาม")/COUNTIFS('Raw_Data'!$I$2:$I$59,"&gt;=1",'Raw_Data'!$I$2:$I$59,"&lt;=5",'Raw_Data'!$A$2:$A$59,"Yes",'Raw_Data'!$D$2:$D$59,"ช่างและสนาม"),"")</x:f>
        <x:v>50</x:v>
      </x:c>
      <x:c r="H6" s="131" t="n">
        <x:f>IFERROR(100*COUNTIFS('Raw_Data'!$I$2:$I$59,"&gt;=1",'Raw_Data'!$I$2:$I$59,"&lt;=2",'Raw_Data'!$A$2:$A$59,"Yes",'Raw_Data'!$D$2:$D$59,"ผู้ป่วยสัมพันธ์")/COUNTIFS('Raw_Data'!$I$2:$I$59,"&gt;=1",'Raw_Data'!$I$2:$I$59,"&lt;=5",'Raw_Data'!$A$2:$A$59,"Yes",'Raw_Data'!$D$2:$D$59,"ผู้ป่วยสัมพันธ์"),"")</x:f>
        <x:v>50</x:v>
      </x:c>
      <x:c r="I6" s="131" t="n">
        <x:f>IFERROR(100*COUNTIFS('Raw_Data'!$I$2:$I$59,"&gt;=1",'Raw_Data'!$I$2:$I$59,"&lt;=2",'Raw_Data'!$A$2:$A$59,"Yes",'Raw_Data'!$D$2:$D$59,"ฝ่ายการพยาบาล")/COUNTIFS('Raw_Data'!$I$2:$I$59,"&gt;=1",'Raw_Data'!$I$2:$I$59,"&lt;=5",'Raw_Data'!$A$2:$A$59,"Yes",'Raw_Data'!$D$2:$D$59,"ฝ่ายการพยาบาล"),"")</x:f>
        <x:v>50</x:v>
      </x:c>
      <x:c r="J6" s="131" t="n">
        <x:f>IFERROR(100*COUNTIFS('Raw_Data'!$I$2:$I$59,"&gt;=1",'Raw_Data'!$I$2:$I$59,"&lt;=2",'Raw_Data'!$A$2:$A$59,"Yes",'Raw_Data'!$D$2:$D$59,"โภชนาการ")/COUNTIFS('Raw_Data'!$I$2:$I$59,"&gt;=1",'Raw_Data'!$I$2:$I$59,"&lt;=5",'Raw_Data'!$A$2:$A$59,"Yes",'Raw_Data'!$D$2:$D$59,"โภชนาการ"),"")</x:f>
        <x:v>100</x:v>
      </x:c>
      <x:c r="K6" s="131" t="n">
        <x:f>IFERROR(100*COUNTIFS('Raw_Data'!$I$2:$I$59,"&gt;=1",'Raw_Data'!$I$2:$I$59,"&lt;=2",'Raw_Data'!$A$2:$A$59,"Yes",'Raw_Data'!$D$2:$D$59,"ยานพาหนะ")/COUNTIFS('Raw_Data'!$I$2:$I$59,"&gt;=1",'Raw_Data'!$I$2:$I$59,"&lt;=5",'Raw_Data'!$A$2:$A$59,"Yes",'Raw_Data'!$D$2:$D$59,"ยานพาหนะ"),"")</x:f>
        <x:v>0</x:v>
      </x:c>
      <x:c r="L6" s="131" t="n">
        <x:f>IFERROR(100*COUNTIFS('Raw_Data'!$I$2:$I$59,"&gt;=1",'Raw_Data'!$I$2:$I$59,"&lt;=2",'Raw_Data'!$A$2:$A$59,"Yes",'Raw_Data'!$D$2:$D$59,"สื่อสารการตลาด")/COUNTIFS('Raw_Data'!$I$2:$I$59,"&gt;=1",'Raw_Data'!$I$2:$I$59,"&lt;=5",'Raw_Data'!$A$2:$A$59,"Yes",'Raw_Data'!$D$2:$D$59,"สื่อสารการตลาด"),"")</x:f>
        <x:v>100</x:v>
      </x:c>
      <x:c r="M6" s="131" t="n">
        <x:f>IFERROR(100*COUNTIFS('Raw_Data'!$I$2:$I$59,"&gt;=1",'Raw_Data'!$I$2:$I$59,"&lt;=2",'Raw_Data'!$A$2:$A$59,"Yes",'Raw_Data'!$D$2:$D$59,"ห้องยา")/COUNTIFS('Raw_Data'!$I$2:$I$59,"&gt;=1",'Raw_Data'!$I$2:$I$59,"&lt;=5",'Raw_Data'!$A$2:$A$59,"Yes",'Raw_Data'!$D$2:$D$59,"ห้องยา"),"")</x:f>
        <x:v>50</x:v>
      </x:c>
      <x:c r="N6" s="131" t="n">
        <x:f>IFERROR(100*COUNTIFS('Raw_Data'!$I$2:$I$59,"&gt;=1",'Raw_Data'!$I$2:$I$59,"&lt;=2",'Raw_Data'!$A$2:$A$59,"Yes",'Raw_Data'!$D$2:$D$59,"ห้องแลป")/COUNTIFS('Raw_Data'!$I$2:$I$59,"&gt;=1",'Raw_Data'!$I$2:$I$59,"&lt;=5",'Raw_Data'!$A$2:$A$59,"Yes",'Raw_Data'!$D$2:$D$59,"ห้องแลป"),"")</x:f>
        <x:v>0</x:v>
      </x:c>
      <x:c r="O6" s="131" t="n">
        <x:f>IFERROR(100*COUNTIFS('Raw_Data'!$I$2:$I$59,"&gt;=1",'Raw_Data'!$I$2:$I$59,"&lt;=2",'Raw_Data'!$A$2:$A$59,"Yes",'Raw_Data'!$D$2:$D$59,"ห้องเอ็กซเรย์")/COUNTIFS('Raw_Data'!$I$2:$I$59,"&gt;=1",'Raw_Data'!$I$2:$I$59,"&lt;=5",'Raw_Data'!$A$2:$A$59,"Yes",'Raw_Data'!$D$2:$D$59,"ห้องเอ็กซเรย์"),"")</x:f>
        <x:v>100</x:v>
      </x:c>
      <x:c r="P6" s="131" t="n">
        <x:f>IFERROR(100*COUNTIFS('Raw_Data'!$I$2:$I$59,"&gt;=1",'Raw_Data'!$I$2:$I$59,"&lt;=2",'Raw_Data'!$A$2:$A$59,"Yes",'Raw_Data'!$D$2:$D$59,"ERและเปล")/COUNTIFS('Raw_Data'!$I$2:$I$59,"&gt;=1",'Raw_Data'!$I$2:$I$59,"&lt;=5",'Raw_Data'!$A$2:$A$59,"Yes",'Raw_Data'!$D$2:$D$59,"ERและเปล"),"")</x:f>
        <x:v>27.272727272727273</x:v>
      </x:c>
      <x:c r="Q6" s="131" t="n">
        <x:f>IFERROR(100*COUNTIFS('Raw_Data'!$I$2:$I$59,"&gt;=1",'Raw_Data'!$I$2:$I$59,"&lt;=2",'Raw_Data'!$A$2:$A$59,"Yes",'Raw_Data'!$D$2:$D$59,"HR")/COUNTIFS('Raw_Data'!$I$2:$I$59,"&gt;=1",'Raw_Data'!$I$2:$I$59,"&lt;=5",'Raw_Data'!$A$2:$A$59,"Yes",'Raw_Data'!$D$2:$D$59,"HR"),"")</x:f>
        <x:v>0</x:v>
      </x:c>
      <x:c r="R6" s="131" t="n">
        <x:f>IFERROR(100*COUNTIFS('Raw_Data'!$I$2:$I$59,"&gt;=1",'Raw_Data'!$I$2:$I$59,"&lt;=2",'Raw_Data'!$A$2:$A$59,"Yes",'Raw_Data'!$D$2:$D$59,"ICU")/COUNTIFS('Raw_Data'!$I$2:$I$59,"&gt;=1",'Raw_Data'!$I$2:$I$59,"&lt;=5",'Raw_Data'!$A$2:$A$59,"Yes",'Raw_Data'!$D$2:$D$59,"ICU"),"")</x:f>
        <x:v>50</x:v>
      </x:c>
      <x:c r="S6" s="131" t="n">
        <x:f>IFERROR(100*COUNTIFS('Raw_Data'!$I$2:$I$59,"&gt;=1",'Raw_Data'!$I$2:$I$59,"&lt;=2",'Raw_Data'!$A$2:$A$59,"Yes",'Raw_Data'!$D$2:$D$59,"IPD")/COUNTIFS('Raw_Data'!$I$2:$I$59,"&gt;=1",'Raw_Data'!$I$2:$I$59,"&lt;=5",'Raw_Data'!$A$2:$A$59,"Yes",'Raw_Data'!$D$2:$D$59,"IPD"),"")</x:f>
        <x:v>50</x:v>
      </x:c>
      <x:c r="T6" s="131" t="n">
        <x:f>IFERROR(100*COUNTIFS('Raw_Data'!$I$2:$I$59,"&gt;=1",'Raw_Data'!$I$2:$I$59,"&lt;=2",'Raw_Data'!$A$2:$A$59,"Yes",'Raw_Data'!$D$2:$D$59,"IT")/COUNTIFS('Raw_Data'!$I$2:$I$59,"&gt;=1",'Raw_Data'!$I$2:$I$59,"&lt;=5",'Raw_Data'!$A$2:$A$59,"Yes",'Raw_Data'!$D$2:$D$59,"IT"),"")</x:f>
        <x:v>50</x:v>
      </x:c>
      <x:c r="U6" s="131" t="n">
        <x:f>IFERROR(100*COUNTIFS('Raw_Data'!$I$2:$I$59,"&gt;=1",'Raw_Data'!$I$2:$I$59,"&lt;=2",'Raw_Data'!$A$2:$A$59,"Yes",'Raw_Data'!$D$2:$D$59,"OR")/COUNTIFS('Raw_Data'!$I$2:$I$59,"&gt;=1",'Raw_Data'!$I$2:$I$59,"&lt;=5",'Raw_Data'!$A$2:$A$59,"Yes",'Raw_Data'!$D$2:$D$59,"OR"),"")</x:f>
        <x:v>75</x:v>
      </x:c>
      <x:c r="V6" s="131" t="n">
        <x:f>IFERROR(100*COUNTIFS('Raw_Data'!$I$2:$I$59,"&gt;=1",'Raw_Data'!$I$2:$I$59,"&lt;=2",'Raw_Data'!$A$2:$A$59,"Yes",'Raw_Data'!$D$2:$D$59,"IPD",'Raw_Data'!$E$2:$E$59,"ผู้บริหาร")/COUNTIFS('Raw_Data'!$I$2:$I$59,"&gt;=1",'Raw_Data'!$I$2:$I$59,"&lt;=5",'Raw_Data'!$A$2:$A$59,"Yes",'Raw_Data'!$D$2:$D$59,"IPD",'Raw_Data'!$E$2:$E$59,"ผู้บริหาร"),"")</x:f>
        <x:v>100</x:v>
      </x:c>
      <x:c r="W6" s="131" t="n">
        <x:f>IFERROR(100*COUNTIFS('Raw_Data'!$I$2:$I$59,"&gt;=1",'Raw_Data'!$I$2:$I$59,"&lt;=2",'Raw_Data'!$A$2:$A$59,"Yes",'Raw_Data'!$D$2:$D$59,"ฝ่ายการพยาบาล",'Raw_Data'!$E$2:$E$59,"สายวิชาชีพสาธารณสุข")/COUNTIFS('Raw_Data'!$I$2:$I$59,"&gt;=1",'Raw_Data'!$I$2:$I$59,"&lt;=5",'Raw_Data'!$A$2:$A$59,"Yes",'Raw_Data'!$D$2:$D$59,"ฝ่ายการพยาบาล",'Raw_Data'!$E$2:$E$59,"สายวิชาชีพสาธารณสุข"),"")</x:f>
        <x:v>0</x:v>
      </x:c>
      <x:c r="X6" s="131" t="n">
        <x:f>IFERROR(100*COUNTIFS('Raw_Data'!$I$2:$I$59,"&gt;=1",'Raw_Data'!$I$2:$I$59,"&lt;=2",'Raw_Data'!$A$2:$A$59,"Yes",'Raw_Data'!$D$2:$D$59,"ERและเปล",'Raw_Data'!$E$2:$E$59,"สายวิชาชีพสาธารณสุข")/COUNTIFS('Raw_Data'!$I$2:$I$59,"&gt;=1",'Raw_Data'!$I$2:$I$59,"&lt;=5",'Raw_Data'!$A$2:$A$59,"Yes",'Raw_Data'!$D$2:$D$59,"ERและเปล",'Raw_Data'!$E$2:$E$59,"สายวิชาชีพสาธารณสุข"),"")</x:f>
        <x:v>14.285714285714286</x:v>
      </x:c>
      <x:c r="Y6" s="131" t="n">
        <x:f>IFERROR(100*COUNTIFS('Raw_Data'!$I$2:$I$59,"&gt;=1",'Raw_Data'!$I$2:$I$59,"&lt;=2",'Raw_Data'!$A$2:$A$59,"Yes",'Raw_Data'!$D$2:$D$59,"ICU",'Raw_Data'!$E$2:$E$59,"สายวิชาชีพสาธารณสุข")/COUNTIFS('Raw_Data'!$I$2:$I$59,"&gt;=1",'Raw_Data'!$I$2:$I$59,"&lt;=5",'Raw_Data'!$A$2:$A$59,"Yes",'Raw_Data'!$D$2:$D$59,"ICU",'Raw_Data'!$E$2:$E$59,"สายวิชาชีพสาธารณสุข"),"")</x:f>
        <x:v>100</x:v>
      </x:c>
      <x:c r="Z6" s="131" t="n">
        <x:f>IFERROR(100*COUNTIFS('Raw_Data'!$I$2:$I$59,"&gt;=1",'Raw_Data'!$I$2:$I$59,"&lt;=2",'Raw_Data'!$A$2:$A$59,"Yes",'Raw_Data'!$D$2:$D$59,"IPD",'Raw_Data'!$E$2:$E$59,"สายวิชาชีพสาธารณสุข")/COUNTIFS('Raw_Data'!$I$2:$I$59,"&gt;=1",'Raw_Data'!$I$2:$I$59,"&lt;=5",'Raw_Data'!$A$2:$A$59,"Yes",'Raw_Data'!$D$2:$D$59,"IPD",'Raw_Data'!$E$2:$E$59,"สายวิชาชีพสาธารณสุข"),"")</x:f>
        <x:v>100</x:v>
      </x:c>
      <x:c r="AA6" s="131" t="n">
        <x:f>IFERROR(100*COUNTIFS('Raw_Data'!$I$2:$I$59,"&gt;=1",'Raw_Data'!$I$2:$I$59,"&lt;=2",'Raw_Data'!$A$2:$A$59,"Yes",'Raw_Data'!$D$2:$D$59,"OR",'Raw_Data'!$E$2:$E$59,"สายวิชาชีพสาธารณสุข")/COUNTIFS('Raw_Data'!$I$2:$I$59,"&gt;=1",'Raw_Data'!$I$2:$I$59,"&lt;=5",'Raw_Data'!$A$2:$A$59,"Yes",'Raw_Data'!$D$2:$D$59,"OR",'Raw_Data'!$E$2:$E$59,"สายวิชาชีพสาธารณสุข"),"")</x:f>
        <x:v>75</x:v>
      </x:c>
      <x:c r="AB6" s="131" t="n">
        <x:f>IFERROR(100*COUNTIFS('Raw_Data'!$I$2:$I$59,"&gt;=1",'Raw_Data'!$I$2:$I$59,"&lt;=2",'Raw_Data'!$A$2:$A$59,"Yes",'Raw_Data'!$D$2:$D$59,"การเงิน",'Raw_Data'!$E$2:$E$59,"สายสนับสนุนทั่วไป")/COUNTIFS('Raw_Data'!$I$2:$I$59,"&gt;=1",'Raw_Data'!$I$2:$I$59,"&lt;=5",'Raw_Data'!$A$2:$A$59,"Yes",'Raw_Data'!$D$2:$D$59,"การเงิน",'Raw_Data'!$E$2:$E$59,"สายสนับสนุนทั่วไป"),"")</x:f>
        <x:v>33.333333333333336</x:v>
      </x:c>
      <x:c r="AC6" s="131" t="n">
        <x:f>IFERROR(100*COUNTIFS('Raw_Data'!$I$2:$I$59,"&gt;=1",'Raw_Data'!$I$2:$I$59,"&lt;=2",'Raw_Data'!$A$2:$A$59,"Yes",'Raw_Data'!$D$2:$D$59,"เคหรักษ์",'Raw_Data'!$E$2:$E$59,"สายสนับสนุนทั่วไป")/COUNTIFS('Raw_Data'!$I$2:$I$59,"&gt;=1",'Raw_Data'!$I$2:$I$59,"&lt;=5",'Raw_Data'!$A$2:$A$59,"Yes",'Raw_Data'!$D$2:$D$59,"เคหรักษ์",'Raw_Data'!$E$2:$E$59,"สายสนับสนุนทั่วไป"),"")</x:f>
        <x:v>0</x:v>
      </x:c>
      <x:c r="AD6" s="131" t="n">
        <x:f>IFERROR(100*COUNTIFS('Raw_Data'!$I$2:$I$59,"&gt;=1",'Raw_Data'!$I$2:$I$59,"&lt;=2",'Raw_Data'!$A$2:$A$59,"Yes",'Raw_Data'!$D$2:$D$59,"จ่ายกลาง",'Raw_Data'!$E$2:$E$59,"สายสนับสนุนทั่วไป")/COUNTIFS('Raw_Data'!$I$2:$I$59,"&gt;=1",'Raw_Data'!$I$2:$I$59,"&lt;=5",'Raw_Data'!$A$2:$A$59,"Yes",'Raw_Data'!$D$2:$D$59,"จ่ายกลาง",'Raw_Data'!$E$2:$E$59,"สายสนับสนุนทั่วไป"),"")</x:f>
        <x:v>100</x:v>
      </x:c>
      <x:c r="AE6" s="131" t="n">
        <x:f>IFERROR(100*COUNTIFS('Raw_Data'!$I$2:$I$59,"&gt;=1",'Raw_Data'!$I$2:$I$59,"&lt;=2",'Raw_Data'!$A$2:$A$59,"Yes",'Raw_Data'!$D$2:$D$59,"ช่างและสนาม",'Raw_Data'!$E$2:$E$59,"สายสนับสนุนทั่วไป")/COUNTIFS('Raw_Data'!$I$2:$I$59,"&gt;=1",'Raw_Data'!$I$2:$I$59,"&lt;=5",'Raw_Data'!$A$2:$A$59,"Yes",'Raw_Data'!$D$2:$D$59,"ช่างและสนาม",'Raw_Data'!$E$2:$E$59,"สายสนับสนุนทั่วไป"),"")</x:f>
        <x:v>50</x:v>
      </x:c>
      <x:c r="AF6" s="131" t="n">
        <x:f>IFERROR(100*COUNTIFS('Raw_Data'!$I$2:$I$59,"&gt;=1",'Raw_Data'!$I$2:$I$59,"&lt;=2",'Raw_Data'!$A$2:$A$59,"Yes",'Raw_Data'!$D$2:$D$59,"ผู้ป่วยสัมพันธ์",'Raw_Data'!$E$2:$E$59,"สายสนับสนุนทั่วไป")/COUNTIFS('Raw_Data'!$I$2:$I$59,"&gt;=1",'Raw_Data'!$I$2:$I$59,"&lt;=5",'Raw_Data'!$A$2:$A$59,"Yes",'Raw_Data'!$D$2:$D$59,"ผู้ป่วยสัมพันธ์",'Raw_Data'!$E$2:$E$59,"สายสนับสนุนทั่วไป"),"")</x:f>
        <x:v>0</x:v>
      </x:c>
      <x:c r="AG6" s="131" t="n">
        <x:f>IFERROR(100*COUNTIFS('Raw_Data'!$I$2:$I$59,"&gt;=1",'Raw_Data'!$I$2:$I$59,"&lt;=2",'Raw_Data'!$A$2:$A$59,"Yes",'Raw_Data'!$D$2:$D$59,"ยานพาหนะ",'Raw_Data'!$E$2:$E$59,"สายสนับสนุนทั่วไป")/COUNTIFS('Raw_Data'!$I$2:$I$59,"&gt;=1",'Raw_Data'!$I$2:$I$59,"&lt;=5",'Raw_Data'!$A$2:$A$59,"Yes",'Raw_Data'!$D$2:$D$59,"ยานพาหนะ",'Raw_Data'!$E$2:$E$59,"สายสนับสนุนทั่วไป"),"")</x:f>
        <x:v>0</x:v>
      </x:c>
      <x:c r="AH6" s="131" t="n">
        <x:f>IFERROR(100*COUNTIFS('Raw_Data'!$I$2:$I$59,"&gt;=1",'Raw_Data'!$I$2:$I$59,"&lt;=2",'Raw_Data'!$A$2:$A$59,"Yes",'Raw_Data'!$D$2:$D$59,"สื่อสารการตลาด",'Raw_Data'!$E$2:$E$59,"สายสนับสนุนทั่วไป")/COUNTIFS('Raw_Data'!$I$2:$I$59,"&gt;=1",'Raw_Data'!$I$2:$I$59,"&lt;=5",'Raw_Data'!$A$2:$A$59,"Yes",'Raw_Data'!$D$2:$D$59,"สื่อสารการตลาด",'Raw_Data'!$E$2:$E$59,"สายสนับสนุนทั่วไป"),"")</x:f>
        <x:v>100</x:v>
      </x:c>
      <x:c r="AI6" s="131" t="n">
        <x:f>IFERROR(100*COUNTIFS('Raw_Data'!$I$2:$I$59,"&gt;=1",'Raw_Data'!$I$2:$I$59,"&lt;=2",'Raw_Data'!$A$2:$A$59,"Yes",'Raw_Data'!$D$2:$D$59,"ERและเปล",'Raw_Data'!$E$2:$E$59,"สายสนับสนุนทั่วไป")/COUNTIFS('Raw_Data'!$I$2:$I$59,"&gt;=1",'Raw_Data'!$I$2:$I$59,"&lt;=5",'Raw_Data'!$A$2:$A$59,"Yes",'Raw_Data'!$D$2:$D$59,"ERและเปล",'Raw_Data'!$E$2:$E$59,"สายสนับสนุนทั่วไป"),"")</x:f>
        <x:v>66.66666666666667</x:v>
      </x:c>
      <x:c r="AJ6" s="131" t="n">
        <x:f>IFERROR(100*COUNTIFS('Raw_Data'!$I$2:$I$59,"&gt;=1",'Raw_Data'!$I$2:$I$59,"&lt;=2",'Raw_Data'!$A$2:$A$59,"Yes",'Raw_Data'!$D$2:$D$59,"HR",'Raw_Data'!$E$2:$E$59,"สายสนับสนุนทั่วไป")/COUNTIFS('Raw_Data'!$I$2:$I$59,"&gt;=1",'Raw_Data'!$I$2:$I$59,"&lt;=5",'Raw_Data'!$A$2:$A$59,"Yes",'Raw_Data'!$D$2:$D$59,"HR",'Raw_Data'!$E$2:$E$59,"สายสนับสนุนทั่วไป"),"")</x:f>
        <x:v>0</x:v>
      </x:c>
      <x:c r="AK6" s="131" t="n">
        <x:f>IFERROR(100*COUNTIFS('Raw_Data'!$I$2:$I$59,"&gt;=1",'Raw_Data'!$I$2:$I$59,"&lt;=2",'Raw_Data'!$A$2:$A$59,"Yes",'Raw_Data'!$D$2:$D$59,"ICU",'Raw_Data'!$E$2:$E$59,"สายสนับสนุนทั่วไป")/COUNTIFS('Raw_Data'!$I$2:$I$59,"&gt;=1",'Raw_Data'!$I$2:$I$59,"&lt;=5",'Raw_Data'!$A$2:$A$59,"Yes",'Raw_Data'!$D$2:$D$59,"ICU",'Raw_Data'!$E$2:$E$59,"สายสนับสนุนทั่วไป"),"")</x:f>
        <x:v>0</x:v>
      </x:c>
      <x:c r="AL6" s="131" t="n">
        <x:f>IFERROR(100*COUNTIFS('Raw_Data'!$I$2:$I$59,"&gt;=1",'Raw_Data'!$I$2:$I$59,"&lt;=2",'Raw_Data'!$A$2:$A$59,"Yes",'Raw_Data'!$D$2:$D$59,"IPD",'Raw_Data'!$E$2:$E$59,"สายสนับสนุนทั่วไป")/COUNTIFS('Raw_Data'!$I$2:$I$59,"&gt;=1",'Raw_Data'!$I$2:$I$59,"&lt;=5",'Raw_Data'!$A$2:$A$59,"Yes",'Raw_Data'!$D$2:$D$59,"IPD",'Raw_Data'!$E$2:$E$59,"สายสนับสนุนทั่วไป"),"")</x:f>
        <x:v>0</x:v>
      </x:c>
      <x:c r="AM6" s="131" t="n">
        <x:f>IFERROR(100*COUNTIFS('Raw_Data'!$I$2:$I$59,"&gt;=1",'Raw_Data'!$I$2:$I$59,"&lt;=2",'Raw_Data'!$A$2:$A$59,"Yes",'Raw_Data'!$D$2:$D$59,"IT",'Raw_Data'!$E$2:$E$59,"สายสนับสนุนทั่วไป")/COUNTIFS('Raw_Data'!$I$2:$I$59,"&gt;=1",'Raw_Data'!$I$2:$I$59,"&lt;=5",'Raw_Data'!$A$2:$A$59,"Yes",'Raw_Data'!$D$2:$D$59,"IT",'Raw_Data'!$E$2:$E$59,"สายสนับสนุนทั่วไป"),"")</x:f>
        <x:v>100</x:v>
      </x:c>
      <x:c r="AN6" s="131" t="n">
        <x:f>IFERROR(100*COUNTIFS('Raw_Data'!$I$2:$I$59,"&gt;=1",'Raw_Data'!$I$2:$I$59,"&lt;=2",'Raw_Data'!$A$2:$A$59,"Yes",'Raw_Data'!$D$2:$D$59,"ผู้ป่วยสัมพันธ์",'Raw_Data'!$E$2:$E$59,"สายสนับสนุนทางการแพทย์")/COUNTIFS('Raw_Data'!$I$2:$I$59,"&gt;=1",'Raw_Data'!$I$2:$I$59,"&lt;=5",'Raw_Data'!$A$2:$A$59,"Yes",'Raw_Data'!$D$2:$D$59,"ผู้ป่วยสัมพันธ์",'Raw_Data'!$E$2:$E$59,"สายสนับสนุนทางการแพทย์"),"")</x:f>
        <x:v>66.66666666666667</x:v>
      </x:c>
      <x:c r="AO6" s="131" t="n">
        <x:f>IFERROR(100*COUNTIFS('Raw_Data'!$I$2:$I$59,"&gt;=1",'Raw_Data'!$I$2:$I$59,"&lt;=2",'Raw_Data'!$A$2:$A$59,"Yes",'Raw_Data'!$D$2:$D$59,"ฝ่ายการพยาบาล",'Raw_Data'!$E$2:$E$59,"สายสนับสนุนทางการแพทย์")/COUNTIFS('Raw_Data'!$I$2:$I$59,"&gt;=1",'Raw_Data'!$I$2:$I$59,"&lt;=5",'Raw_Data'!$A$2:$A$59,"Yes",'Raw_Data'!$D$2:$D$59,"ฝ่ายการพยาบาล",'Raw_Data'!$E$2:$E$59,"สายสนับสนุนทางการแพทย์"),"")</x:f>
        <x:v>100</x:v>
      </x:c>
      <x:c r="AP6" s="131" t="n">
        <x:f>IFERROR(100*COUNTIFS('Raw_Data'!$I$2:$I$59,"&gt;=1",'Raw_Data'!$I$2:$I$59,"&lt;=2",'Raw_Data'!$A$2:$A$59,"Yes",'Raw_Data'!$D$2:$D$59,"โภชนาการ",'Raw_Data'!$E$2:$E$59,"สายสนับสนุนทางการแพทย์")/COUNTIFS('Raw_Data'!$I$2:$I$59,"&gt;=1",'Raw_Data'!$I$2:$I$59,"&lt;=5",'Raw_Data'!$A$2:$A$59,"Yes",'Raw_Data'!$D$2:$D$59,"โภชนาการ",'Raw_Data'!$E$2:$E$59,"สายสนับสนุนทางการแพทย์"),"")</x:f>
        <x:v>100</x:v>
      </x:c>
      <x:c r="AQ6" s="131" t="n">
        <x:f>IFERROR(100*COUNTIFS('Raw_Data'!$I$2:$I$59,"&gt;=1",'Raw_Data'!$I$2:$I$59,"&lt;=2",'Raw_Data'!$A$2:$A$59,"Yes",'Raw_Data'!$D$2:$D$59,"ห้องยา",'Raw_Data'!$E$2:$E$59,"สายสนับสนุนทางการแพทย์")/COUNTIFS('Raw_Data'!$I$2:$I$59,"&gt;=1",'Raw_Data'!$I$2:$I$59,"&lt;=5",'Raw_Data'!$A$2:$A$59,"Yes",'Raw_Data'!$D$2:$D$59,"ห้องยา",'Raw_Data'!$E$2:$E$59,"สายสนับสนุนทางการแพทย์"),"")</x:f>
        <x:v>50</x:v>
      </x:c>
      <x:c r="AR6" s="131" t="n">
        <x:f>IFERROR(100*COUNTIFS('Raw_Data'!$I$2:$I$59,"&gt;=1",'Raw_Data'!$I$2:$I$59,"&lt;=2",'Raw_Data'!$A$2:$A$59,"Yes",'Raw_Data'!$D$2:$D$59,"ห้องแลป",'Raw_Data'!$E$2:$E$59,"สายสนับสนุนทางการแพทย์")/COUNTIFS('Raw_Data'!$I$2:$I$59,"&gt;=1",'Raw_Data'!$I$2:$I$59,"&lt;=5",'Raw_Data'!$A$2:$A$59,"Yes",'Raw_Data'!$D$2:$D$59,"ห้องแลป",'Raw_Data'!$E$2:$E$59,"สายสนับสนุนทางการแพทย์"),"")</x:f>
        <x:v>0</x:v>
      </x:c>
      <x:c r="AS6" s="131" t="n">
        <x:f>IFERROR(100*COUNTIFS('Raw_Data'!$I$2:$I$59,"&gt;=1",'Raw_Data'!$I$2:$I$59,"&lt;=2",'Raw_Data'!$A$2:$A$59,"Yes",'Raw_Data'!$D$2:$D$59,"ห้องเอ็กซเรย์",'Raw_Data'!$E$2:$E$59,"สายสนับสนุนทางการแพทย์")/COUNTIFS('Raw_Data'!$I$2:$I$59,"&gt;=1",'Raw_Data'!$I$2:$I$59,"&lt;=5",'Raw_Data'!$A$2:$A$59,"Yes",'Raw_Data'!$D$2:$D$59,"ห้องเอ็กซเรย์",'Raw_Data'!$E$2:$E$59,"สายสนับสนุนทางการแพทย์"),"")</x:f>
        <x:v>100</x:v>
      </x:c>
      <x:c r="AT6" s="131" t="n">
        <x:f>IFERROR(100*COUNTIFS('Raw_Data'!$I$2:$I$59,"&gt;=1",'Raw_Data'!$I$2:$I$59,"&lt;=2",'Raw_Data'!$A$2:$A$59,"Yes",'Raw_Data'!$D$2:$D$59,"ERและเปล",'Raw_Data'!$E$2:$E$59,"สายสนับสนุนทางการแพทย์")/COUNTIFS('Raw_Data'!$I$2:$I$59,"&gt;=1",'Raw_Data'!$I$2:$I$59,"&lt;=5",'Raw_Data'!$A$2:$A$59,"Yes",'Raw_Data'!$D$2:$D$59,"ERและเปล",'Raw_Data'!$E$2:$E$59,"สายสนับสนุนทางการแพทย์"),"")</x:f>
        <x:v>0</x:v>
      </x:c>
      <x:c r="AU6" s="131" t="n">
        <x:f>IFERROR(100*COUNTIFS('Raw_Data'!$I$2:$I$59,"&gt;=1",'Raw_Data'!$I$2:$I$59,"&lt;=2",'Raw_Data'!$A$2:$A$59,"Yes",'Raw_Data'!$D$2:$D$59,"ICU",'Raw_Data'!$E$2:$E$59,"สายสนับสนุนทางการแพทย์")/COUNTIFS('Raw_Data'!$I$2:$I$59,"&gt;=1",'Raw_Data'!$I$2:$I$59,"&lt;=5",'Raw_Data'!$A$2:$A$59,"Yes",'Raw_Data'!$D$2:$D$59,"ICU",'Raw_Data'!$E$2:$E$59,"สายสนับสนุนทางการแพทย์"),"")</x:f>
        <x:v>0</x:v>
      </x:c>
      <x:c r="AV6" s="131" t="n">
        <x:f>IFERROR(100*COUNTIFS('Raw_Data'!$I$2:$I$59,"&gt;=1",'Raw_Data'!$I$2:$I$59,"&lt;=2",'Raw_Data'!$A$2:$A$59,"Yes",'Raw_Data'!$D$2:$D$59,"IPD",'Raw_Data'!$E$2:$E$59,"สายสนับสนุนทางการแพทย์")/COUNTIFS('Raw_Data'!$I$2:$I$59,"&gt;=1",'Raw_Data'!$I$2:$I$59,"&lt;=5",'Raw_Data'!$A$2:$A$59,"Yes",'Raw_Data'!$D$2:$D$59,"IPD",'Raw_Data'!$E$2:$E$59,"สายสนับสนุนทางการแพทย์"),"")</x:f>
        <x:v>0</x:v>
      </x:c>
      <x:c r="AW6" s="131" t="n">
        <x:f>IFERROR(100*COUNTIFS('Raw_Data'!$I$2:$I$59,"&gt;=1",'Raw_Data'!$I$2:$I$59,"&lt;=2",'Raw_Data'!$A$2:$A$59,"Yes",'Raw_Data'!$D$2:$D$59,"IT",'Raw_Data'!$E$2:$E$59,"สายสนับสนุนทางการแพทย์")/COUNTIFS('Raw_Data'!$I$2:$I$59,"&gt;=1",'Raw_Data'!$I$2:$I$59,"&lt;=5",'Raw_Data'!$A$2:$A$59,"Yes",'Raw_Data'!$D$2:$D$59,"IT",'Raw_Data'!$E$2:$E$59,"สายสนับสนุนทางการแพทย์"),"")</x:f>
        <x:v>0</x:v>
      </x:c>
    </x:row>
    <x:row r="7" ht="42" customHeight="1">
      <x:c r="A7" s="123" t="str">
        <x:v>2. บุคลากรและพื้นที่การทำงาน</x:v>
      </x:c>
      <x:c r="B7" s="124" t="str">
        <x:v>A2. ในหน่วยงานหรือพื้นที่นี้มีจำนวนบุคลากรในการทำงานที่เพียงพอที่จะรับมือกับปริมาณงานหรือภาระงานของหน่วยงานที่กำหนด</x:v>
      </x:c>
      <x:c r="C7" s="131" t="n">
        <x:f>IFERROR(100*COUNTIFS('Raw_Data'!$J$2:$J$59,"&gt;=4",'Raw_Data'!$J$2:$J$59,"&lt;=5",'Raw_Data'!$A$2:$A$59,"Yes")/COUNTIFS('Raw_Data'!$J$2:$J$59,"&gt;=1",'Raw_Data'!$J$2:$J$59,"&lt;=5",'Raw_Data'!$A$2:$A$59,"Yes"),"")</x:f>
        <x:v>39.6551724137931</x:v>
      </x:c>
      <x:c r="D7" s="131" t="n">
        <x:f>IFERROR(100*COUNTIFS('Raw_Data'!$J$2:$J$59,"&gt;=4",'Raw_Data'!$J$2:$J$59,"&lt;=5",'Raw_Data'!$A$2:$A$59,"Yes",'Raw_Data'!$D$2:$D$59,"การเงิน")/COUNTIFS('Raw_Data'!$J$2:$J$59,"&gt;=1",'Raw_Data'!$J$2:$J$59,"&lt;=5",'Raw_Data'!$A$2:$A$59,"Yes",'Raw_Data'!$D$2:$D$59,"การเงิน"),"")</x:f>
        <x:v>33.333333333333336</x:v>
      </x:c>
      <x:c r="E7" s="131" t="n">
        <x:f>IFERROR(100*COUNTIFS('Raw_Data'!$J$2:$J$59,"&gt;=4",'Raw_Data'!$J$2:$J$59,"&lt;=5",'Raw_Data'!$A$2:$A$59,"Yes",'Raw_Data'!$D$2:$D$59,"เคหรักษ์")/COUNTIFS('Raw_Data'!$J$2:$J$59,"&gt;=1",'Raw_Data'!$J$2:$J$59,"&lt;=5",'Raw_Data'!$A$2:$A$59,"Yes",'Raw_Data'!$D$2:$D$59,"เคหรักษ์"),"")</x:f>
        <x:v>0</x:v>
      </x:c>
      <x:c r="F7" s="131" t="n">
        <x:f>IFERROR(100*COUNTIFS('Raw_Data'!$J$2:$J$59,"&gt;=4",'Raw_Data'!$J$2:$J$59,"&lt;=5",'Raw_Data'!$A$2:$A$59,"Yes",'Raw_Data'!$D$2:$D$59,"จ่ายกลาง")/COUNTIFS('Raw_Data'!$J$2:$J$59,"&gt;=1",'Raw_Data'!$J$2:$J$59,"&lt;=5",'Raw_Data'!$A$2:$A$59,"Yes",'Raw_Data'!$D$2:$D$59,"จ่ายกลาง"),"")</x:f>
        <x:v>100</x:v>
      </x:c>
      <x:c r="G7" s="131" t="n">
        <x:f>IFERROR(100*COUNTIFS('Raw_Data'!$J$2:$J$59,"&gt;=4",'Raw_Data'!$J$2:$J$59,"&lt;=5",'Raw_Data'!$A$2:$A$59,"Yes",'Raw_Data'!$D$2:$D$59,"ช่างและสนาม")/COUNTIFS('Raw_Data'!$J$2:$J$59,"&gt;=1",'Raw_Data'!$J$2:$J$59,"&lt;=5",'Raw_Data'!$A$2:$A$59,"Yes",'Raw_Data'!$D$2:$D$59,"ช่างและสนาม"),"")</x:f>
        <x:v>75</x:v>
      </x:c>
      <x:c r="H7" s="131" t="n">
        <x:f>IFERROR(100*COUNTIFS('Raw_Data'!$J$2:$J$59,"&gt;=4",'Raw_Data'!$J$2:$J$59,"&lt;=5",'Raw_Data'!$A$2:$A$59,"Yes",'Raw_Data'!$D$2:$D$59,"ผู้ป่วยสัมพันธ์")/COUNTIFS('Raw_Data'!$J$2:$J$59,"&gt;=1",'Raw_Data'!$J$2:$J$59,"&lt;=5",'Raw_Data'!$A$2:$A$59,"Yes",'Raw_Data'!$D$2:$D$59,"ผู้ป่วยสัมพันธ์"),"")</x:f>
        <x:v>0</x:v>
      </x:c>
      <x:c r="I7" s="131" t="n">
        <x:f>IFERROR(100*COUNTIFS('Raw_Data'!$J$2:$J$59,"&gt;=4",'Raw_Data'!$J$2:$J$59,"&lt;=5",'Raw_Data'!$A$2:$A$59,"Yes",'Raw_Data'!$D$2:$D$59,"ฝ่ายการพยาบาล")/COUNTIFS('Raw_Data'!$J$2:$J$59,"&gt;=1",'Raw_Data'!$J$2:$J$59,"&lt;=5",'Raw_Data'!$A$2:$A$59,"Yes",'Raw_Data'!$D$2:$D$59,"ฝ่ายการพยาบาล"),"")</x:f>
        <x:v>50</x:v>
      </x:c>
      <x:c r="J7" s="131" t="n">
        <x:f>IFERROR(100*COUNTIFS('Raw_Data'!$J$2:$J$59,"&gt;=4",'Raw_Data'!$J$2:$J$59,"&lt;=5",'Raw_Data'!$A$2:$A$59,"Yes",'Raw_Data'!$D$2:$D$59,"โภชนาการ")/COUNTIFS('Raw_Data'!$J$2:$J$59,"&gt;=1",'Raw_Data'!$J$2:$J$59,"&lt;=5",'Raw_Data'!$A$2:$A$59,"Yes",'Raw_Data'!$D$2:$D$59,"โภชนาการ"),"")</x:f>
        <x:v>0</x:v>
      </x:c>
      <x:c r="K7" s="131" t="n">
        <x:f>IFERROR(100*COUNTIFS('Raw_Data'!$J$2:$J$59,"&gt;=4",'Raw_Data'!$J$2:$J$59,"&lt;=5",'Raw_Data'!$A$2:$A$59,"Yes",'Raw_Data'!$D$2:$D$59,"ยานพาหนะ")/COUNTIFS('Raw_Data'!$J$2:$J$59,"&gt;=1",'Raw_Data'!$J$2:$J$59,"&lt;=5",'Raw_Data'!$A$2:$A$59,"Yes",'Raw_Data'!$D$2:$D$59,"ยานพาหนะ"),"")</x:f>
        <x:v>0</x:v>
      </x:c>
      <x:c r="L7" s="131" t="n">
        <x:f>IFERROR(100*COUNTIFS('Raw_Data'!$J$2:$J$59,"&gt;=4",'Raw_Data'!$J$2:$J$59,"&lt;=5",'Raw_Data'!$A$2:$A$59,"Yes",'Raw_Data'!$D$2:$D$59,"สื่อสารการตลาด")/COUNTIFS('Raw_Data'!$J$2:$J$59,"&gt;=1",'Raw_Data'!$J$2:$J$59,"&lt;=5",'Raw_Data'!$A$2:$A$59,"Yes",'Raw_Data'!$D$2:$D$59,"สื่อสารการตลาด"),"")</x:f>
        <x:v>0</x:v>
      </x:c>
      <x:c r="M7" s="131" t="n">
        <x:f>IFERROR(100*COUNTIFS('Raw_Data'!$J$2:$J$59,"&gt;=4",'Raw_Data'!$J$2:$J$59,"&lt;=5",'Raw_Data'!$A$2:$A$59,"Yes",'Raw_Data'!$D$2:$D$59,"ห้องยา")/COUNTIFS('Raw_Data'!$J$2:$J$59,"&gt;=1",'Raw_Data'!$J$2:$J$59,"&lt;=5",'Raw_Data'!$A$2:$A$59,"Yes",'Raw_Data'!$D$2:$D$59,"ห้องยา"),"")</x:f>
        <x:v>83.33333333333333</x:v>
      </x:c>
      <x:c r="N7" s="131" t="n">
        <x:f>IFERROR(100*COUNTIFS('Raw_Data'!$J$2:$J$59,"&gt;=4",'Raw_Data'!$J$2:$J$59,"&lt;=5",'Raw_Data'!$A$2:$A$59,"Yes",'Raw_Data'!$D$2:$D$59,"ห้องแลป")/COUNTIFS('Raw_Data'!$J$2:$J$59,"&gt;=1",'Raw_Data'!$J$2:$J$59,"&lt;=5",'Raw_Data'!$A$2:$A$59,"Yes",'Raw_Data'!$D$2:$D$59,"ห้องแลป"),"")</x:f>
        <x:v>100</x:v>
      </x:c>
      <x:c r="O7" s="131" t="n">
        <x:f>IFERROR(100*COUNTIFS('Raw_Data'!$J$2:$J$59,"&gt;=4",'Raw_Data'!$J$2:$J$59,"&lt;=5",'Raw_Data'!$A$2:$A$59,"Yes",'Raw_Data'!$D$2:$D$59,"ห้องเอ็กซเรย์")/COUNTIFS('Raw_Data'!$J$2:$J$59,"&gt;=1",'Raw_Data'!$J$2:$J$59,"&lt;=5",'Raw_Data'!$A$2:$A$59,"Yes",'Raw_Data'!$D$2:$D$59,"ห้องเอ็กซเรย์"),"")</x:f>
        <x:v>100</x:v>
      </x:c>
      <x:c r="P7" s="131" t="n">
        <x:f>IFERROR(100*COUNTIFS('Raw_Data'!$J$2:$J$59,"&gt;=4",'Raw_Data'!$J$2:$J$59,"&lt;=5",'Raw_Data'!$A$2:$A$59,"Yes",'Raw_Data'!$D$2:$D$59,"ERและเปล")/COUNTIFS('Raw_Data'!$J$2:$J$59,"&gt;=1",'Raw_Data'!$J$2:$J$59,"&lt;=5",'Raw_Data'!$A$2:$A$59,"Yes",'Raw_Data'!$D$2:$D$59,"ERและเปล"),"")</x:f>
        <x:v>9.090909090909092</x:v>
      </x:c>
      <x:c r="Q7" s="131" t="n">
        <x:f>IFERROR(100*COUNTIFS('Raw_Data'!$J$2:$J$59,"&gt;=4",'Raw_Data'!$J$2:$J$59,"&lt;=5",'Raw_Data'!$A$2:$A$59,"Yes",'Raw_Data'!$D$2:$D$59,"HR")/COUNTIFS('Raw_Data'!$J$2:$J$59,"&gt;=1",'Raw_Data'!$J$2:$J$59,"&lt;=5",'Raw_Data'!$A$2:$A$59,"Yes",'Raw_Data'!$D$2:$D$59,"HR"),"")</x:f>
        <x:v>100</x:v>
      </x:c>
      <x:c r="R7" s="131" t="n">
        <x:f>IFERROR(100*COUNTIFS('Raw_Data'!$J$2:$J$59,"&gt;=4",'Raw_Data'!$J$2:$J$59,"&lt;=5",'Raw_Data'!$A$2:$A$59,"Yes",'Raw_Data'!$D$2:$D$59,"ICU")/COUNTIFS('Raw_Data'!$J$2:$J$59,"&gt;=1",'Raw_Data'!$J$2:$J$59,"&lt;=5",'Raw_Data'!$A$2:$A$59,"Yes",'Raw_Data'!$D$2:$D$59,"ICU"),"")</x:f>
        <x:v>25</x:v>
      </x:c>
      <x:c r="S7" s="131" t="n">
        <x:f>IFERROR(100*COUNTIFS('Raw_Data'!$J$2:$J$59,"&gt;=4",'Raw_Data'!$J$2:$J$59,"&lt;=5",'Raw_Data'!$A$2:$A$59,"Yes",'Raw_Data'!$D$2:$D$59,"IPD")/COUNTIFS('Raw_Data'!$J$2:$J$59,"&gt;=1",'Raw_Data'!$J$2:$J$59,"&lt;=5",'Raw_Data'!$A$2:$A$59,"Yes",'Raw_Data'!$D$2:$D$59,"IPD"),"")</x:f>
        <x:v>50</x:v>
      </x:c>
      <x:c r="T7" s="131" t="n">
        <x:f>IFERROR(100*COUNTIFS('Raw_Data'!$J$2:$J$59,"&gt;=4",'Raw_Data'!$J$2:$J$59,"&lt;=5",'Raw_Data'!$A$2:$A$59,"Yes",'Raw_Data'!$D$2:$D$59,"IT")/COUNTIFS('Raw_Data'!$J$2:$J$59,"&gt;=1",'Raw_Data'!$J$2:$J$59,"&lt;=5",'Raw_Data'!$A$2:$A$59,"Yes",'Raw_Data'!$D$2:$D$59,"IT"),"")</x:f>
        <x:v>0</x:v>
      </x:c>
      <x:c r="U7" s="131" t="n">
        <x:f>IFERROR(100*COUNTIFS('Raw_Data'!$J$2:$J$59,"&gt;=4",'Raw_Data'!$J$2:$J$59,"&lt;=5",'Raw_Data'!$A$2:$A$59,"Yes",'Raw_Data'!$D$2:$D$59,"OR")/COUNTIFS('Raw_Data'!$J$2:$J$59,"&gt;=1",'Raw_Data'!$J$2:$J$59,"&lt;=5",'Raw_Data'!$A$2:$A$59,"Yes",'Raw_Data'!$D$2:$D$59,"OR"),"")</x:f>
        <x:v>25</x:v>
      </x:c>
      <x:c r="V7" s="131" t="n">
        <x:f>IFERROR(100*COUNTIFS('Raw_Data'!$J$2:$J$59,"&gt;=4",'Raw_Data'!$J$2:$J$59,"&lt;=5",'Raw_Data'!$A$2:$A$59,"Yes",'Raw_Data'!$D$2:$D$59,"IPD",'Raw_Data'!$E$2:$E$59,"ผู้บริหาร")/COUNTIFS('Raw_Data'!$J$2:$J$59,"&gt;=1",'Raw_Data'!$J$2:$J$59,"&lt;=5",'Raw_Data'!$A$2:$A$59,"Yes",'Raw_Data'!$D$2:$D$59,"IPD",'Raw_Data'!$E$2:$E$59,"ผู้บริหาร"),"")</x:f>
        <x:v>100</x:v>
      </x:c>
      <x:c r="W7" s="131" t="n">
        <x:f>IFERROR(100*COUNTIFS('Raw_Data'!$J$2:$J$59,"&gt;=4",'Raw_Data'!$J$2:$J$59,"&lt;=5",'Raw_Data'!$A$2:$A$59,"Yes",'Raw_Data'!$D$2:$D$59,"ฝ่ายการพยาบาล",'Raw_Data'!$E$2:$E$59,"สายวิชาชีพสาธารณสุข")/COUNTIFS('Raw_Data'!$J$2:$J$59,"&gt;=1",'Raw_Data'!$J$2:$J$59,"&lt;=5",'Raw_Data'!$A$2:$A$59,"Yes",'Raw_Data'!$D$2:$D$59,"ฝ่ายการพยาบาล",'Raw_Data'!$E$2:$E$59,"สายวิชาชีพสาธารณสุข"),"")</x:f>
        <x:v>0</x:v>
      </x:c>
      <x:c r="X7" s="131" t="n">
        <x:f>IFERROR(100*COUNTIFS('Raw_Data'!$J$2:$J$59,"&gt;=4",'Raw_Data'!$J$2:$J$59,"&lt;=5",'Raw_Data'!$A$2:$A$59,"Yes",'Raw_Data'!$D$2:$D$59,"ERและเปล",'Raw_Data'!$E$2:$E$59,"สายวิชาชีพสาธารณสุข")/COUNTIFS('Raw_Data'!$J$2:$J$59,"&gt;=1",'Raw_Data'!$J$2:$J$59,"&lt;=5",'Raw_Data'!$A$2:$A$59,"Yes",'Raw_Data'!$D$2:$D$59,"ERและเปล",'Raw_Data'!$E$2:$E$59,"สายวิชาชีพสาธารณสุข"),"")</x:f>
        <x:v>0</x:v>
      </x:c>
      <x:c r="Y7" s="131" t="n">
        <x:f>IFERROR(100*COUNTIFS('Raw_Data'!$J$2:$J$59,"&gt;=4",'Raw_Data'!$J$2:$J$59,"&lt;=5",'Raw_Data'!$A$2:$A$59,"Yes",'Raw_Data'!$D$2:$D$59,"ICU",'Raw_Data'!$E$2:$E$59,"สายวิชาชีพสาธารณสุข")/COUNTIFS('Raw_Data'!$J$2:$J$59,"&gt;=1",'Raw_Data'!$J$2:$J$59,"&lt;=5",'Raw_Data'!$A$2:$A$59,"Yes",'Raw_Data'!$D$2:$D$59,"ICU",'Raw_Data'!$E$2:$E$59,"สายวิชาชีพสาธารณสุข"),"")</x:f>
        <x:v>0</x:v>
      </x:c>
      <x:c r="Z7" s="131" t="n">
        <x:f>IFERROR(100*COUNTIFS('Raw_Data'!$J$2:$J$59,"&gt;=4",'Raw_Data'!$J$2:$J$59,"&lt;=5",'Raw_Data'!$A$2:$A$59,"Yes",'Raw_Data'!$D$2:$D$59,"IPD",'Raw_Data'!$E$2:$E$59,"สายวิชาชีพสาธารณสุข")/COUNTIFS('Raw_Data'!$J$2:$J$59,"&gt;=1",'Raw_Data'!$J$2:$J$59,"&lt;=5",'Raw_Data'!$A$2:$A$59,"Yes",'Raw_Data'!$D$2:$D$59,"IPD",'Raw_Data'!$E$2:$E$59,"สายวิชาชีพสาธารณสุข"),"")</x:f>
        <x:v>50</x:v>
      </x:c>
      <x:c r="AA7" s="131" t="n">
        <x:f>IFERROR(100*COUNTIFS('Raw_Data'!$J$2:$J$59,"&gt;=4",'Raw_Data'!$J$2:$J$59,"&lt;=5",'Raw_Data'!$A$2:$A$59,"Yes",'Raw_Data'!$D$2:$D$59,"OR",'Raw_Data'!$E$2:$E$59,"สายวิชาชีพสาธารณสุข")/COUNTIFS('Raw_Data'!$J$2:$J$59,"&gt;=1",'Raw_Data'!$J$2:$J$59,"&lt;=5",'Raw_Data'!$A$2:$A$59,"Yes",'Raw_Data'!$D$2:$D$59,"OR",'Raw_Data'!$E$2:$E$59,"สายวิชาชีพสาธารณสุข"),"")</x:f>
        <x:v>25</x:v>
      </x:c>
      <x:c r="AB7" s="131" t="n">
        <x:f>IFERROR(100*COUNTIFS('Raw_Data'!$J$2:$J$59,"&gt;=4",'Raw_Data'!$J$2:$J$59,"&lt;=5",'Raw_Data'!$A$2:$A$59,"Yes",'Raw_Data'!$D$2:$D$59,"การเงิน",'Raw_Data'!$E$2:$E$59,"สายสนับสนุนทั่วไป")/COUNTIFS('Raw_Data'!$J$2:$J$59,"&gt;=1",'Raw_Data'!$J$2:$J$59,"&lt;=5",'Raw_Data'!$A$2:$A$59,"Yes",'Raw_Data'!$D$2:$D$59,"การเงิน",'Raw_Data'!$E$2:$E$59,"สายสนับสนุนทั่วไป"),"")</x:f>
        <x:v>33.333333333333336</x:v>
      </x:c>
      <x:c r="AC7" s="131" t="n">
        <x:f>IFERROR(100*COUNTIFS('Raw_Data'!$J$2:$J$59,"&gt;=4",'Raw_Data'!$J$2:$J$59,"&lt;=5",'Raw_Data'!$A$2:$A$59,"Yes",'Raw_Data'!$D$2:$D$59,"เคหรักษ์",'Raw_Data'!$E$2:$E$59,"สายสนับสนุนทั่วไป")/COUNTIFS('Raw_Data'!$J$2:$J$59,"&gt;=1",'Raw_Data'!$J$2:$J$59,"&lt;=5",'Raw_Data'!$A$2:$A$59,"Yes",'Raw_Data'!$D$2:$D$59,"เคหรักษ์",'Raw_Data'!$E$2:$E$59,"สายสนับสนุนทั่วไป"),"")</x:f>
        <x:v>0</x:v>
      </x:c>
      <x:c r="AD7" s="131" t="n">
        <x:f>IFERROR(100*COUNTIFS('Raw_Data'!$J$2:$J$59,"&gt;=4",'Raw_Data'!$J$2:$J$59,"&lt;=5",'Raw_Data'!$A$2:$A$59,"Yes",'Raw_Data'!$D$2:$D$59,"จ่ายกลาง",'Raw_Data'!$E$2:$E$59,"สายสนับสนุนทั่วไป")/COUNTIFS('Raw_Data'!$J$2:$J$59,"&gt;=1",'Raw_Data'!$J$2:$J$59,"&lt;=5",'Raw_Data'!$A$2:$A$59,"Yes",'Raw_Data'!$D$2:$D$59,"จ่ายกลาง",'Raw_Data'!$E$2:$E$59,"สายสนับสนุนทั่วไป"),"")</x:f>
        <x:v>100</x:v>
      </x:c>
      <x:c r="AE7" s="131" t="n">
        <x:f>IFERROR(100*COUNTIFS('Raw_Data'!$J$2:$J$59,"&gt;=4",'Raw_Data'!$J$2:$J$59,"&lt;=5",'Raw_Data'!$A$2:$A$59,"Yes",'Raw_Data'!$D$2:$D$59,"ช่างและสนาม",'Raw_Data'!$E$2:$E$59,"สายสนับสนุนทั่วไป")/COUNTIFS('Raw_Data'!$J$2:$J$59,"&gt;=1",'Raw_Data'!$J$2:$J$59,"&lt;=5",'Raw_Data'!$A$2:$A$59,"Yes",'Raw_Data'!$D$2:$D$59,"ช่างและสนาม",'Raw_Data'!$E$2:$E$59,"สายสนับสนุนทั่วไป"),"")</x:f>
        <x:v>75</x:v>
      </x:c>
      <x:c r="AF7" s="131" t="n">
        <x:f>IFERROR(100*COUNTIFS('Raw_Data'!$J$2:$J$59,"&gt;=4",'Raw_Data'!$J$2:$J$59,"&lt;=5",'Raw_Data'!$A$2:$A$59,"Yes",'Raw_Data'!$D$2:$D$59,"ผู้ป่วยสัมพันธ์",'Raw_Data'!$E$2:$E$59,"สายสนับสนุนทั่วไป")/COUNTIFS('Raw_Data'!$J$2:$J$59,"&gt;=1",'Raw_Data'!$J$2:$J$59,"&lt;=5",'Raw_Data'!$A$2:$A$59,"Yes",'Raw_Data'!$D$2:$D$59,"ผู้ป่วยสัมพันธ์",'Raw_Data'!$E$2:$E$59,"สายสนับสนุนทั่วไป"),"")</x:f>
        <x:v>0</x:v>
      </x:c>
      <x:c r="AG7" s="131" t="n">
        <x:f>IFERROR(100*COUNTIFS('Raw_Data'!$J$2:$J$59,"&gt;=4",'Raw_Data'!$J$2:$J$59,"&lt;=5",'Raw_Data'!$A$2:$A$59,"Yes",'Raw_Data'!$D$2:$D$59,"ยานพาหนะ",'Raw_Data'!$E$2:$E$59,"สายสนับสนุนทั่วไป")/COUNTIFS('Raw_Data'!$J$2:$J$59,"&gt;=1",'Raw_Data'!$J$2:$J$59,"&lt;=5",'Raw_Data'!$A$2:$A$59,"Yes",'Raw_Data'!$D$2:$D$59,"ยานพาหนะ",'Raw_Data'!$E$2:$E$59,"สายสนับสนุนทั่วไป"),"")</x:f>
        <x:v>0</x:v>
      </x:c>
      <x:c r="AH7" s="131" t="n">
        <x:f>IFERROR(100*COUNTIFS('Raw_Data'!$J$2:$J$59,"&gt;=4",'Raw_Data'!$J$2:$J$59,"&lt;=5",'Raw_Data'!$A$2:$A$59,"Yes",'Raw_Data'!$D$2:$D$59,"สื่อสารการตลาด",'Raw_Data'!$E$2:$E$59,"สายสนับสนุนทั่วไป")/COUNTIFS('Raw_Data'!$J$2:$J$59,"&gt;=1",'Raw_Data'!$J$2:$J$59,"&lt;=5",'Raw_Data'!$A$2:$A$59,"Yes",'Raw_Data'!$D$2:$D$59,"สื่อสารการตลาด",'Raw_Data'!$E$2:$E$59,"สายสนับสนุนทั่วไป"),"")</x:f>
        <x:v>0</x:v>
      </x:c>
      <x:c r="AI7" s="131" t="n">
        <x:f>IFERROR(100*COUNTIFS('Raw_Data'!$J$2:$J$59,"&gt;=4",'Raw_Data'!$J$2:$J$59,"&lt;=5",'Raw_Data'!$A$2:$A$59,"Yes",'Raw_Data'!$D$2:$D$59,"ERและเปล",'Raw_Data'!$E$2:$E$59,"สายสนับสนุนทั่วไป")/COUNTIFS('Raw_Data'!$J$2:$J$59,"&gt;=1",'Raw_Data'!$J$2:$J$59,"&lt;=5",'Raw_Data'!$A$2:$A$59,"Yes",'Raw_Data'!$D$2:$D$59,"ERและเปล",'Raw_Data'!$E$2:$E$59,"สายสนับสนุนทั่วไป"),"")</x:f>
        <x:v>33.333333333333336</x:v>
      </x:c>
      <x:c r="AJ7" s="131" t="n">
        <x:f>IFERROR(100*COUNTIFS('Raw_Data'!$J$2:$J$59,"&gt;=4",'Raw_Data'!$J$2:$J$59,"&lt;=5",'Raw_Data'!$A$2:$A$59,"Yes",'Raw_Data'!$D$2:$D$59,"HR",'Raw_Data'!$E$2:$E$59,"สายสนับสนุนทั่วไป")/COUNTIFS('Raw_Data'!$J$2:$J$59,"&gt;=1",'Raw_Data'!$J$2:$J$59,"&lt;=5",'Raw_Data'!$A$2:$A$59,"Yes",'Raw_Data'!$D$2:$D$59,"HR",'Raw_Data'!$E$2:$E$59,"สายสนับสนุนทั่วไป"),"")</x:f>
        <x:v>100</x:v>
      </x:c>
      <x:c r="AK7" s="131" t="n">
        <x:f>IFERROR(100*COUNTIFS('Raw_Data'!$J$2:$J$59,"&gt;=4",'Raw_Data'!$J$2:$J$59,"&lt;=5",'Raw_Data'!$A$2:$A$59,"Yes",'Raw_Data'!$D$2:$D$59,"ICU",'Raw_Data'!$E$2:$E$59,"สายสนับสนุนทั่วไป")/COUNTIFS('Raw_Data'!$J$2:$J$59,"&gt;=1",'Raw_Data'!$J$2:$J$59,"&lt;=5",'Raw_Data'!$A$2:$A$59,"Yes",'Raw_Data'!$D$2:$D$59,"ICU",'Raw_Data'!$E$2:$E$59,"สายสนับสนุนทั่วไป"),"")</x:f>
        <x:v>0</x:v>
      </x:c>
      <x:c r="AL7" s="131" t="n">
        <x:f>IFERROR(100*COUNTIFS('Raw_Data'!$J$2:$J$59,"&gt;=4",'Raw_Data'!$J$2:$J$59,"&lt;=5",'Raw_Data'!$A$2:$A$59,"Yes",'Raw_Data'!$D$2:$D$59,"IPD",'Raw_Data'!$E$2:$E$59,"สายสนับสนุนทั่วไป")/COUNTIFS('Raw_Data'!$J$2:$J$59,"&gt;=1",'Raw_Data'!$J$2:$J$59,"&lt;=5",'Raw_Data'!$A$2:$A$59,"Yes",'Raw_Data'!$D$2:$D$59,"IPD",'Raw_Data'!$E$2:$E$59,"สายสนับสนุนทั่วไป"),"")</x:f>
        <x:v>0</x:v>
      </x:c>
      <x:c r="AM7" s="131" t="n">
        <x:f>IFERROR(100*COUNTIFS('Raw_Data'!$J$2:$J$59,"&gt;=4",'Raw_Data'!$J$2:$J$59,"&lt;=5",'Raw_Data'!$A$2:$A$59,"Yes",'Raw_Data'!$D$2:$D$59,"IT",'Raw_Data'!$E$2:$E$59,"สายสนับสนุนทั่วไป")/COUNTIFS('Raw_Data'!$J$2:$J$59,"&gt;=1",'Raw_Data'!$J$2:$J$59,"&lt;=5",'Raw_Data'!$A$2:$A$59,"Yes",'Raw_Data'!$D$2:$D$59,"IT",'Raw_Data'!$E$2:$E$59,"สายสนับสนุนทั่วไป"),"")</x:f>
        <x:v>0</x:v>
      </x:c>
      <x:c r="AN7" s="131" t="n">
        <x:f>IFERROR(100*COUNTIFS('Raw_Data'!$J$2:$J$59,"&gt;=4",'Raw_Data'!$J$2:$J$59,"&lt;=5",'Raw_Data'!$A$2:$A$59,"Yes",'Raw_Data'!$D$2:$D$59,"ผู้ป่วยสัมพันธ์",'Raw_Data'!$E$2:$E$59,"สายสนับสนุนทางการแพทย์")/COUNTIFS('Raw_Data'!$J$2:$J$59,"&gt;=1",'Raw_Data'!$J$2:$J$59,"&lt;=5",'Raw_Data'!$A$2:$A$59,"Yes",'Raw_Data'!$D$2:$D$59,"ผู้ป่วยสัมพันธ์",'Raw_Data'!$E$2:$E$59,"สายสนับสนุนทางการแพทย์"),"")</x:f>
        <x:v>0</x:v>
      </x:c>
      <x:c r="AO7" s="131" t="n">
        <x:f>IFERROR(100*COUNTIFS('Raw_Data'!$J$2:$J$59,"&gt;=4",'Raw_Data'!$J$2:$J$59,"&lt;=5",'Raw_Data'!$A$2:$A$59,"Yes",'Raw_Data'!$D$2:$D$59,"ฝ่ายการพยาบาล",'Raw_Data'!$E$2:$E$59,"สายสนับสนุนทางการแพทย์")/COUNTIFS('Raw_Data'!$J$2:$J$59,"&gt;=1",'Raw_Data'!$J$2:$J$59,"&lt;=5",'Raw_Data'!$A$2:$A$59,"Yes",'Raw_Data'!$D$2:$D$59,"ฝ่ายการพยาบาล",'Raw_Data'!$E$2:$E$59,"สายสนับสนุนทางการแพทย์"),"")</x:f>
        <x:v>100</x:v>
      </x:c>
      <x:c r="AP7" s="131" t="n">
        <x:f>IFERROR(100*COUNTIFS('Raw_Data'!$J$2:$J$59,"&gt;=4",'Raw_Data'!$J$2:$J$59,"&lt;=5",'Raw_Data'!$A$2:$A$59,"Yes",'Raw_Data'!$D$2:$D$59,"โภชนาการ",'Raw_Data'!$E$2:$E$59,"สายสนับสนุนทางการแพทย์")/COUNTIFS('Raw_Data'!$J$2:$J$59,"&gt;=1",'Raw_Data'!$J$2:$J$59,"&lt;=5",'Raw_Data'!$A$2:$A$59,"Yes",'Raw_Data'!$D$2:$D$59,"โภชนาการ",'Raw_Data'!$E$2:$E$59,"สายสนับสนุนทางการแพทย์"),"")</x:f>
        <x:v>0</x:v>
      </x:c>
      <x:c r="AQ7" s="131" t="n">
        <x:f>IFERROR(100*COUNTIFS('Raw_Data'!$J$2:$J$59,"&gt;=4",'Raw_Data'!$J$2:$J$59,"&lt;=5",'Raw_Data'!$A$2:$A$59,"Yes",'Raw_Data'!$D$2:$D$59,"ห้องยา",'Raw_Data'!$E$2:$E$59,"สายสนับสนุนทางการแพทย์")/COUNTIFS('Raw_Data'!$J$2:$J$59,"&gt;=1",'Raw_Data'!$J$2:$J$59,"&lt;=5",'Raw_Data'!$A$2:$A$59,"Yes",'Raw_Data'!$D$2:$D$59,"ห้องยา",'Raw_Data'!$E$2:$E$59,"สายสนับสนุนทางการแพทย์"),"")</x:f>
        <x:v>83.33333333333333</x:v>
      </x:c>
      <x:c r="AR7" s="131" t="n">
        <x:f>IFERROR(100*COUNTIFS('Raw_Data'!$J$2:$J$59,"&gt;=4",'Raw_Data'!$J$2:$J$59,"&lt;=5",'Raw_Data'!$A$2:$A$59,"Yes",'Raw_Data'!$D$2:$D$59,"ห้องแลป",'Raw_Data'!$E$2:$E$59,"สายสนับสนุนทางการแพทย์")/COUNTIFS('Raw_Data'!$J$2:$J$59,"&gt;=1",'Raw_Data'!$J$2:$J$59,"&lt;=5",'Raw_Data'!$A$2:$A$59,"Yes",'Raw_Data'!$D$2:$D$59,"ห้องแลป",'Raw_Data'!$E$2:$E$59,"สายสนับสนุนทางการแพทย์"),"")</x:f>
        <x:v>100</x:v>
      </x:c>
      <x:c r="AS7" s="131" t="n">
        <x:f>IFERROR(100*COUNTIFS('Raw_Data'!$J$2:$J$59,"&gt;=4",'Raw_Data'!$J$2:$J$59,"&lt;=5",'Raw_Data'!$A$2:$A$59,"Yes",'Raw_Data'!$D$2:$D$59,"ห้องเอ็กซเรย์",'Raw_Data'!$E$2:$E$59,"สายสนับสนุนทางการแพทย์")/COUNTIFS('Raw_Data'!$J$2:$J$59,"&gt;=1",'Raw_Data'!$J$2:$J$59,"&lt;=5",'Raw_Data'!$A$2:$A$59,"Yes",'Raw_Data'!$D$2:$D$59,"ห้องเอ็กซเรย์",'Raw_Data'!$E$2:$E$59,"สายสนับสนุนทางการแพทย์"),"")</x:f>
        <x:v>100</x:v>
      </x:c>
      <x:c r="AT7" s="131" t="n">
        <x:f>IFERROR(100*COUNTIFS('Raw_Data'!$J$2:$J$59,"&gt;=4",'Raw_Data'!$J$2:$J$59,"&lt;=5",'Raw_Data'!$A$2:$A$59,"Yes",'Raw_Data'!$D$2:$D$59,"ERและเปล",'Raw_Data'!$E$2:$E$59,"สายสนับสนุนทางการแพทย์")/COUNTIFS('Raw_Data'!$J$2:$J$59,"&gt;=1",'Raw_Data'!$J$2:$J$59,"&lt;=5",'Raw_Data'!$A$2:$A$59,"Yes",'Raw_Data'!$D$2:$D$59,"ERและเปล",'Raw_Data'!$E$2:$E$59,"สายสนับสนุนทางการแพทย์"),"")</x:f>
        <x:v>0</x:v>
      </x:c>
      <x:c r="AU7" s="131" t="n">
        <x:f>IFERROR(100*COUNTIFS('Raw_Data'!$J$2:$J$59,"&gt;=4",'Raw_Data'!$J$2:$J$59,"&lt;=5",'Raw_Data'!$A$2:$A$59,"Yes",'Raw_Data'!$D$2:$D$59,"ICU",'Raw_Data'!$E$2:$E$59,"สายสนับสนุนทางการแพทย์")/COUNTIFS('Raw_Data'!$J$2:$J$59,"&gt;=1",'Raw_Data'!$J$2:$J$59,"&lt;=5",'Raw_Data'!$A$2:$A$59,"Yes",'Raw_Data'!$D$2:$D$59,"ICU",'Raw_Data'!$E$2:$E$59,"สายสนับสนุนทางการแพทย์"),"")</x:f>
        <x:v>100</x:v>
      </x:c>
      <x:c r="AV7" s="131" t="n">
        <x:f>IFERROR(100*COUNTIFS('Raw_Data'!$J$2:$J$59,"&gt;=4",'Raw_Data'!$J$2:$J$59,"&lt;=5",'Raw_Data'!$A$2:$A$59,"Yes",'Raw_Data'!$D$2:$D$59,"IPD",'Raw_Data'!$E$2:$E$59,"สายสนับสนุนทางการแพทย์")/COUNTIFS('Raw_Data'!$J$2:$J$59,"&gt;=1",'Raw_Data'!$J$2:$J$59,"&lt;=5",'Raw_Data'!$A$2:$A$59,"Yes",'Raw_Data'!$D$2:$D$59,"IPD",'Raw_Data'!$E$2:$E$59,"สายสนับสนุนทางการแพทย์"),"")</x:f>
        <x:v>50</x:v>
      </x:c>
      <x:c r="AW7" s="131" t="n">
        <x:f>IFERROR(100*COUNTIFS('Raw_Data'!$J$2:$J$59,"&gt;=4",'Raw_Data'!$J$2:$J$59,"&lt;=5",'Raw_Data'!$A$2:$A$59,"Yes",'Raw_Data'!$D$2:$D$59,"IT",'Raw_Data'!$E$2:$E$59,"สายสนับสนุนทางการแพทย์")/COUNTIFS('Raw_Data'!$J$2:$J$59,"&gt;=1",'Raw_Data'!$J$2:$J$59,"&lt;=5",'Raw_Data'!$A$2:$A$59,"Yes",'Raw_Data'!$D$2:$D$59,"IT",'Raw_Data'!$E$2:$E$59,"สายสนับสนุนทางการแพทย์"),"")</x:f>
        <x:v>0</x:v>
      </x:c>
    </x:row>
    <x:row r="8" ht="42" customHeight="1">
      <x:c r="A8" s="123"/>
      <x:c r="B8" s="124" t="str">
        <x:v>A3. ในหน่วยงานที่ท่านทำงานมีบุคลากรที่ทำงานจำนวนชั่วโมงต่อเนื่องยาวนานมากกว่าที่เหมาะสมต่อการดูแลผู้ป่วยหรือผู้รับบริการได้ดี</x:v>
      </x:c>
      <x:c r="C8" s="131" t="n">
        <x:f>IFERROR(100*COUNTIFS('Raw_Data'!$K$2:$K$59,"&gt;=1",'Raw_Data'!$K$2:$K$59,"&lt;=2",'Raw_Data'!$A$2:$A$59,"Yes")/COUNTIFS('Raw_Data'!$K$2:$K$59,"&gt;=1",'Raw_Data'!$K$2:$K$59,"&lt;=5",'Raw_Data'!$A$2:$A$59,"Yes"),"")</x:f>
        <x:v>32.758620689655174</x:v>
      </x:c>
      <x:c r="D8" s="131" t="n">
        <x:f>IFERROR(100*COUNTIFS('Raw_Data'!$K$2:$K$59,"&gt;=1",'Raw_Data'!$K$2:$K$59,"&lt;=2",'Raw_Data'!$A$2:$A$59,"Yes",'Raw_Data'!$D$2:$D$59,"การเงิน")/COUNTIFS('Raw_Data'!$K$2:$K$59,"&gt;=1",'Raw_Data'!$K$2:$K$59,"&lt;=5",'Raw_Data'!$A$2:$A$59,"Yes",'Raw_Data'!$D$2:$D$59,"การเงิน"),"")</x:f>
        <x:v>33.333333333333336</x:v>
      </x:c>
      <x:c r="E8" s="131" t="n">
        <x:f>IFERROR(100*COUNTIFS('Raw_Data'!$K$2:$K$59,"&gt;=1",'Raw_Data'!$K$2:$K$59,"&lt;=2",'Raw_Data'!$A$2:$A$59,"Yes",'Raw_Data'!$D$2:$D$59,"เคหรักษ์")/COUNTIFS('Raw_Data'!$K$2:$K$59,"&gt;=1",'Raw_Data'!$K$2:$K$59,"&lt;=5",'Raw_Data'!$A$2:$A$59,"Yes",'Raw_Data'!$D$2:$D$59,"เคหรักษ์"),"")</x:f>
        <x:v>0</x:v>
      </x:c>
      <x:c r="F8" s="131" t="n">
        <x:f>IFERROR(100*COUNTIFS('Raw_Data'!$K$2:$K$59,"&gt;=1",'Raw_Data'!$K$2:$K$59,"&lt;=2",'Raw_Data'!$A$2:$A$59,"Yes",'Raw_Data'!$D$2:$D$59,"จ่ายกลาง")/COUNTIFS('Raw_Data'!$K$2:$K$59,"&gt;=1",'Raw_Data'!$K$2:$K$59,"&lt;=5",'Raw_Data'!$A$2:$A$59,"Yes",'Raw_Data'!$D$2:$D$59,"จ่ายกลาง"),"")</x:f>
        <x:v>0</x:v>
      </x:c>
      <x:c r="G8" s="131" t="n">
        <x:f>IFERROR(100*COUNTIFS('Raw_Data'!$K$2:$K$59,"&gt;=1",'Raw_Data'!$K$2:$K$59,"&lt;=2",'Raw_Data'!$A$2:$A$59,"Yes",'Raw_Data'!$D$2:$D$59,"ช่างและสนาม")/COUNTIFS('Raw_Data'!$K$2:$K$59,"&gt;=1",'Raw_Data'!$K$2:$K$59,"&lt;=5",'Raw_Data'!$A$2:$A$59,"Yes",'Raw_Data'!$D$2:$D$59,"ช่างและสนาม"),"")</x:f>
        <x:v>75</x:v>
      </x:c>
      <x:c r="H8" s="131" t="n">
        <x:f>IFERROR(100*COUNTIFS('Raw_Data'!$K$2:$K$59,"&gt;=1",'Raw_Data'!$K$2:$K$59,"&lt;=2",'Raw_Data'!$A$2:$A$59,"Yes",'Raw_Data'!$D$2:$D$59,"ผู้ป่วยสัมพันธ์")/COUNTIFS('Raw_Data'!$K$2:$K$59,"&gt;=1",'Raw_Data'!$K$2:$K$59,"&lt;=5",'Raw_Data'!$A$2:$A$59,"Yes",'Raw_Data'!$D$2:$D$59,"ผู้ป่วยสัมพันธ์"),"")</x:f>
        <x:v>50</x:v>
      </x:c>
      <x:c r="I8" s="131" t="n">
        <x:f>IFERROR(100*COUNTIFS('Raw_Data'!$K$2:$K$59,"&gt;=1",'Raw_Data'!$K$2:$K$59,"&lt;=2",'Raw_Data'!$A$2:$A$59,"Yes",'Raw_Data'!$D$2:$D$59,"ฝ่ายการพยาบาล")/COUNTIFS('Raw_Data'!$K$2:$K$59,"&gt;=1",'Raw_Data'!$K$2:$K$59,"&lt;=5",'Raw_Data'!$A$2:$A$59,"Yes",'Raw_Data'!$D$2:$D$59,"ฝ่ายการพยาบาล"),"")</x:f>
        <x:v>100</x:v>
      </x:c>
      <x:c r="J8" s="131" t="n">
        <x:f>IFERROR(100*COUNTIFS('Raw_Data'!$K$2:$K$59,"&gt;=1",'Raw_Data'!$K$2:$K$59,"&lt;=2",'Raw_Data'!$A$2:$A$59,"Yes",'Raw_Data'!$D$2:$D$59,"โภชนาการ")/COUNTIFS('Raw_Data'!$K$2:$K$59,"&gt;=1",'Raw_Data'!$K$2:$K$59,"&lt;=5",'Raw_Data'!$A$2:$A$59,"Yes",'Raw_Data'!$D$2:$D$59,"โภชนาการ"),"")</x:f>
        <x:v>100</x:v>
      </x:c>
      <x:c r="K8" s="131" t="n">
        <x:f>IFERROR(100*COUNTIFS('Raw_Data'!$K$2:$K$59,"&gt;=1",'Raw_Data'!$K$2:$K$59,"&lt;=2",'Raw_Data'!$A$2:$A$59,"Yes",'Raw_Data'!$D$2:$D$59,"ยานพาหนะ")/COUNTIFS('Raw_Data'!$K$2:$K$59,"&gt;=1",'Raw_Data'!$K$2:$K$59,"&lt;=5",'Raw_Data'!$A$2:$A$59,"Yes",'Raw_Data'!$D$2:$D$59,"ยานพาหนะ"),"")</x:f>
        <x:v>0</x:v>
      </x:c>
      <x:c r="L8" s="131" t="n">
        <x:f>IFERROR(100*COUNTIFS('Raw_Data'!$K$2:$K$59,"&gt;=1",'Raw_Data'!$K$2:$K$59,"&lt;=2",'Raw_Data'!$A$2:$A$59,"Yes",'Raw_Data'!$D$2:$D$59,"สื่อสารการตลาด")/COUNTIFS('Raw_Data'!$K$2:$K$59,"&gt;=1",'Raw_Data'!$K$2:$K$59,"&lt;=5",'Raw_Data'!$A$2:$A$59,"Yes",'Raw_Data'!$D$2:$D$59,"สื่อสารการตลาด"),"")</x:f>
        <x:v>100</x:v>
      </x:c>
      <x:c r="M8" s="131" t="n">
        <x:f>IFERROR(100*COUNTIFS('Raw_Data'!$K$2:$K$59,"&gt;=1",'Raw_Data'!$K$2:$K$59,"&lt;=2",'Raw_Data'!$A$2:$A$59,"Yes",'Raw_Data'!$D$2:$D$59,"ห้องยา")/COUNTIFS('Raw_Data'!$K$2:$K$59,"&gt;=1",'Raw_Data'!$K$2:$K$59,"&lt;=5",'Raw_Data'!$A$2:$A$59,"Yes",'Raw_Data'!$D$2:$D$59,"ห้องยา"),"")</x:f>
        <x:v>0</x:v>
      </x:c>
      <x:c r="N8" s="131" t="n">
        <x:f>IFERROR(100*COUNTIFS('Raw_Data'!$K$2:$K$59,"&gt;=1",'Raw_Data'!$K$2:$K$59,"&lt;=2",'Raw_Data'!$A$2:$A$59,"Yes",'Raw_Data'!$D$2:$D$59,"ห้องแลป")/COUNTIFS('Raw_Data'!$K$2:$K$59,"&gt;=1",'Raw_Data'!$K$2:$K$59,"&lt;=5",'Raw_Data'!$A$2:$A$59,"Yes",'Raw_Data'!$D$2:$D$59,"ห้องแลป"),"")</x:f>
        <x:v>50</x:v>
      </x:c>
      <x:c r="O8" s="131" t="n">
        <x:f>IFERROR(100*COUNTIFS('Raw_Data'!$K$2:$K$59,"&gt;=1",'Raw_Data'!$K$2:$K$59,"&lt;=2",'Raw_Data'!$A$2:$A$59,"Yes",'Raw_Data'!$D$2:$D$59,"ห้องเอ็กซเรย์")/COUNTIFS('Raw_Data'!$K$2:$K$59,"&gt;=1",'Raw_Data'!$K$2:$K$59,"&lt;=5",'Raw_Data'!$A$2:$A$59,"Yes",'Raw_Data'!$D$2:$D$59,"ห้องเอ็กซเรย์"),"")</x:f>
        <x:v>66.66666666666667</x:v>
      </x:c>
      <x:c r="P8" s="131" t="n">
        <x:f>IFERROR(100*COUNTIFS('Raw_Data'!$K$2:$K$59,"&gt;=1",'Raw_Data'!$K$2:$K$59,"&lt;=2",'Raw_Data'!$A$2:$A$59,"Yes",'Raw_Data'!$D$2:$D$59,"ERและเปล")/COUNTIFS('Raw_Data'!$K$2:$K$59,"&gt;=1",'Raw_Data'!$K$2:$K$59,"&lt;=5",'Raw_Data'!$A$2:$A$59,"Yes",'Raw_Data'!$D$2:$D$59,"ERและเปล"),"")</x:f>
        <x:v>0</x:v>
      </x:c>
      <x:c r="Q8" s="131" t="n">
        <x:f>IFERROR(100*COUNTIFS('Raw_Data'!$K$2:$K$59,"&gt;=1",'Raw_Data'!$K$2:$K$59,"&lt;=2",'Raw_Data'!$A$2:$A$59,"Yes",'Raw_Data'!$D$2:$D$59,"HR")/COUNTIFS('Raw_Data'!$K$2:$K$59,"&gt;=1",'Raw_Data'!$K$2:$K$59,"&lt;=5",'Raw_Data'!$A$2:$A$59,"Yes",'Raw_Data'!$D$2:$D$59,"HR"),"")</x:f>
        <x:v>100</x:v>
      </x:c>
      <x:c r="R8" s="131" t="n">
        <x:f>IFERROR(100*COUNTIFS('Raw_Data'!$K$2:$K$59,"&gt;=1",'Raw_Data'!$K$2:$K$59,"&lt;=2",'Raw_Data'!$A$2:$A$59,"Yes",'Raw_Data'!$D$2:$D$59,"ICU")/COUNTIFS('Raw_Data'!$K$2:$K$59,"&gt;=1",'Raw_Data'!$K$2:$K$59,"&lt;=5",'Raw_Data'!$A$2:$A$59,"Yes",'Raw_Data'!$D$2:$D$59,"ICU"),"")</x:f>
        <x:v>25</x:v>
      </x:c>
      <x:c r="S8" s="131" t="n">
        <x:f>IFERROR(100*COUNTIFS('Raw_Data'!$K$2:$K$59,"&gt;=1",'Raw_Data'!$K$2:$K$59,"&lt;=2",'Raw_Data'!$A$2:$A$59,"Yes",'Raw_Data'!$D$2:$D$59,"IPD")/COUNTIFS('Raw_Data'!$K$2:$K$59,"&gt;=1",'Raw_Data'!$K$2:$K$59,"&lt;=5",'Raw_Data'!$A$2:$A$59,"Yes",'Raw_Data'!$D$2:$D$59,"IPD"),"")</x:f>
        <x:v>33.333333333333336</x:v>
      </x:c>
      <x:c r="T8" s="131" t="n">
        <x:f>IFERROR(100*COUNTIFS('Raw_Data'!$K$2:$K$59,"&gt;=1",'Raw_Data'!$K$2:$K$59,"&lt;=2",'Raw_Data'!$A$2:$A$59,"Yes",'Raw_Data'!$D$2:$D$59,"IT")/COUNTIFS('Raw_Data'!$K$2:$K$59,"&gt;=1",'Raw_Data'!$K$2:$K$59,"&lt;=5",'Raw_Data'!$A$2:$A$59,"Yes",'Raw_Data'!$D$2:$D$59,"IT"),"")</x:f>
        <x:v>0</x:v>
      </x:c>
      <x:c r="U8" s="131" t="n">
        <x:f>IFERROR(100*COUNTIFS('Raw_Data'!$K$2:$K$59,"&gt;=1",'Raw_Data'!$K$2:$K$59,"&lt;=2",'Raw_Data'!$A$2:$A$59,"Yes",'Raw_Data'!$D$2:$D$59,"OR")/COUNTIFS('Raw_Data'!$K$2:$K$59,"&gt;=1",'Raw_Data'!$K$2:$K$59,"&lt;=5",'Raw_Data'!$A$2:$A$59,"Yes",'Raw_Data'!$D$2:$D$59,"OR"),"")</x:f>
        <x:v>50</x:v>
      </x:c>
      <x:c r="V8" s="131" t="n">
        <x:f>IFERROR(100*COUNTIFS('Raw_Data'!$K$2:$K$59,"&gt;=1",'Raw_Data'!$K$2:$K$59,"&lt;=2",'Raw_Data'!$A$2:$A$59,"Yes",'Raw_Data'!$D$2:$D$59,"IPD",'Raw_Data'!$E$2:$E$59,"ผู้บริหาร")/COUNTIFS('Raw_Data'!$K$2:$K$59,"&gt;=1",'Raw_Data'!$K$2:$K$59,"&lt;=5",'Raw_Data'!$A$2:$A$59,"Yes",'Raw_Data'!$D$2:$D$59,"IPD",'Raw_Data'!$E$2:$E$59,"ผู้บริหาร"),"")</x:f>
        <x:v>0</x:v>
      </x:c>
      <x:c r="W8" s="131" t="n">
        <x:f>IFERROR(100*COUNTIFS('Raw_Data'!$K$2:$K$59,"&gt;=1",'Raw_Data'!$K$2:$K$59,"&lt;=2",'Raw_Data'!$A$2:$A$59,"Yes",'Raw_Data'!$D$2:$D$59,"ฝ่ายการพยาบาล",'Raw_Data'!$E$2:$E$59,"สายวิชาชีพสาธารณสุข")/COUNTIFS('Raw_Data'!$K$2:$K$59,"&gt;=1",'Raw_Data'!$K$2:$K$59,"&lt;=5",'Raw_Data'!$A$2:$A$59,"Yes",'Raw_Data'!$D$2:$D$59,"ฝ่ายการพยาบาล",'Raw_Data'!$E$2:$E$59,"สายวิชาชีพสาธารณสุข"),"")</x:f>
        <x:v>100</x:v>
      </x:c>
      <x:c r="X8" s="131" t="n">
        <x:f>IFERROR(100*COUNTIFS('Raw_Data'!$K$2:$K$59,"&gt;=1",'Raw_Data'!$K$2:$K$59,"&lt;=2",'Raw_Data'!$A$2:$A$59,"Yes",'Raw_Data'!$D$2:$D$59,"ERและเปล",'Raw_Data'!$E$2:$E$59,"สายวิชาชีพสาธารณสุข")/COUNTIFS('Raw_Data'!$K$2:$K$59,"&gt;=1",'Raw_Data'!$K$2:$K$59,"&lt;=5",'Raw_Data'!$A$2:$A$59,"Yes",'Raw_Data'!$D$2:$D$59,"ERและเปล",'Raw_Data'!$E$2:$E$59,"สายวิชาชีพสาธารณสุข"),"")</x:f>
        <x:v>0</x:v>
      </x:c>
      <x:c r="Y8" s="131" t="n">
        <x:f>IFERROR(100*COUNTIFS('Raw_Data'!$K$2:$K$59,"&gt;=1",'Raw_Data'!$K$2:$K$59,"&lt;=2",'Raw_Data'!$A$2:$A$59,"Yes",'Raw_Data'!$D$2:$D$59,"ICU",'Raw_Data'!$E$2:$E$59,"สายวิชาชีพสาธารณสุข")/COUNTIFS('Raw_Data'!$K$2:$K$59,"&gt;=1",'Raw_Data'!$K$2:$K$59,"&lt;=5",'Raw_Data'!$A$2:$A$59,"Yes",'Raw_Data'!$D$2:$D$59,"ICU",'Raw_Data'!$E$2:$E$59,"สายวิชาชีพสาธารณสุข"),"")</x:f>
        <x:v>0</x:v>
      </x:c>
      <x:c r="Z8" s="131" t="n">
        <x:f>IFERROR(100*COUNTIFS('Raw_Data'!$K$2:$K$59,"&gt;=1",'Raw_Data'!$K$2:$K$59,"&lt;=2",'Raw_Data'!$A$2:$A$59,"Yes",'Raw_Data'!$D$2:$D$59,"IPD",'Raw_Data'!$E$2:$E$59,"สายวิชาชีพสาธารณสุข")/COUNTIFS('Raw_Data'!$K$2:$K$59,"&gt;=1",'Raw_Data'!$K$2:$K$59,"&lt;=5",'Raw_Data'!$A$2:$A$59,"Yes",'Raw_Data'!$D$2:$D$59,"IPD",'Raw_Data'!$E$2:$E$59,"สายวิชาชีพสาธารณสุข"),"")</x:f>
        <x:v>50</x:v>
      </x:c>
      <x:c r="AA8" s="131" t="n">
        <x:f>IFERROR(100*COUNTIFS('Raw_Data'!$K$2:$K$59,"&gt;=1",'Raw_Data'!$K$2:$K$59,"&lt;=2",'Raw_Data'!$A$2:$A$59,"Yes",'Raw_Data'!$D$2:$D$59,"OR",'Raw_Data'!$E$2:$E$59,"สายวิชาชีพสาธารณสุข")/COUNTIFS('Raw_Data'!$K$2:$K$59,"&gt;=1",'Raw_Data'!$K$2:$K$59,"&lt;=5",'Raw_Data'!$A$2:$A$59,"Yes",'Raw_Data'!$D$2:$D$59,"OR",'Raw_Data'!$E$2:$E$59,"สายวิชาชีพสาธารณสุข"),"")</x:f>
        <x:v>50</x:v>
      </x:c>
      <x:c r="AB8" s="131" t="n">
        <x:f>IFERROR(100*COUNTIFS('Raw_Data'!$K$2:$K$59,"&gt;=1",'Raw_Data'!$K$2:$K$59,"&lt;=2",'Raw_Data'!$A$2:$A$59,"Yes",'Raw_Data'!$D$2:$D$59,"การเงิน",'Raw_Data'!$E$2:$E$59,"สายสนับสนุนทั่วไป")/COUNTIFS('Raw_Data'!$K$2:$K$59,"&gt;=1",'Raw_Data'!$K$2:$K$59,"&lt;=5",'Raw_Data'!$A$2:$A$59,"Yes",'Raw_Data'!$D$2:$D$59,"การเงิน",'Raw_Data'!$E$2:$E$59,"สายสนับสนุนทั่วไป"),"")</x:f>
        <x:v>33.333333333333336</x:v>
      </x:c>
      <x:c r="AC8" s="131" t="n">
        <x:f>IFERROR(100*COUNTIFS('Raw_Data'!$K$2:$K$59,"&gt;=1",'Raw_Data'!$K$2:$K$59,"&lt;=2",'Raw_Data'!$A$2:$A$59,"Yes",'Raw_Data'!$D$2:$D$59,"เคหรักษ์",'Raw_Data'!$E$2:$E$59,"สายสนับสนุนทั่วไป")/COUNTIFS('Raw_Data'!$K$2:$K$59,"&gt;=1",'Raw_Data'!$K$2:$K$59,"&lt;=5",'Raw_Data'!$A$2:$A$59,"Yes",'Raw_Data'!$D$2:$D$59,"เคหรักษ์",'Raw_Data'!$E$2:$E$59,"สายสนับสนุนทั่วไป"),"")</x:f>
        <x:v>0</x:v>
      </x:c>
      <x:c r="AD8" s="131" t="n">
        <x:f>IFERROR(100*COUNTIFS('Raw_Data'!$K$2:$K$59,"&gt;=1",'Raw_Data'!$K$2:$K$59,"&lt;=2",'Raw_Data'!$A$2:$A$59,"Yes",'Raw_Data'!$D$2:$D$59,"จ่ายกลาง",'Raw_Data'!$E$2:$E$59,"สายสนับสนุนทั่วไป")/COUNTIFS('Raw_Data'!$K$2:$K$59,"&gt;=1",'Raw_Data'!$K$2:$K$59,"&lt;=5",'Raw_Data'!$A$2:$A$59,"Yes",'Raw_Data'!$D$2:$D$59,"จ่ายกลาง",'Raw_Data'!$E$2:$E$59,"สายสนับสนุนทั่วไป"),"")</x:f>
        <x:v>0</x:v>
      </x:c>
      <x:c r="AE8" s="131" t="n">
        <x:f>IFERROR(100*COUNTIFS('Raw_Data'!$K$2:$K$59,"&gt;=1",'Raw_Data'!$K$2:$K$59,"&lt;=2",'Raw_Data'!$A$2:$A$59,"Yes",'Raw_Data'!$D$2:$D$59,"ช่างและสนาม",'Raw_Data'!$E$2:$E$59,"สายสนับสนุนทั่วไป")/COUNTIFS('Raw_Data'!$K$2:$K$59,"&gt;=1",'Raw_Data'!$K$2:$K$59,"&lt;=5",'Raw_Data'!$A$2:$A$59,"Yes",'Raw_Data'!$D$2:$D$59,"ช่างและสนาม",'Raw_Data'!$E$2:$E$59,"สายสนับสนุนทั่วไป"),"")</x:f>
        <x:v>75</x:v>
      </x:c>
      <x:c r="AF8" s="131" t="n">
        <x:f>IFERROR(100*COUNTIFS('Raw_Data'!$K$2:$K$59,"&gt;=1",'Raw_Data'!$K$2:$K$59,"&lt;=2",'Raw_Data'!$A$2:$A$59,"Yes",'Raw_Data'!$D$2:$D$59,"ผู้ป่วยสัมพันธ์",'Raw_Data'!$E$2:$E$59,"สายสนับสนุนทั่วไป")/COUNTIFS('Raw_Data'!$K$2:$K$59,"&gt;=1",'Raw_Data'!$K$2:$K$59,"&lt;=5",'Raw_Data'!$A$2:$A$59,"Yes",'Raw_Data'!$D$2:$D$59,"ผู้ป่วยสัมพันธ์",'Raw_Data'!$E$2:$E$59,"สายสนับสนุนทั่วไป"),"")</x:f>
        <x:v>100</x:v>
      </x:c>
      <x:c r="AG8" s="131" t="n">
        <x:f>IFERROR(100*COUNTIFS('Raw_Data'!$K$2:$K$59,"&gt;=1",'Raw_Data'!$K$2:$K$59,"&lt;=2",'Raw_Data'!$A$2:$A$59,"Yes",'Raw_Data'!$D$2:$D$59,"ยานพาหนะ",'Raw_Data'!$E$2:$E$59,"สายสนับสนุนทั่วไป")/COUNTIFS('Raw_Data'!$K$2:$K$59,"&gt;=1",'Raw_Data'!$K$2:$K$59,"&lt;=5",'Raw_Data'!$A$2:$A$59,"Yes",'Raw_Data'!$D$2:$D$59,"ยานพาหนะ",'Raw_Data'!$E$2:$E$59,"สายสนับสนุนทั่วไป"),"")</x:f>
        <x:v>0</x:v>
      </x:c>
      <x:c r="AH8" s="131" t="n">
        <x:f>IFERROR(100*COUNTIFS('Raw_Data'!$K$2:$K$59,"&gt;=1",'Raw_Data'!$K$2:$K$59,"&lt;=2",'Raw_Data'!$A$2:$A$59,"Yes",'Raw_Data'!$D$2:$D$59,"สื่อสารการตลาด",'Raw_Data'!$E$2:$E$59,"สายสนับสนุนทั่วไป")/COUNTIFS('Raw_Data'!$K$2:$K$59,"&gt;=1",'Raw_Data'!$K$2:$K$59,"&lt;=5",'Raw_Data'!$A$2:$A$59,"Yes",'Raw_Data'!$D$2:$D$59,"สื่อสารการตลาด",'Raw_Data'!$E$2:$E$59,"สายสนับสนุนทั่วไป"),"")</x:f>
        <x:v>100</x:v>
      </x:c>
      <x:c r="AI8" s="131" t="n">
        <x:f>IFERROR(100*COUNTIFS('Raw_Data'!$K$2:$K$59,"&gt;=1",'Raw_Data'!$K$2:$K$59,"&lt;=2",'Raw_Data'!$A$2:$A$59,"Yes",'Raw_Data'!$D$2:$D$59,"ERและเปล",'Raw_Data'!$E$2:$E$59,"สายสนับสนุนทั่วไป")/COUNTIFS('Raw_Data'!$K$2:$K$59,"&gt;=1",'Raw_Data'!$K$2:$K$59,"&lt;=5",'Raw_Data'!$A$2:$A$59,"Yes",'Raw_Data'!$D$2:$D$59,"ERและเปล",'Raw_Data'!$E$2:$E$59,"สายสนับสนุนทั่วไป"),"")</x:f>
        <x:v>0</x:v>
      </x:c>
      <x:c r="AJ8" s="131" t="n">
        <x:f>IFERROR(100*COUNTIFS('Raw_Data'!$K$2:$K$59,"&gt;=1",'Raw_Data'!$K$2:$K$59,"&lt;=2",'Raw_Data'!$A$2:$A$59,"Yes",'Raw_Data'!$D$2:$D$59,"HR",'Raw_Data'!$E$2:$E$59,"สายสนับสนุนทั่วไป")/COUNTIFS('Raw_Data'!$K$2:$K$59,"&gt;=1",'Raw_Data'!$K$2:$K$59,"&lt;=5",'Raw_Data'!$A$2:$A$59,"Yes",'Raw_Data'!$D$2:$D$59,"HR",'Raw_Data'!$E$2:$E$59,"สายสนับสนุนทั่วไป"),"")</x:f>
        <x:v>100</x:v>
      </x:c>
      <x:c r="AK8" s="131" t="n">
        <x:f>IFERROR(100*COUNTIFS('Raw_Data'!$K$2:$K$59,"&gt;=1",'Raw_Data'!$K$2:$K$59,"&lt;=2",'Raw_Data'!$A$2:$A$59,"Yes",'Raw_Data'!$D$2:$D$59,"ICU",'Raw_Data'!$E$2:$E$59,"สายสนับสนุนทั่วไป")/COUNTIFS('Raw_Data'!$K$2:$K$59,"&gt;=1",'Raw_Data'!$K$2:$K$59,"&lt;=5",'Raw_Data'!$A$2:$A$59,"Yes",'Raw_Data'!$D$2:$D$59,"ICU",'Raw_Data'!$E$2:$E$59,"สายสนับสนุนทั่วไป"),"")</x:f>
        <x:v>100</x:v>
      </x:c>
      <x:c r="AL8" s="131" t="n">
        <x:f>IFERROR(100*COUNTIFS('Raw_Data'!$K$2:$K$59,"&gt;=1",'Raw_Data'!$K$2:$K$59,"&lt;=2",'Raw_Data'!$A$2:$A$59,"Yes",'Raw_Data'!$D$2:$D$59,"IPD",'Raw_Data'!$E$2:$E$59,"สายสนับสนุนทั่วไป")/COUNTIFS('Raw_Data'!$K$2:$K$59,"&gt;=1",'Raw_Data'!$K$2:$K$59,"&lt;=5",'Raw_Data'!$A$2:$A$59,"Yes",'Raw_Data'!$D$2:$D$59,"IPD",'Raw_Data'!$E$2:$E$59,"สายสนับสนุนทั่วไป"),"")</x:f>
        <x:v>0</x:v>
      </x:c>
      <x:c r="AM8" s="131" t="n">
        <x:f>IFERROR(100*COUNTIFS('Raw_Data'!$K$2:$K$59,"&gt;=1",'Raw_Data'!$K$2:$K$59,"&lt;=2",'Raw_Data'!$A$2:$A$59,"Yes",'Raw_Data'!$D$2:$D$59,"IT",'Raw_Data'!$E$2:$E$59,"สายสนับสนุนทั่วไป")/COUNTIFS('Raw_Data'!$K$2:$K$59,"&gt;=1",'Raw_Data'!$K$2:$K$59,"&lt;=5",'Raw_Data'!$A$2:$A$59,"Yes",'Raw_Data'!$D$2:$D$59,"IT",'Raw_Data'!$E$2:$E$59,"สายสนับสนุนทั่วไป"),"")</x:f>
        <x:v>0</x:v>
      </x:c>
      <x:c r="AN8" s="131" t="n">
        <x:f>IFERROR(100*COUNTIFS('Raw_Data'!$K$2:$K$59,"&gt;=1",'Raw_Data'!$K$2:$K$59,"&lt;=2",'Raw_Data'!$A$2:$A$59,"Yes",'Raw_Data'!$D$2:$D$59,"ผู้ป่วยสัมพันธ์",'Raw_Data'!$E$2:$E$59,"สายสนับสนุนทางการแพทย์")/COUNTIFS('Raw_Data'!$K$2:$K$59,"&gt;=1",'Raw_Data'!$K$2:$K$59,"&lt;=5",'Raw_Data'!$A$2:$A$59,"Yes",'Raw_Data'!$D$2:$D$59,"ผู้ป่วยสัมพันธ์",'Raw_Data'!$E$2:$E$59,"สายสนับสนุนทางการแพทย์"),"")</x:f>
        <x:v>33.333333333333336</x:v>
      </x:c>
      <x:c r="AO8" s="131" t="n">
        <x:f>IFERROR(100*COUNTIFS('Raw_Data'!$K$2:$K$59,"&gt;=1",'Raw_Data'!$K$2:$K$59,"&lt;=2",'Raw_Data'!$A$2:$A$59,"Yes",'Raw_Data'!$D$2:$D$59,"ฝ่ายการพยาบาล",'Raw_Data'!$E$2:$E$59,"สายสนับสนุนทางการแพทย์")/COUNTIFS('Raw_Data'!$K$2:$K$59,"&gt;=1",'Raw_Data'!$K$2:$K$59,"&lt;=5",'Raw_Data'!$A$2:$A$59,"Yes",'Raw_Data'!$D$2:$D$59,"ฝ่ายการพยาบาล",'Raw_Data'!$E$2:$E$59,"สายสนับสนุนทางการแพทย์"),"")</x:f>
        <x:v>100</x:v>
      </x:c>
      <x:c r="AP8" s="131" t="n">
        <x:f>IFERROR(100*COUNTIFS('Raw_Data'!$K$2:$K$59,"&gt;=1",'Raw_Data'!$K$2:$K$59,"&lt;=2",'Raw_Data'!$A$2:$A$59,"Yes",'Raw_Data'!$D$2:$D$59,"โภชนาการ",'Raw_Data'!$E$2:$E$59,"สายสนับสนุนทางการแพทย์")/COUNTIFS('Raw_Data'!$K$2:$K$59,"&gt;=1",'Raw_Data'!$K$2:$K$59,"&lt;=5",'Raw_Data'!$A$2:$A$59,"Yes",'Raw_Data'!$D$2:$D$59,"โภชนาการ",'Raw_Data'!$E$2:$E$59,"สายสนับสนุนทางการแพทย์"),"")</x:f>
        <x:v>100</x:v>
      </x:c>
      <x:c r="AQ8" s="131" t="n">
        <x:f>IFERROR(100*COUNTIFS('Raw_Data'!$K$2:$K$59,"&gt;=1",'Raw_Data'!$K$2:$K$59,"&lt;=2",'Raw_Data'!$A$2:$A$59,"Yes",'Raw_Data'!$D$2:$D$59,"ห้องยา",'Raw_Data'!$E$2:$E$59,"สายสนับสนุนทางการแพทย์")/COUNTIFS('Raw_Data'!$K$2:$K$59,"&gt;=1",'Raw_Data'!$K$2:$K$59,"&lt;=5",'Raw_Data'!$A$2:$A$59,"Yes",'Raw_Data'!$D$2:$D$59,"ห้องยา",'Raw_Data'!$E$2:$E$59,"สายสนับสนุนทางการแพทย์"),"")</x:f>
        <x:v>0</x:v>
      </x:c>
      <x:c r="AR8" s="131" t="n">
        <x:f>IFERROR(100*COUNTIFS('Raw_Data'!$K$2:$K$59,"&gt;=1",'Raw_Data'!$K$2:$K$59,"&lt;=2",'Raw_Data'!$A$2:$A$59,"Yes",'Raw_Data'!$D$2:$D$59,"ห้องแลป",'Raw_Data'!$E$2:$E$59,"สายสนับสนุนทางการแพทย์")/COUNTIFS('Raw_Data'!$K$2:$K$59,"&gt;=1",'Raw_Data'!$K$2:$K$59,"&lt;=5",'Raw_Data'!$A$2:$A$59,"Yes",'Raw_Data'!$D$2:$D$59,"ห้องแลป",'Raw_Data'!$E$2:$E$59,"สายสนับสนุนทางการแพทย์"),"")</x:f>
        <x:v>50</x:v>
      </x:c>
      <x:c r="AS8" s="131" t="n">
        <x:f>IFERROR(100*COUNTIFS('Raw_Data'!$K$2:$K$59,"&gt;=1",'Raw_Data'!$K$2:$K$59,"&lt;=2",'Raw_Data'!$A$2:$A$59,"Yes",'Raw_Data'!$D$2:$D$59,"ห้องเอ็กซเรย์",'Raw_Data'!$E$2:$E$59,"สายสนับสนุนทางการแพทย์")/COUNTIFS('Raw_Data'!$K$2:$K$59,"&gt;=1",'Raw_Data'!$K$2:$K$59,"&lt;=5",'Raw_Data'!$A$2:$A$59,"Yes",'Raw_Data'!$D$2:$D$59,"ห้องเอ็กซเรย์",'Raw_Data'!$E$2:$E$59,"สายสนับสนุนทางการแพทย์"),"")</x:f>
        <x:v>66.66666666666667</x:v>
      </x:c>
      <x:c r="AT8" s="131" t="n">
        <x:f>IFERROR(100*COUNTIFS('Raw_Data'!$K$2:$K$59,"&gt;=1",'Raw_Data'!$K$2:$K$59,"&lt;=2",'Raw_Data'!$A$2:$A$59,"Yes",'Raw_Data'!$D$2:$D$59,"ERและเปล",'Raw_Data'!$E$2:$E$59,"สายสนับสนุนทางการแพทย์")/COUNTIFS('Raw_Data'!$K$2:$K$59,"&gt;=1",'Raw_Data'!$K$2:$K$59,"&lt;=5",'Raw_Data'!$A$2:$A$59,"Yes",'Raw_Data'!$D$2:$D$59,"ERและเปล",'Raw_Data'!$E$2:$E$59,"สายสนับสนุนทางการแพทย์"),"")</x:f>
        <x:v>0</x:v>
      </x:c>
      <x:c r="AU8" s="131" t="n">
        <x:f>IFERROR(100*COUNTIFS('Raw_Data'!$K$2:$K$59,"&gt;=1",'Raw_Data'!$K$2:$K$59,"&lt;=2",'Raw_Data'!$A$2:$A$59,"Yes",'Raw_Data'!$D$2:$D$59,"ICU",'Raw_Data'!$E$2:$E$59,"สายสนับสนุนทางการแพทย์")/COUNTIFS('Raw_Data'!$K$2:$K$59,"&gt;=1",'Raw_Data'!$K$2:$K$59,"&lt;=5",'Raw_Data'!$A$2:$A$59,"Yes",'Raw_Data'!$D$2:$D$59,"ICU",'Raw_Data'!$E$2:$E$59,"สายสนับสนุนทางการแพทย์"),"")</x:f>
        <x:v>0</x:v>
      </x:c>
      <x:c r="AV8" s="131" t="n">
        <x:f>IFERROR(100*COUNTIFS('Raw_Data'!$K$2:$K$59,"&gt;=1",'Raw_Data'!$K$2:$K$59,"&lt;=2",'Raw_Data'!$A$2:$A$59,"Yes",'Raw_Data'!$D$2:$D$59,"IPD",'Raw_Data'!$E$2:$E$59,"สายสนับสนุนทางการแพทย์")/COUNTIFS('Raw_Data'!$K$2:$K$59,"&gt;=1",'Raw_Data'!$K$2:$K$59,"&lt;=5",'Raw_Data'!$A$2:$A$59,"Yes",'Raw_Data'!$D$2:$D$59,"IPD",'Raw_Data'!$E$2:$E$59,"สายสนับสนุนทางการแพทย์"),"")</x:f>
        <x:v>50</x:v>
      </x:c>
      <x:c r="AW8" s="131" t="n">
        <x:f>IFERROR(100*COUNTIFS('Raw_Data'!$K$2:$K$59,"&gt;=1",'Raw_Data'!$K$2:$K$59,"&lt;=2",'Raw_Data'!$A$2:$A$59,"Yes",'Raw_Data'!$D$2:$D$59,"IT",'Raw_Data'!$E$2:$E$59,"สายสนับสนุนทางการแพทย์")/COUNTIFS('Raw_Data'!$K$2:$K$59,"&gt;=1",'Raw_Data'!$K$2:$K$59,"&lt;=5",'Raw_Data'!$A$2:$A$59,"Yes",'Raw_Data'!$D$2:$D$59,"IT",'Raw_Data'!$E$2:$E$59,"สายสนับสนุนทางการแพทย์"),"")</x:f>
        <x:v>0</x:v>
      </x:c>
    </x:row>
    <x:row r="9" ht="42" customHeight="1">
      <x:c r="A9" s="123"/>
      <x:c r="B9" s="124" t="str">
        <x:v>A5. หน่วยงานที่ท่านทำงานอยู่ต้องอาศัยหรือพึ่งพาบุคลากรที่มาช่วยทำงานชั่วคราว บุคลากรที่หมุนเวียนมาทำงาน หรือที่ทำงานเฉพาะช่วงที่กำหนดเป็นครั้งๆ มากเกินไป</x:v>
      </x:c>
      <x:c r="C9" s="131" t="n">
        <x:f>IFERROR(100*COUNTIFS('Raw_Data'!$L$2:$L$59,"&gt;=1",'Raw_Data'!$L$2:$L$59,"&lt;=2",'Raw_Data'!$A$2:$A$59,"Yes")/COUNTIFS('Raw_Data'!$L$2:$L$59,"&gt;=1",'Raw_Data'!$L$2:$L$59,"&lt;=5",'Raw_Data'!$A$2:$A$59,"Yes"),"")</x:f>
        <x:v>24.137931034482758</x:v>
      </x:c>
      <x:c r="D9" s="131" t="n">
        <x:f>IFERROR(100*COUNTIFS('Raw_Data'!$L$2:$L$59,"&gt;=1",'Raw_Data'!$L$2:$L$59,"&lt;=2",'Raw_Data'!$A$2:$A$59,"Yes",'Raw_Data'!$D$2:$D$59,"การเงิน")/COUNTIFS('Raw_Data'!$L$2:$L$59,"&gt;=1",'Raw_Data'!$L$2:$L$59,"&lt;=5",'Raw_Data'!$A$2:$A$59,"Yes",'Raw_Data'!$D$2:$D$59,"การเงิน"),"")</x:f>
        <x:v>66.66666666666667</x:v>
      </x:c>
      <x:c r="E9" s="131" t="n">
        <x:f>IFERROR(100*COUNTIFS('Raw_Data'!$L$2:$L$59,"&gt;=1",'Raw_Data'!$L$2:$L$59,"&lt;=2",'Raw_Data'!$A$2:$A$59,"Yes",'Raw_Data'!$D$2:$D$59,"เคหรักษ์")/COUNTIFS('Raw_Data'!$L$2:$L$59,"&gt;=1",'Raw_Data'!$L$2:$L$59,"&lt;=5",'Raw_Data'!$A$2:$A$59,"Yes",'Raw_Data'!$D$2:$D$59,"เคหรักษ์"),"")</x:f>
        <x:v>0</x:v>
      </x:c>
      <x:c r="F9" s="131" t="n">
        <x:f>IFERROR(100*COUNTIFS('Raw_Data'!$L$2:$L$59,"&gt;=1",'Raw_Data'!$L$2:$L$59,"&lt;=2",'Raw_Data'!$A$2:$A$59,"Yes",'Raw_Data'!$D$2:$D$59,"จ่ายกลาง")/COUNTIFS('Raw_Data'!$L$2:$L$59,"&gt;=1",'Raw_Data'!$L$2:$L$59,"&lt;=5",'Raw_Data'!$A$2:$A$59,"Yes",'Raw_Data'!$D$2:$D$59,"จ่ายกลาง"),"")</x:f>
        <x:v>0</x:v>
      </x:c>
      <x:c r="G9" s="131" t="n">
        <x:f>IFERROR(100*COUNTIFS('Raw_Data'!$L$2:$L$59,"&gt;=1",'Raw_Data'!$L$2:$L$59,"&lt;=2",'Raw_Data'!$A$2:$A$59,"Yes",'Raw_Data'!$D$2:$D$59,"ช่างและสนาม")/COUNTIFS('Raw_Data'!$L$2:$L$59,"&gt;=1",'Raw_Data'!$L$2:$L$59,"&lt;=5",'Raw_Data'!$A$2:$A$59,"Yes",'Raw_Data'!$D$2:$D$59,"ช่างและสนาม"),"")</x:f>
        <x:v>25</x:v>
      </x:c>
      <x:c r="H9" s="131" t="n">
        <x:f>IFERROR(100*COUNTIFS('Raw_Data'!$L$2:$L$59,"&gt;=1",'Raw_Data'!$L$2:$L$59,"&lt;=2",'Raw_Data'!$A$2:$A$59,"Yes",'Raw_Data'!$D$2:$D$59,"ผู้ป่วยสัมพันธ์")/COUNTIFS('Raw_Data'!$L$2:$L$59,"&gt;=1",'Raw_Data'!$L$2:$L$59,"&lt;=5",'Raw_Data'!$A$2:$A$59,"Yes",'Raw_Data'!$D$2:$D$59,"ผู้ป่วยสัมพันธ์"),"")</x:f>
        <x:v>25</x:v>
      </x:c>
      <x:c r="I9" s="131" t="n">
        <x:f>IFERROR(100*COUNTIFS('Raw_Data'!$L$2:$L$59,"&gt;=1",'Raw_Data'!$L$2:$L$59,"&lt;=2",'Raw_Data'!$A$2:$A$59,"Yes",'Raw_Data'!$D$2:$D$59,"ฝ่ายการพยาบาล")/COUNTIFS('Raw_Data'!$L$2:$L$59,"&gt;=1",'Raw_Data'!$L$2:$L$59,"&lt;=5",'Raw_Data'!$A$2:$A$59,"Yes",'Raw_Data'!$D$2:$D$59,"ฝ่ายการพยาบาล"),"")</x:f>
        <x:v>0</x:v>
      </x:c>
      <x:c r="J9" s="131" t="n">
        <x:f>IFERROR(100*COUNTIFS('Raw_Data'!$L$2:$L$59,"&gt;=1",'Raw_Data'!$L$2:$L$59,"&lt;=2",'Raw_Data'!$A$2:$A$59,"Yes",'Raw_Data'!$D$2:$D$59,"โภชนาการ")/COUNTIFS('Raw_Data'!$L$2:$L$59,"&gt;=1",'Raw_Data'!$L$2:$L$59,"&lt;=5",'Raw_Data'!$A$2:$A$59,"Yes",'Raw_Data'!$D$2:$D$59,"โภชนาการ"),"")</x:f>
        <x:v>100</x:v>
      </x:c>
      <x:c r="K9" s="131" t="n">
        <x:f>IFERROR(100*COUNTIFS('Raw_Data'!$L$2:$L$59,"&gt;=1",'Raw_Data'!$L$2:$L$59,"&lt;=2",'Raw_Data'!$A$2:$A$59,"Yes",'Raw_Data'!$D$2:$D$59,"ยานพาหนะ")/COUNTIFS('Raw_Data'!$L$2:$L$59,"&gt;=1",'Raw_Data'!$L$2:$L$59,"&lt;=5",'Raw_Data'!$A$2:$A$59,"Yes",'Raw_Data'!$D$2:$D$59,"ยานพาหนะ"),"")</x:f>
        <x:v>100</x:v>
      </x:c>
      <x:c r="L9" s="131" t="n">
        <x:f>IFERROR(100*COUNTIFS('Raw_Data'!$L$2:$L$59,"&gt;=1",'Raw_Data'!$L$2:$L$59,"&lt;=2",'Raw_Data'!$A$2:$A$59,"Yes",'Raw_Data'!$D$2:$D$59,"สื่อสารการตลาด")/COUNTIFS('Raw_Data'!$L$2:$L$59,"&gt;=1",'Raw_Data'!$L$2:$L$59,"&lt;=5",'Raw_Data'!$A$2:$A$59,"Yes",'Raw_Data'!$D$2:$D$59,"สื่อสารการตลาด"),"")</x:f>
        <x:v>0</x:v>
      </x:c>
      <x:c r="M9" s="131" t="n">
        <x:f>IFERROR(100*COUNTIFS('Raw_Data'!$L$2:$L$59,"&gt;=1",'Raw_Data'!$L$2:$L$59,"&lt;=2",'Raw_Data'!$A$2:$A$59,"Yes",'Raw_Data'!$D$2:$D$59,"ห้องยา")/COUNTIFS('Raw_Data'!$L$2:$L$59,"&gt;=1",'Raw_Data'!$L$2:$L$59,"&lt;=5",'Raw_Data'!$A$2:$A$59,"Yes",'Raw_Data'!$D$2:$D$59,"ห้องยา"),"")</x:f>
        <x:v>33.333333333333336</x:v>
      </x:c>
      <x:c r="N9" s="131" t="n">
        <x:f>IFERROR(100*COUNTIFS('Raw_Data'!$L$2:$L$59,"&gt;=1",'Raw_Data'!$L$2:$L$59,"&lt;=2",'Raw_Data'!$A$2:$A$59,"Yes",'Raw_Data'!$D$2:$D$59,"ห้องแลป")/COUNTIFS('Raw_Data'!$L$2:$L$59,"&gt;=1",'Raw_Data'!$L$2:$L$59,"&lt;=5",'Raw_Data'!$A$2:$A$59,"Yes",'Raw_Data'!$D$2:$D$59,"ห้องแลป"),"")</x:f>
        <x:v>100</x:v>
      </x:c>
      <x:c r="O9" s="131" t="n">
        <x:f>IFERROR(100*COUNTIFS('Raw_Data'!$L$2:$L$59,"&gt;=1",'Raw_Data'!$L$2:$L$59,"&lt;=2",'Raw_Data'!$A$2:$A$59,"Yes",'Raw_Data'!$D$2:$D$59,"ห้องเอ็กซเรย์")/COUNTIFS('Raw_Data'!$L$2:$L$59,"&gt;=1",'Raw_Data'!$L$2:$L$59,"&lt;=5",'Raw_Data'!$A$2:$A$59,"Yes",'Raw_Data'!$D$2:$D$59,"ห้องเอ็กซเรย์"),"")</x:f>
        <x:v>0</x:v>
      </x:c>
      <x:c r="P9" s="131" t="n">
        <x:f>IFERROR(100*COUNTIFS('Raw_Data'!$L$2:$L$59,"&gt;=1",'Raw_Data'!$L$2:$L$59,"&lt;=2",'Raw_Data'!$A$2:$A$59,"Yes",'Raw_Data'!$D$2:$D$59,"ERและเปล")/COUNTIFS('Raw_Data'!$L$2:$L$59,"&gt;=1",'Raw_Data'!$L$2:$L$59,"&lt;=5",'Raw_Data'!$A$2:$A$59,"Yes",'Raw_Data'!$D$2:$D$59,"ERและเปล"),"")</x:f>
        <x:v>18.181818181818183</x:v>
      </x:c>
      <x:c r="Q9" s="131" t="n">
        <x:f>IFERROR(100*COUNTIFS('Raw_Data'!$L$2:$L$59,"&gt;=1",'Raw_Data'!$L$2:$L$59,"&lt;=2",'Raw_Data'!$A$2:$A$59,"Yes",'Raw_Data'!$D$2:$D$59,"HR")/COUNTIFS('Raw_Data'!$L$2:$L$59,"&gt;=1",'Raw_Data'!$L$2:$L$59,"&lt;=5",'Raw_Data'!$A$2:$A$59,"Yes",'Raw_Data'!$D$2:$D$59,"HR"),"")</x:f>
        <x:v>0</x:v>
      </x:c>
      <x:c r="R9" s="131" t="n">
        <x:f>IFERROR(100*COUNTIFS('Raw_Data'!$L$2:$L$59,"&gt;=1",'Raw_Data'!$L$2:$L$59,"&lt;=2",'Raw_Data'!$A$2:$A$59,"Yes",'Raw_Data'!$D$2:$D$59,"ICU")/COUNTIFS('Raw_Data'!$L$2:$L$59,"&gt;=1",'Raw_Data'!$L$2:$L$59,"&lt;=5",'Raw_Data'!$A$2:$A$59,"Yes",'Raw_Data'!$D$2:$D$59,"ICU"),"")</x:f>
        <x:v>0</x:v>
      </x:c>
      <x:c r="S9" s="131" t="n">
        <x:f>IFERROR(100*COUNTIFS('Raw_Data'!$L$2:$L$59,"&gt;=1",'Raw_Data'!$L$2:$L$59,"&lt;=2",'Raw_Data'!$A$2:$A$59,"Yes",'Raw_Data'!$D$2:$D$59,"IPD")/COUNTIFS('Raw_Data'!$L$2:$L$59,"&gt;=1",'Raw_Data'!$L$2:$L$59,"&lt;=5",'Raw_Data'!$A$2:$A$59,"Yes",'Raw_Data'!$D$2:$D$59,"IPD"),"")</x:f>
        <x:v>0</x:v>
      </x:c>
      <x:c r="T9" s="131" t="n">
        <x:f>IFERROR(100*COUNTIFS('Raw_Data'!$L$2:$L$59,"&gt;=1",'Raw_Data'!$L$2:$L$59,"&lt;=2",'Raw_Data'!$A$2:$A$59,"Yes",'Raw_Data'!$D$2:$D$59,"IT")/COUNTIFS('Raw_Data'!$L$2:$L$59,"&gt;=1",'Raw_Data'!$L$2:$L$59,"&lt;=5",'Raw_Data'!$A$2:$A$59,"Yes",'Raw_Data'!$D$2:$D$59,"IT"),"")</x:f>
        <x:v>50</x:v>
      </x:c>
      <x:c r="U9" s="131" t="n">
        <x:f>IFERROR(100*COUNTIFS('Raw_Data'!$L$2:$L$59,"&gt;=1",'Raw_Data'!$L$2:$L$59,"&lt;=2",'Raw_Data'!$A$2:$A$59,"Yes",'Raw_Data'!$D$2:$D$59,"OR")/COUNTIFS('Raw_Data'!$L$2:$L$59,"&gt;=1",'Raw_Data'!$L$2:$L$59,"&lt;=5",'Raw_Data'!$A$2:$A$59,"Yes",'Raw_Data'!$D$2:$D$59,"OR"),"")</x:f>
        <x:v>25</x:v>
      </x:c>
      <x:c r="V9" s="131" t="n">
        <x:f>IFERROR(100*COUNTIFS('Raw_Data'!$L$2:$L$59,"&gt;=1",'Raw_Data'!$L$2:$L$59,"&lt;=2",'Raw_Data'!$A$2:$A$59,"Yes",'Raw_Data'!$D$2:$D$59,"IPD",'Raw_Data'!$E$2:$E$59,"ผู้บริหาร")/COUNTIFS('Raw_Data'!$L$2:$L$59,"&gt;=1",'Raw_Data'!$L$2:$L$59,"&lt;=5",'Raw_Data'!$A$2:$A$59,"Yes",'Raw_Data'!$D$2:$D$59,"IPD",'Raw_Data'!$E$2:$E$59,"ผู้บริหาร"),"")</x:f>
        <x:v>0</x:v>
      </x:c>
      <x:c r="W9" s="131" t="n">
        <x:f>IFERROR(100*COUNTIFS('Raw_Data'!$L$2:$L$59,"&gt;=1",'Raw_Data'!$L$2:$L$59,"&lt;=2",'Raw_Data'!$A$2:$A$59,"Yes",'Raw_Data'!$D$2:$D$59,"ฝ่ายการพยาบาล",'Raw_Data'!$E$2:$E$59,"สายวิชาชีพสาธารณสุข")/COUNTIFS('Raw_Data'!$L$2:$L$59,"&gt;=1",'Raw_Data'!$L$2:$L$59,"&lt;=5",'Raw_Data'!$A$2:$A$59,"Yes",'Raw_Data'!$D$2:$D$59,"ฝ่ายการพยาบาล",'Raw_Data'!$E$2:$E$59,"สายวิชาชีพสาธารณสุข"),"")</x:f>
        <x:v>0</x:v>
      </x:c>
      <x:c r="X9" s="131" t="n">
        <x:f>IFERROR(100*COUNTIFS('Raw_Data'!$L$2:$L$59,"&gt;=1",'Raw_Data'!$L$2:$L$59,"&lt;=2",'Raw_Data'!$A$2:$A$59,"Yes",'Raw_Data'!$D$2:$D$59,"ERและเปล",'Raw_Data'!$E$2:$E$59,"สายวิชาชีพสาธารณสุข")/COUNTIFS('Raw_Data'!$L$2:$L$59,"&gt;=1",'Raw_Data'!$L$2:$L$59,"&lt;=5",'Raw_Data'!$A$2:$A$59,"Yes",'Raw_Data'!$D$2:$D$59,"ERและเปล",'Raw_Data'!$E$2:$E$59,"สายวิชาชีพสาธารณสุข"),"")</x:f>
        <x:v>0</x:v>
      </x:c>
      <x:c r="Y9" s="131" t="n">
        <x:f>IFERROR(100*COUNTIFS('Raw_Data'!$L$2:$L$59,"&gt;=1",'Raw_Data'!$L$2:$L$59,"&lt;=2",'Raw_Data'!$A$2:$A$59,"Yes",'Raw_Data'!$D$2:$D$59,"ICU",'Raw_Data'!$E$2:$E$59,"สายวิชาชีพสาธารณสุข")/COUNTIFS('Raw_Data'!$L$2:$L$59,"&gt;=1",'Raw_Data'!$L$2:$L$59,"&lt;=5",'Raw_Data'!$A$2:$A$59,"Yes",'Raw_Data'!$D$2:$D$59,"ICU",'Raw_Data'!$E$2:$E$59,"สายวิชาชีพสาธารณสุข"),"")</x:f>
        <x:v>0</x:v>
      </x:c>
      <x:c r="Z9" s="131" t="n">
        <x:f>IFERROR(100*COUNTIFS('Raw_Data'!$L$2:$L$59,"&gt;=1",'Raw_Data'!$L$2:$L$59,"&lt;=2",'Raw_Data'!$A$2:$A$59,"Yes",'Raw_Data'!$D$2:$D$59,"IPD",'Raw_Data'!$E$2:$E$59,"สายวิชาชีพสาธารณสุข")/COUNTIFS('Raw_Data'!$L$2:$L$59,"&gt;=1",'Raw_Data'!$L$2:$L$59,"&lt;=5",'Raw_Data'!$A$2:$A$59,"Yes",'Raw_Data'!$D$2:$D$59,"IPD",'Raw_Data'!$E$2:$E$59,"สายวิชาชีพสาธารณสุข"),"")</x:f>
        <x:v>0</x:v>
      </x:c>
      <x:c r="AA9" s="131" t="n">
        <x:f>IFERROR(100*COUNTIFS('Raw_Data'!$L$2:$L$59,"&gt;=1",'Raw_Data'!$L$2:$L$59,"&lt;=2",'Raw_Data'!$A$2:$A$59,"Yes",'Raw_Data'!$D$2:$D$59,"OR",'Raw_Data'!$E$2:$E$59,"สายวิชาชีพสาธารณสุข")/COUNTIFS('Raw_Data'!$L$2:$L$59,"&gt;=1",'Raw_Data'!$L$2:$L$59,"&lt;=5",'Raw_Data'!$A$2:$A$59,"Yes",'Raw_Data'!$D$2:$D$59,"OR",'Raw_Data'!$E$2:$E$59,"สายวิชาชีพสาธารณสุข"),"")</x:f>
        <x:v>25</x:v>
      </x:c>
      <x:c r="AB9" s="131" t="n">
        <x:f>IFERROR(100*COUNTIFS('Raw_Data'!$L$2:$L$59,"&gt;=1",'Raw_Data'!$L$2:$L$59,"&lt;=2",'Raw_Data'!$A$2:$A$59,"Yes",'Raw_Data'!$D$2:$D$59,"การเงิน",'Raw_Data'!$E$2:$E$59,"สายสนับสนุนทั่วไป")/COUNTIFS('Raw_Data'!$L$2:$L$59,"&gt;=1",'Raw_Data'!$L$2:$L$59,"&lt;=5",'Raw_Data'!$A$2:$A$59,"Yes",'Raw_Data'!$D$2:$D$59,"การเงิน",'Raw_Data'!$E$2:$E$59,"สายสนับสนุนทั่วไป"),"")</x:f>
        <x:v>66.66666666666667</x:v>
      </x:c>
      <x:c r="AC9" s="131" t="n">
        <x:f>IFERROR(100*COUNTIFS('Raw_Data'!$L$2:$L$59,"&gt;=1",'Raw_Data'!$L$2:$L$59,"&lt;=2",'Raw_Data'!$A$2:$A$59,"Yes",'Raw_Data'!$D$2:$D$59,"เคหรักษ์",'Raw_Data'!$E$2:$E$59,"สายสนับสนุนทั่วไป")/COUNTIFS('Raw_Data'!$L$2:$L$59,"&gt;=1",'Raw_Data'!$L$2:$L$59,"&lt;=5",'Raw_Data'!$A$2:$A$59,"Yes",'Raw_Data'!$D$2:$D$59,"เคหรักษ์",'Raw_Data'!$E$2:$E$59,"สายสนับสนุนทั่วไป"),"")</x:f>
        <x:v>0</x:v>
      </x:c>
      <x:c r="AD9" s="131" t="n">
        <x:f>IFERROR(100*COUNTIFS('Raw_Data'!$L$2:$L$59,"&gt;=1",'Raw_Data'!$L$2:$L$59,"&lt;=2",'Raw_Data'!$A$2:$A$59,"Yes",'Raw_Data'!$D$2:$D$59,"จ่ายกลาง",'Raw_Data'!$E$2:$E$59,"สายสนับสนุนทั่วไป")/COUNTIFS('Raw_Data'!$L$2:$L$59,"&gt;=1",'Raw_Data'!$L$2:$L$59,"&lt;=5",'Raw_Data'!$A$2:$A$59,"Yes",'Raw_Data'!$D$2:$D$59,"จ่ายกลาง",'Raw_Data'!$E$2:$E$59,"สายสนับสนุนทั่วไป"),"")</x:f>
        <x:v>0</x:v>
      </x:c>
      <x:c r="AE9" s="131" t="n">
        <x:f>IFERROR(100*COUNTIFS('Raw_Data'!$L$2:$L$59,"&gt;=1",'Raw_Data'!$L$2:$L$59,"&lt;=2",'Raw_Data'!$A$2:$A$59,"Yes",'Raw_Data'!$D$2:$D$59,"ช่างและสนาม",'Raw_Data'!$E$2:$E$59,"สายสนับสนุนทั่วไป")/COUNTIFS('Raw_Data'!$L$2:$L$59,"&gt;=1",'Raw_Data'!$L$2:$L$59,"&lt;=5",'Raw_Data'!$A$2:$A$59,"Yes",'Raw_Data'!$D$2:$D$59,"ช่างและสนาม",'Raw_Data'!$E$2:$E$59,"สายสนับสนุนทั่วไป"),"")</x:f>
        <x:v>25</x:v>
      </x:c>
      <x:c r="AF9" s="131" t="n">
        <x:f>IFERROR(100*COUNTIFS('Raw_Data'!$L$2:$L$59,"&gt;=1",'Raw_Data'!$L$2:$L$59,"&lt;=2",'Raw_Data'!$A$2:$A$59,"Yes",'Raw_Data'!$D$2:$D$59,"ผู้ป่วยสัมพันธ์",'Raw_Data'!$E$2:$E$59,"สายสนับสนุนทั่วไป")/COUNTIFS('Raw_Data'!$L$2:$L$59,"&gt;=1",'Raw_Data'!$L$2:$L$59,"&lt;=5",'Raw_Data'!$A$2:$A$59,"Yes",'Raw_Data'!$D$2:$D$59,"ผู้ป่วยสัมพันธ์",'Raw_Data'!$E$2:$E$59,"สายสนับสนุนทั่วไป"),"")</x:f>
        <x:v>0</x:v>
      </x:c>
      <x:c r="AG9" s="131" t="n">
        <x:f>IFERROR(100*COUNTIFS('Raw_Data'!$L$2:$L$59,"&gt;=1",'Raw_Data'!$L$2:$L$59,"&lt;=2",'Raw_Data'!$A$2:$A$59,"Yes",'Raw_Data'!$D$2:$D$59,"ยานพาหนะ",'Raw_Data'!$E$2:$E$59,"สายสนับสนุนทั่วไป")/COUNTIFS('Raw_Data'!$L$2:$L$59,"&gt;=1",'Raw_Data'!$L$2:$L$59,"&lt;=5",'Raw_Data'!$A$2:$A$59,"Yes",'Raw_Data'!$D$2:$D$59,"ยานพาหนะ",'Raw_Data'!$E$2:$E$59,"สายสนับสนุนทั่วไป"),"")</x:f>
        <x:v>100</x:v>
      </x:c>
      <x:c r="AH9" s="131" t="n">
        <x:f>IFERROR(100*COUNTIFS('Raw_Data'!$L$2:$L$59,"&gt;=1",'Raw_Data'!$L$2:$L$59,"&lt;=2",'Raw_Data'!$A$2:$A$59,"Yes",'Raw_Data'!$D$2:$D$59,"สื่อสารการตลาด",'Raw_Data'!$E$2:$E$59,"สายสนับสนุนทั่วไป")/COUNTIFS('Raw_Data'!$L$2:$L$59,"&gt;=1",'Raw_Data'!$L$2:$L$59,"&lt;=5",'Raw_Data'!$A$2:$A$59,"Yes",'Raw_Data'!$D$2:$D$59,"สื่อสารการตลาด",'Raw_Data'!$E$2:$E$59,"สายสนับสนุนทั่วไป"),"")</x:f>
        <x:v>0</x:v>
      </x:c>
      <x:c r="AI9" s="131" t="n">
        <x:f>IFERROR(100*COUNTIFS('Raw_Data'!$L$2:$L$59,"&gt;=1",'Raw_Data'!$L$2:$L$59,"&lt;=2",'Raw_Data'!$A$2:$A$59,"Yes",'Raw_Data'!$D$2:$D$59,"ERและเปล",'Raw_Data'!$E$2:$E$59,"สายสนับสนุนทั่วไป")/COUNTIFS('Raw_Data'!$L$2:$L$59,"&gt;=1",'Raw_Data'!$L$2:$L$59,"&lt;=5",'Raw_Data'!$A$2:$A$59,"Yes",'Raw_Data'!$D$2:$D$59,"ERและเปล",'Raw_Data'!$E$2:$E$59,"สายสนับสนุนทั่วไป"),"")</x:f>
        <x:v>66.66666666666667</x:v>
      </x:c>
      <x:c r="AJ9" s="131" t="n">
        <x:f>IFERROR(100*COUNTIFS('Raw_Data'!$L$2:$L$59,"&gt;=1",'Raw_Data'!$L$2:$L$59,"&lt;=2",'Raw_Data'!$A$2:$A$59,"Yes",'Raw_Data'!$D$2:$D$59,"HR",'Raw_Data'!$E$2:$E$59,"สายสนับสนุนทั่วไป")/COUNTIFS('Raw_Data'!$L$2:$L$59,"&gt;=1",'Raw_Data'!$L$2:$L$59,"&lt;=5",'Raw_Data'!$A$2:$A$59,"Yes",'Raw_Data'!$D$2:$D$59,"HR",'Raw_Data'!$E$2:$E$59,"สายสนับสนุนทั่วไป"),"")</x:f>
        <x:v>0</x:v>
      </x:c>
      <x:c r="AK9" s="131" t="n">
        <x:f>IFERROR(100*COUNTIFS('Raw_Data'!$L$2:$L$59,"&gt;=1",'Raw_Data'!$L$2:$L$59,"&lt;=2",'Raw_Data'!$A$2:$A$59,"Yes",'Raw_Data'!$D$2:$D$59,"ICU",'Raw_Data'!$E$2:$E$59,"สายสนับสนุนทั่วไป")/COUNTIFS('Raw_Data'!$L$2:$L$59,"&gt;=1",'Raw_Data'!$L$2:$L$59,"&lt;=5",'Raw_Data'!$A$2:$A$59,"Yes",'Raw_Data'!$D$2:$D$59,"ICU",'Raw_Data'!$E$2:$E$59,"สายสนับสนุนทั่วไป"),"")</x:f>
        <x:v>0</x:v>
      </x:c>
      <x:c r="AL9" s="131" t="n">
        <x:f>IFERROR(100*COUNTIFS('Raw_Data'!$L$2:$L$59,"&gt;=1",'Raw_Data'!$L$2:$L$59,"&lt;=2",'Raw_Data'!$A$2:$A$59,"Yes",'Raw_Data'!$D$2:$D$59,"IPD",'Raw_Data'!$E$2:$E$59,"สายสนับสนุนทั่วไป")/COUNTIFS('Raw_Data'!$L$2:$L$59,"&gt;=1",'Raw_Data'!$L$2:$L$59,"&lt;=5",'Raw_Data'!$A$2:$A$59,"Yes",'Raw_Data'!$D$2:$D$59,"IPD",'Raw_Data'!$E$2:$E$59,"สายสนับสนุนทั่วไป"),"")</x:f>
        <x:v>0</x:v>
      </x:c>
      <x:c r="AM9" s="131" t="n">
        <x:f>IFERROR(100*COUNTIFS('Raw_Data'!$L$2:$L$59,"&gt;=1",'Raw_Data'!$L$2:$L$59,"&lt;=2",'Raw_Data'!$A$2:$A$59,"Yes",'Raw_Data'!$D$2:$D$59,"IT",'Raw_Data'!$E$2:$E$59,"สายสนับสนุนทั่วไป")/COUNTIFS('Raw_Data'!$L$2:$L$59,"&gt;=1",'Raw_Data'!$L$2:$L$59,"&lt;=5",'Raw_Data'!$A$2:$A$59,"Yes",'Raw_Data'!$D$2:$D$59,"IT",'Raw_Data'!$E$2:$E$59,"สายสนับสนุนทั่วไป"),"")</x:f>
        <x:v>100</x:v>
      </x:c>
      <x:c r="AN9" s="131" t="n">
        <x:f>IFERROR(100*COUNTIFS('Raw_Data'!$L$2:$L$59,"&gt;=1",'Raw_Data'!$L$2:$L$59,"&lt;=2",'Raw_Data'!$A$2:$A$59,"Yes",'Raw_Data'!$D$2:$D$59,"ผู้ป่วยสัมพันธ์",'Raw_Data'!$E$2:$E$59,"สายสนับสนุนทางการแพทย์")/COUNTIFS('Raw_Data'!$L$2:$L$59,"&gt;=1",'Raw_Data'!$L$2:$L$59,"&lt;=5",'Raw_Data'!$A$2:$A$59,"Yes",'Raw_Data'!$D$2:$D$59,"ผู้ป่วยสัมพันธ์",'Raw_Data'!$E$2:$E$59,"สายสนับสนุนทางการแพทย์"),"")</x:f>
        <x:v>33.333333333333336</x:v>
      </x:c>
      <x:c r="AO9" s="131" t="n">
        <x:f>IFERROR(100*COUNTIFS('Raw_Data'!$L$2:$L$59,"&gt;=1",'Raw_Data'!$L$2:$L$59,"&lt;=2",'Raw_Data'!$A$2:$A$59,"Yes",'Raw_Data'!$D$2:$D$59,"ฝ่ายการพยาบาล",'Raw_Data'!$E$2:$E$59,"สายสนับสนุนทางการแพทย์")/COUNTIFS('Raw_Data'!$L$2:$L$59,"&gt;=1",'Raw_Data'!$L$2:$L$59,"&lt;=5",'Raw_Data'!$A$2:$A$59,"Yes",'Raw_Data'!$D$2:$D$59,"ฝ่ายการพยาบาล",'Raw_Data'!$E$2:$E$59,"สายสนับสนุนทางการแพทย์"),"")</x:f>
        <x:v>0</x:v>
      </x:c>
      <x:c r="AP9" s="131" t="n">
        <x:f>IFERROR(100*COUNTIFS('Raw_Data'!$L$2:$L$59,"&gt;=1",'Raw_Data'!$L$2:$L$59,"&lt;=2",'Raw_Data'!$A$2:$A$59,"Yes",'Raw_Data'!$D$2:$D$59,"โภชนาการ",'Raw_Data'!$E$2:$E$59,"สายสนับสนุนทางการแพทย์")/COUNTIFS('Raw_Data'!$L$2:$L$59,"&gt;=1",'Raw_Data'!$L$2:$L$59,"&lt;=5",'Raw_Data'!$A$2:$A$59,"Yes",'Raw_Data'!$D$2:$D$59,"โภชนาการ",'Raw_Data'!$E$2:$E$59,"สายสนับสนุนทางการแพทย์"),"")</x:f>
        <x:v>100</x:v>
      </x:c>
      <x:c r="AQ9" s="131" t="n">
        <x:f>IFERROR(100*COUNTIFS('Raw_Data'!$L$2:$L$59,"&gt;=1",'Raw_Data'!$L$2:$L$59,"&lt;=2",'Raw_Data'!$A$2:$A$59,"Yes",'Raw_Data'!$D$2:$D$59,"ห้องยา",'Raw_Data'!$E$2:$E$59,"สายสนับสนุนทางการแพทย์")/COUNTIFS('Raw_Data'!$L$2:$L$59,"&gt;=1",'Raw_Data'!$L$2:$L$59,"&lt;=5",'Raw_Data'!$A$2:$A$59,"Yes",'Raw_Data'!$D$2:$D$59,"ห้องยา",'Raw_Data'!$E$2:$E$59,"สายสนับสนุนทางการแพทย์"),"")</x:f>
        <x:v>33.333333333333336</x:v>
      </x:c>
      <x:c r="AR9" s="131" t="n">
        <x:f>IFERROR(100*COUNTIFS('Raw_Data'!$L$2:$L$59,"&gt;=1",'Raw_Data'!$L$2:$L$59,"&lt;=2",'Raw_Data'!$A$2:$A$59,"Yes",'Raw_Data'!$D$2:$D$59,"ห้องแลป",'Raw_Data'!$E$2:$E$59,"สายสนับสนุนทางการแพทย์")/COUNTIFS('Raw_Data'!$L$2:$L$59,"&gt;=1",'Raw_Data'!$L$2:$L$59,"&lt;=5",'Raw_Data'!$A$2:$A$59,"Yes",'Raw_Data'!$D$2:$D$59,"ห้องแลป",'Raw_Data'!$E$2:$E$59,"สายสนับสนุนทางการแพทย์"),"")</x:f>
        <x:v>100</x:v>
      </x:c>
      <x:c r="AS9" s="131" t="n">
        <x:f>IFERROR(100*COUNTIFS('Raw_Data'!$L$2:$L$59,"&gt;=1",'Raw_Data'!$L$2:$L$59,"&lt;=2",'Raw_Data'!$A$2:$A$59,"Yes",'Raw_Data'!$D$2:$D$59,"ห้องเอ็กซเรย์",'Raw_Data'!$E$2:$E$59,"สายสนับสนุนทางการแพทย์")/COUNTIFS('Raw_Data'!$L$2:$L$59,"&gt;=1",'Raw_Data'!$L$2:$L$59,"&lt;=5",'Raw_Data'!$A$2:$A$59,"Yes",'Raw_Data'!$D$2:$D$59,"ห้องเอ็กซเรย์",'Raw_Data'!$E$2:$E$59,"สายสนับสนุนทางการแพทย์"),"")</x:f>
        <x:v>0</x:v>
      </x:c>
      <x:c r="AT9" s="131" t="n">
        <x:f>IFERROR(100*COUNTIFS('Raw_Data'!$L$2:$L$59,"&gt;=1",'Raw_Data'!$L$2:$L$59,"&lt;=2",'Raw_Data'!$A$2:$A$59,"Yes",'Raw_Data'!$D$2:$D$59,"ERและเปล",'Raw_Data'!$E$2:$E$59,"สายสนับสนุนทางการแพทย์")/COUNTIFS('Raw_Data'!$L$2:$L$59,"&gt;=1",'Raw_Data'!$L$2:$L$59,"&lt;=5",'Raw_Data'!$A$2:$A$59,"Yes",'Raw_Data'!$D$2:$D$59,"ERและเปล",'Raw_Data'!$E$2:$E$59,"สายสนับสนุนทางการแพทย์"),"")</x:f>
        <x:v>0</x:v>
      </x:c>
      <x:c r="AU9" s="131" t="n">
        <x:f>IFERROR(100*COUNTIFS('Raw_Data'!$L$2:$L$59,"&gt;=1",'Raw_Data'!$L$2:$L$59,"&lt;=2",'Raw_Data'!$A$2:$A$59,"Yes",'Raw_Data'!$D$2:$D$59,"ICU",'Raw_Data'!$E$2:$E$59,"สายสนับสนุนทางการแพทย์")/COUNTIFS('Raw_Data'!$L$2:$L$59,"&gt;=1",'Raw_Data'!$L$2:$L$59,"&lt;=5",'Raw_Data'!$A$2:$A$59,"Yes",'Raw_Data'!$D$2:$D$59,"ICU",'Raw_Data'!$E$2:$E$59,"สายสนับสนุนทางการแพทย์"),"")</x:f>
        <x:v>0</x:v>
      </x:c>
      <x:c r="AV9" s="131" t="n">
        <x:f>IFERROR(100*COUNTIFS('Raw_Data'!$L$2:$L$59,"&gt;=1",'Raw_Data'!$L$2:$L$59,"&lt;=2",'Raw_Data'!$A$2:$A$59,"Yes",'Raw_Data'!$D$2:$D$59,"IPD",'Raw_Data'!$E$2:$E$59,"สายสนับสนุนทางการแพทย์")/COUNTIFS('Raw_Data'!$L$2:$L$59,"&gt;=1",'Raw_Data'!$L$2:$L$59,"&lt;=5",'Raw_Data'!$A$2:$A$59,"Yes",'Raw_Data'!$D$2:$D$59,"IPD",'Raw_Data'!$E$2:$E$59,"สายสนับสนุนทางการแพทย์"),"")</x:f>
        <x:v>0</x:v>
      </x:c>
      <x:c r="AW9" s="131" t="n">
        <x:f>IFERROR(100*COUNTIFS('Raw_Data'!$L$2:$L$59,"&gt;=1",'Raw_Data'!$L$2:$L$59,"&lt;=2",'Raw_Data'!$A$2:$A$59,"Yes",'Raw_Data'!$D$2:$D$59,"IT",'Raw_Data'!$E$2:$E$59,"สายสนับสนุนทางการแพทย์")/COUNTIFS('Raw_Data'!$L$2:$L$59,"&gt;=1",'Raw_Data'!$L$2:$L$59,"&lt;=5",'Raw_Data'!$A$2:$A$59,"Yes",'Raw_Data'!$D$2:$D$59,"IT",'Raw_Data'!$E$2:$E$59,"สายสนับสนุนทางการแพทย์"),"")</x:f>
        <x:v>0</x:v>
      </x:c>
    </x:row>
    <x:row r="10" ht="42" customHeight="1">
      <x:c r="A10" s="123"/>
      <x:c r="B10" s="124" t="str">
        <x:v>A11. หน่วยงานที่ท่านทำงานอยู่มักจะเร่งรีบในการทำงานมากเกินไปจนส่งผลกระทบในเชิงลบต่อความปลอดภัยของผู้ป่วยหรือผู้รับบริการ</x:v>
      </x:c>
      <x:c r="C10" s="131" t="n">
        <x:f>IFERROR(100*COUNTIFS('Raw_Data'!$M$2:$M$59,"&gt;=1",'Raw_Data'!$M$2:$M$59,"&lt;=2",'Raw_Data'!$A$2:$A$59,"Yes")/COUNTIFS('Raw_Data'!$M$2:$M$59,"&gt;=1",'Raw_Data'!$M$2:$M$59,"&lt;=5",'Raw_Data'!$A$2:$A$59,"Yes"),"")</x:f>
        <x:v>48.275862068965516</x:v>
      </x:c>
      <x:c r="D10" s="131" t="n">
        <x:f>IFERROR(100*COUNTIFS('Raw_Data'!$M$2:$M$59,"&gt;=1",'Raw_Data'!$M$2:$M$59,"&lt;=2",'Raw_Data'!$A$2:$A$59,"Yes",'Raw_Data'!$D$2:$D$59,"การเงิน")/COUNTIFS('Raw_Data'!$M$2:$M$59,"&gt;=1",'Raw_Data'!$M$2:$M$59,"&lt;=5",'Raw_Data'!$A$2:$A$59,"Yes",'Raw_Data'!$D$2:$D$59,"การเงิน"),"")</x:f>
        <x:v>33.333333333333336</x:v>
      </x:c>
      <x:c r="E10" s="131" t="n">
        <x:f>IFERROR(100*COUNTIFS('Raw_Data'!$M$2:$M$59,"&gt;=1",'Raw_Data'!$M$2:$M$59,"&lt;=2",'Raw_Data'!$A$2:$A$59,"Yes",'Raw_Data'!$D$2:$D$59,"เคหรักษ์")/COUNTIFS('Raw_Data'!$M$2:$M$59,"&gt;=1",'Raw_Data'!$M$2:$M$59,"&lt;=5",'Raw_Data'!$A$2:$A$59,"Yes",'Raw_Data'!$D$2:$D$59,"เคหรักษ์"),"")</x:f>
        <x:v>0</x:v>
      </x:c>
      <x:c r="F10" s="131" t="n">
        <x:f>IFERROR(100*COUNTIFS('Raw_Data'!$M$2:$M$59,"&gt;=1",'Raw_Data'!$M$2:$M$59,"&lt;=2",'Raw_Data'!$A$2:$A$59,"Yes",'Raw_Data'!$D$2:$D$59,"จ่ายกลาง")/COUNTIFS('Raw_Data'!$M$2:$M$59,"&gt;=1",'Raw_Data'!$M$2:$M$59,"&lt;=5",'Raw_Data'!$A$2:$A$59,"Yes",'Raw_Data'!$D$2:$D$59,"จ่ายกลาง"),"")</x:f>
        <x:v>0</x:v>
      </x:c>
      <x:c r="G10" s="131" t="n">
        <x:f>IFERROR(100*COUNTIFS('Raw_Data'!$M$2:$M$59,"&gt;=1",'Raw_Data'!$M$2:$M$59,"&lt;=2",'Raw_Data'!$A$2:$A$59,"Yes",'Raw_Data'!$D$2:$D$59,"ช่างและสนาม")/COUNTIFS('Raw_Data'!$M$2:$M$59,"&gt;=1",'Raw_Data'!$M$2:$M$59,"&lt;=5",'Raw_Data'!$A$2:$A$59,"Yes",'Raw_Data'!$D$2:$D$59,"ช่างและสนาม"),"")</x:f>
        <x:v>50</x:v>
      </x:c>
      <x:c r="H10" s="131" t="n">
        <x:f>IFERROR(100*COUNTIFS('Raw_Data'!$M$2:$M$59,"&gt;=1",'Raw_Data'!$M$2:$M$59,"&lt;=2",'Raw_Data'!$A$2:$A$59,"Yes",'Raw_Data'!$D$2:$D$59,"ผู้ป่วยสัมพันธ์")/COUNTIFS('Raw_Data'!$M$2:$M$59,"&gt;=1",'Raw_Data'!$M$2:$M$59,"&lt;=5",'Raw_Data'!$A$2:$A$59,"Yes",'Raw_Data'!$D$2:$D$59,"ผู้ป่วยสัมพันธ์"),"")</x:f>
        <x:v>75</x:v>
      </x:c>
      <x:c r="I10" s="131" t="n">
        <x:f>IFERROR(100*COUNTIFS('Raw_Data'!$M$2:$M$59,"&gt;=1",'Raw_Data'!$M$2:$M$59,"&lt;=2",'Raw_Data'!$A$2:$A$59,"Yes",'Raw_Data'!$D$2:$D$59,"ฝ่ายการพยาบาล")/COUNTIFS('Raw_Data'!$M$2:$M$59,"&gt;=1",'Raw_Data'!$M$2:$M$59,"&lt;=5",'Raw_Data'!$A$2:$A$59,"Yes",'Raw_Data'!$D$2:$D$59,"ฝ่ายการพยาบาล"),"")</x:f>
        <x:v>50</x:v>
      </x:c>
      <x:c r="J10" s="131" t="n">
        <x:f>IFERROR(100*COUNTIFS('Raw_Data'!$M$2:$M$59,"&gt;=1",'Raw_Data'!$M$2:$M$59,"&lt;=2",'Raw_Data'!$A$2:$A$59,"Yes",'Raw_Data'!$D$2:$D$59,"โภชนาการ")/COUNTIFS('Raw_Data'!$M$2:$M$59,"&gt;=1",'Raw_Data'!$M$2:$M$59,"&lt;=5",'Raw_Data'!$A$2:$A$59,"Yes",'Raw_Data'!$D$2:$D$59,"โภชนาการ"),"")</x:f>
        <x:v>100</x:v>
      </x:c>
      <x:c r="K10" s="131" t="n">
        <x:f>IFERROR(100*COUNTIFS('Raw_Data'!$M$2:$M$59,"&gt;=1",'Raw_Data'!$M$2:$M$59,"&lt;=2",'Raw_Data'!$A$2:$A$59,"Yes",'Raw_Data'!$D$2:$D$59,"ยานพาหนะ")/COUNTIFS('Raw_Data'!$M$2:$M$59,"&gt;=1",'Raw_Data'!$M$2:$M$59,"&lt;=5",'Raw_Data'!$A$2:$A$59,"Yes",'Raw_Data'!$D$2:$D$59,"ยานพาหนะ"),"")</x:f>
        <x:v>100</x:v>
      </x:c>
      <x:c r="L10" s="131" t="n">
        <x:f>IFERROR(100*COUNTIFS('Raw_Data'!$M$2:$M$59,"&gt;=1",'Raw_Data'!$M$2:$M$59,"&lt;=2",'Raw_Data'!$A$2:$A$59,"Yes",'Raw_Data'!$D$2:$D$59,"สื่อสารการตลาด")/COUNTIFS('Raw_Data'!$M$2:$M$59,"&gt;=1",'Raw_Data'!$M$2:$M$59,"&lt;=5",'Raw_Data'!$A$2:$A$59,"Yes",'Raw_Data'!$D$2:$D$59,"สื่อสารการตลาด"),"")</x:f>
        <x:v>100</x:v>
      </x:c>
      <x:c r="M10" s="131" t="n">
        <x:f>IFERROR(100*COUNTIFS('Raw_Data'!$M$2:$M$59,"&gt;=1",'Raw_Data'!$M$2:$M$59,"&lt;=2",'Raw_Data'!$A$2:$A$59,"Yes",'Raw_Data'!$D$2:$D$59,"ห้องยา")/COUNTIFS('Raw_Data'!$M$2:$M$59,"&gt;=1",'Raw_Data'!$M$2:$M$59,"&lt;=5",'Raw_Data'!$A$2:$A$59,"Yes",'Raw_Data'!$D$2:$D$59,"ห้องยา"),"")</x:f>
        <x:v>66.66666666666667</x:v>
      </x:c>
      <x:c r="N10" s="131" t="n">
        <x:f>IFERROR(100*COUNTIFS('Raw_Data'!$M$2:$M$59,"&gt;=1",'Raw_Data'!$M$2:$M$59,"&lt;=2",'Raw_Data'!$A$2:$A$59,"Yes",'Raw_Data'!$D$2:$D$59,"ห้องแลป")/COUNTIFS('Raw_Data'!$M$2:$M$59,"&gt;=1",'Raw_Data'!$M$2:$M$59,"&lt;=5",'Raw_Data'!$A$2:$A$59,"Yes",'Raw_Data'!$D$2:$D$59,"ห้องแลป"),"")</x:f>
        <x:v>0</x:v>
      </x:c>
      <x:c r="O10" s="131" t="n">
        <x:f>IFERROR(100*COUNTIFS('Raw_Data'!$M$2:$M$59,"&gt;=1",'Raw_Data'!$M$2:$M$59,"&lt;=2",'Raw_Data'!$A$2:$A$59,"Yes",'Raw_Data'!$D$2:$D$59,"ห้องเอ็กซเรย์")/COUNTIFS('Raw_Data'!$M$2:$M$59,"&gt;=1",'Raw_Data'!$M$2:$M$59,"&lt;=5",'Raw_Data'!$A$2:$A$59,"Yes",'Raw_Data'!$D$2:$D$59,"ห้องเอ็กซเรย์"),"")</x:f>
        <x:v>100</x:v>
      </x:c>
      <x:c r="P10" s="131" t="n">
        <x:f>IFERROR(100*COUNTIFS('Raw_Data'!$M$2:$M$59,"&gt;=1",'Raw_Data'!$M$2:$M$59,"&lt;=2",'Raw_Data'!$A$2:$A$59,"Yes",'Raw_Data'!$D$2:$D$59,"ERและเปล")/COUNTIFS('Raw_Data'!$M$2:$M$59,"&gt;=1",'Raw_Data'!$M$2:$M$59,"&lt;=5",'Raw_Data'!$A$2:$A$59,"Yes",'Raw_Data'!$D$2:$D$59,"ERและเปล"),"")</x:f>
        <x:v>27.272727272727273</x:v>
      </x:c>
      <x:c r="Q10" s="131" t="n">
        <x:f>IFERROR(100*COUNTIFS('Raw_Data'!$M$2:$M$59,"&gt;=1",'Raw_Data'!$M$2:$M$59,"&lt;=2",'Raw_Data'!$A$2:$A$59,"Yes",'Raw_Data'!$D$2:$D$59,"HR")/COUNTIFS('Raw_Data'!$M$2:$M$59,"&gt;=1",'Raw_Data'!$M$2:$M$59,"&lt;=5",'Raw_Data'!$A$2:$A$59,"Yes",'Raw_Data'!$D$2:$D$59,"HR"),"")</x:f>
        <x:v>0</x:v>
      </x:c>
      <x:c r="R10" s="131" t="n">
        <x:f>IFERROR(100*COUNTIFS('Raw_Data'!$M$2:$M$59,"&gt;=1",'Raw_Data'!$M$2:$M$59,"&lt;=2",'Raw_Data'!$A$2:$A$59,"Yes",'Raw_Data'!$D$2:$D$59,"ICU")/COUNTIFS('Raw_Data'!$M$2:$M$59,"&gt;=1",'Raw_Data'!$M$2:$M$59,"&lt;=5",'Raw_Data'!$A$2:$A$59,"Yes",'Raw_Data'!$D$2:$D$59,"ICU"),"")</x:f>
        <x:v>100</x:v>
      </x:c>
      <x:c r="S10" s="131" t="n">
        <x:f>IFERROR(100*COUNTIFS('Raw_Data'!$M$2:$M$59,"&gt;=1",'Raw_Data'!$M$2:$M$59,"&lt;=2",'Raw_Data'!$A$2:$A$59,"Yes",'Raw_Data'!$D$2:$D$59,"IPD")/COUNTIFS('Raw_Data'!$M$2:$M$59,"&gt;=1",'Raw_Data'!$M$2:$M$59,"&lt;=5",'Raw_Data'!$A$2:$A$59,"Yes",'Raw_Data'!$D$2:$D$59,"IPD"),"")</x:f>
        <x:v>33.333333333333336</x:v>
      </x:c>
      <x:c r="T10" s="131" t="n">
        <x:f>IFERROR(100*COUNTIFS('Raw_Data'!$M$2:$M$59,"&gt;=1",'Raw_Data'!$M$2:$M$59,"&lt;=2",'Raw_Data'!$A$2:$A$59,"Yes",'Raw_Data'!$D$2:$D$59,"IT")/COUNTIFS('Raw_Data'!$M$2:$M$59,"&gt;=1",'Raw_Data'!$M$2:$M$59,"&lt;=5",'Raw_Data'!$A$2:$A$59,"Yes",'Raw_Data'!$D$2:$D$59,"IT"),"")</x:f>
        <x:v>50</x:v>
      </x:c>
      <x:c r="U10" s="131" t="n">
        <x:f>IFERROR(100*COUNTIFS('Raw_Data'!$M$2:$M$59,"&gt;=1",'Raw_Data'!$M$2:$M$59,"&lt;=2",'Raw_Data'!$A$2:$A$59,"Yes",'Raw_Data'!$D$2:$D$59,"OR")/COUNTIFS('Raw_Data'!$M$2:$M$59,"&gt;=1",'Raw_Data'!$M$2:$M$59,"&lt;=5",'Raw_Data'!$A$2:$A$59,"Yes",'Raw_Data'!$D$2:$D$59,"OR"),"")</x:f>
        <x:v>25</x:v>
      </x:c>
      <x:c r="V10" s="131" t="n">
        <x:f>IFERROR(100*COUNTIFS('Raw_Data'!$M$2:$M$59,"&gt;=1",'Raw_Data'!$M$2:$M$59,"&lt;=2",'Raw_Data'!$A$2:$A$59,"Yes",'Raw_Data'!$D$2:$D$59,"IPD",'Raw_Data'!$E$2:$E$59,"ผู้บริหาร")/COUNTIFS('Raw_Data'!$M$2:$M$59,"&gt;=1",'Raw_Data'!$M$2:$M$59,"&lt;=5",'Raw_Data'!$A$2:$A$59,"Yes",'Raw_Data'!$D$2:$D$59,"IPD",'Raw_Data'!$E$2:$E$59,"ผู้บริหาร"),"")</x:f>
        <x:v>0</x:v>
      </x:c>
      <x:c r="W10" s="131" t="n">
        <x:f>IFERROR(100*COUNTIFS('Raw_Data'!$M$2:$M$59,"&gt;=1",'Raw_Data'!$M$2:$M$59,"&lt;=2",'Raw_Data'!$A$2:$A$59,"Yes",'Raw_Data'!$D$2:$D$59,"ฝ่ายการพยาบาล",'Raw_Data'!$E$2:$E$59,"สายวิชาชีพสาธารณสุข")/COUNTIFS('Raw_Data'!$M$2:$M$59,"&gt;=1",'Raw_Data'!$M$2:$M$59,"&lt;=5",'Raw_Data'!$A$2:$A$59,"Yes",'Raw_Data'!$D$2:$D$59,"ฝ่ายการพยาบาล",'Raw_Data'!$E$2:$E$59,"สายวิชาชีพสาธารณสุข"),"")</x:f>
        <x:v>0</x:v>
      </x:c>
      <x:c r="X10" s="131" t="n">
        <x:f>IFERROR(100*COUNTIFS('Raw_Data'!$M$2:$M$59,"&gt;=1",'Raw_Data'!$M$2:$M$59,"&lt;=2",'Raw_Data'!$A$2:$A$59,"Yes",'Raw_Data'!$D$2:$D$59,"ERและเปล",'Raw_Data'!$E$2:$E$59,"สายวิชาชีพสาธารณสุข")/COUNTIFS('Raw_Data'!$M$2:$M$59,"&gt;=1",'Raw_Data'!$M$2:$M$59,"&lt;=5",'Raw_Data'!$A$2:$A$59,"Yes",'Raw_Data'!$D$2:$D$59,"ERและเปล",'Raw_Data'!$E$2:$E$59,"สายวิชาชีพสาธารณสุข"),"")</x:f>
        <x:v>14.285714285714286</x:v>
      </x:c>
      <x:c r="Y10" s="131" t="n">
        <x:f>IFERROR(100*COUNTIFS('Raw_Data'!$M$2:$M$59,"&gt;=1",'Raw_Data'!$M$2:$M$59,"&lt;=2",'Raw_Data'!$A$2:$A$59,"Yes",'Raw_Data'!$D$2:$D$59,"ICU",'Raw_Data'!$E$2:$E$59,"สายวิชาชีพสาธารณสุข")/COUNTIFS('Raw_Data'!$M$2:$M$59,"&gt;=1",'Raw_Data'!$M$2:$M$59,"&lt;=5",'Raw_Data'!$A$2:$A$59,"Yes",'Raw_Data'!$D$2:$D$59,"ICU",'Raw_Data'!$E$2:$E$59,"สายวิชาชีพสาธารณสุข"),"")</x:f>
        <x:v>100</x:v>
      </x:c>
      <x:c r="Z10" s="131" t="n">
        <x:f>IFERROR(100*COUNTIFS('Raw_Data'!$M$2:$M$59,"&gt;=1",'Raw_Data'!$M$2:$M$59,"&lt;=2",'Raw_Data'!$A$2:$A$59,"Yes",'Raw_Data'!$D$2:$D$59,"IPD",'Raw_Data'!$E$2:$E$59,"สายวิชาชีพสาธารณสุข")/COUNTIFS('Raw_Data'!$M$2:$M$59,"&gt;=1",'Raw_Data'!$M$2:$M$59,"&lt;=5",'Raw_Data'!$A$2:$A$59,"Yes",'Raw_Data'!$D$2:$D$59,"IPD",'Raw_Data'!$E$2:$E$59,"สายวิชาชีพสาธารณสุข"),"")</x:f>
        <x:v>100</x:v>
      </x:c>
      <x:c r="AA10" s="131" t="n">
        <x:f>IFERROR(100*COUNTIFS('Raw_Data'!$M$2:$M$59,"&gt;=1",'Raw_Data'!$M$2:$M$59,"&lt;=2",'Raw_Data'!$A$2:$A$59,"Yes",'Raw_Data'!$D$2:$D$59,"OR",'Raw_Data'!$E$2:$E$59,"สายวิชาชีพสาธารณสุข")/COUNTIFS('Raw_Data'!$M$2:$M$59,"&gt;=1",'Raw_Data'!$M$2:$M$59,"&lt;=5",'Raw_Data'!$A$2:$A$59,"Yes",'Raw_Data'!$D$2:$D$59,"OR",'Raw_Data'!$E$2:$E$59,"สายวิชาชีพสาธารณสุข"),"")</x:f>
        <x:v>25</x:v>
      </x:c>
      <x:c r="AB10" s="131" t="n">
        <x:f>IFERROR(100*COUNTIFS('Raw_Data'!$M$2:$M$59,"&gt;=1",'Raw_Data'!$M$2:$M$59,"&lt;=2",'Raw_Data'!$A$2:$A$59,"Yes",'Raw_Data'!$D$2:$D$59,"การเงิน",'Raw_Data'!$E$2:$E$59,"สายสนับสนุนทั่วไป")/COUNTIFS('Raw_Data'!$M$2:$M$59,"&gt;=1",'Raw_Data'!$M$2:$M$59,"&lt;=5",'Raw_Data'!$A$2:$A$59,"Yes",'Raw_Data'!$D$2:$D$59,"การเงิน",'Raw_Data'!$E$2:$E$59,"สายสนับสนุนทั่วไป"),"")</x:f>
        <x:v>33.333333333333336</x:v>
      </x:c>
      <x:c r="AC10" s="131" t="n">
        <x:f>IFERROR(100*COUNTIFS('Raw_Data'!$M$2:$M$59,"&gt;=1",'Raw_Data'!$M$2:$M$59,"&lt;=2",'Raw_Data'!$A$2:$A$59,"Yes",'Raw_Data'!$D$2:$D$59,"เคหรักษ์",'Raw_Data'!$E$2:$E$59,"สายสนับสนุนทั่วไป")/COUNTIFS('Raw_Data'!$M$2:$M$59,"&gt;=1",'Raw_Data'!$M$2:$M$59,"&lt;=5",'Raw_Data'!$A$2:$A$59,"Yes",'Raw_Data'!$D$2:$D$59,"เคหรักษ์",'Raw_Data'!$E$2:$E$59,"สายสนับสนุนทั่วไป"),"")</x:f>
        <x:v>0</x:v>
      </x:c>
      <x:c r="AD10" s="131" t="n">
        <x:f>IFERROR(100*COUNTIFS('Raw_Data'!$M$2:$M$59,"&gt;=1",'Raw_Data'!$M$2:$M$59,"&lt;=2",'Raw_Data'!$A$2:$A$59,"Yes",'Raw_Data'!$D$2:$D$59,"จ่ายกลาง",'Raw_Data'!$E$2:$E$59,"สายสนับสนุนทั่วไป")/COUNTIFS('Raw_Data'!$M$2:$M$59,"&gt;=1",'Raw_Data'!$M$2:$M$59,"&lt;=5",'Raw_Data'!$A$2:$A$59,"Yes",'Raw_Data'!$D$2:$D$59,"จ่ายกลาง",'Raw_Data'!$E$2:$E$59,"สายสนับสนุนทั่วไป"),"")</x:f>
        <x:v>0</x:v>
      </x:c>
      <x:c r="AE10" s="131" t="n">
        <x:f>IFERROR(100*COUNTIFS('Raw_Data'!$M$2:$M$59,"&gt;=1",'Raw_Data'!$M$2:$M$59,"&lt;=2",'Raw_Data'!$A$2:$A$59,"Yes",'Raw_Data'!$D$2:$D$59,"ช่างและสนาม",'Raw_Data'!$E$2:$E$59,"สายสนับสนุนทั่วไป")/COUNTIFS('Raw_Data'!$M$2:$M$59,"&gt;=1",'Raw_Data'!$M$2:$M$59,"&lt;=5",'Raw_Data'!$A$2:$A$59,"Yes",'Raw_Data'!$D$2:$D$59,"ช่างและสนาม",'Raw_Data'!$E$2:$E$59,"สายสนับสนุนทั่วไป"),"")</x:f>
        <x:v>50</x:v>
      </x:c>
      <x:c r="AF10" s="131" t="n">
        <x:f>IFERROR(100*COUNTIFS('Raw_Data'!$M$2:$M$59,"&gt;=1",'Raw_Data'!$M$2:$M$59,"&lt;=2",'Raw_Data'!$A$2:$A$59,"Yes",'Raw_Data'!$D$2:$D$59,"ผู้ป่วยสัมพันธ์",'Raw_Data'!$E$2:$E$59,"สายสนับสนุนทั่วไป")/COUNTIFS('Raw_Data'!$M$2:$M$59,"&gt;=1",'Raw_Data'!$M$2:$M$59,"&lt;=5",'Raw_Data'!$A$2:$A$59,"Yes",'Raw_Data'!$D$2:$D$59,"ผู้ป่วยสัมพันธ์",'Raw_Data'!$E$2:$E$59,"สายสนับสนุนทั่วไป"),"")</x:f>
        <x:v>100</x:v>
      </x:c>
      <x:c r="AG10" s="131" t="n">
        <x:f>IFERROR(100*COUNTIFS('Raw_Data'!$M$2:$M$59,"&gt;=1",'Raw_Data'!$M$2:$M$59,"&lt;=2",'Raw_Data'!$A$2:$A$59,"Yes",'Raw_Data'!$D$2:$D$59,"ยานพาหนะ",'Raw_Data'!$E$2:$E$59,"สายสนับสนุนทั่วไป")/COUNTIFS('Raw_Data'!$M$2:$M$59,"&gt;=1",'Raw_Data'!$M$2:$M$59,"&lt;=5",'Raw_Data'!$A$2:$A$59,"Yes",'Raw_Data'!$D$2:$D$59,"ยานพาหนะ",'Raw_Data'!$E$2:$E$59,"สายสนับสนุนทั่วไป"),"")</x:f>
        <x:v>100</x:v>
      </x:c>
      <x:c r="AH10" s="131" t="n">
        <x:f>IFERROR(100*COUNTIFS('Raw_Data'!$M$2:$M$59,"&gt;=1",'Raw_Data'!$M$2:$M$59,"&lt;=2",'Raw_Data'!$A$2:$A$59,"Yes",'Raw_Data'!$D$2:$D$59,"สื่อสารการตลาด",'Raw_Data'!$E$2:$E$59,"สายสนับสนุนทั่วไป")/COUNTIFS('Raw_Data'!$M$2:$M$59,"&gt;=1",'Raw_Data'!$M$2:$M$59,"&lt;=5",'Raw_Data'!$A$2:$A$59,"Yes",'Raw_Data'!$D$2:$D$59,"สื่อสารการตลาด",'Raw_Data'!$E$2:$E$59,"สายสนับสนุนทั่วไป"),"")</x:f>
        <x:v>100</x:v>
      </x:c>
      <x:c r="AI10" s="131" t="n">
        <x:f>IFERROR(100*COUNTIFS('Raw_Data'!$M$2:$M$59,"&gt;=1",'Raw_Data'!$M$2:$M$59,"&lt;=2",'Raw_Data'!$A$2:$A$59,"Yes",'Raw_Data'!$D$2:$D$59,"ERและเปล",'Raw_Data'!$E$2:$E$59,"สายสนับสนุนทั่วไป")/COUNTIFS('Raw_Data'!$M$2:$M$59,"&gt;=1",'Raw_Data'!$M$2:$M$59,"&lt;=5",'Raw_Data'!$A$2:$A$59,"Yes",'Raw_Data'!$D$2:$D$59,"ERและเปล",'Raw_Data'!$E$2:$E$59,"สายสนับสนุนทั่วไป"),"")</x:f>
        <x:v>66.66666666666667</x:v>
      </x:c>
      <x:c r="AJ10" s="131" t="n">
        <x:f>IFERROR(100*COUNTIFS('Raw_Data'!$M$2:$M$59,"&gt;=1",'Raw_Data'!$M$2:$M$59,"&lt;=2",'Raw_Data'!$A$2:$A$59,"Yes",'Raw_Data'!$D$2:$D$59,"HR",'Raw_Data'!$E$2:$E$59,"สายสนับสนุนทั่วไป")/COUNTIFS('Raw_Data'!$M$2:$M$59,"&gt;=1",'Raw_Data'!$M$2:$M$59,"&lt;=5",'Raw_Data'!$A$2:$A$59,"Yes",'Raw_Data'!$D$2:$D$59,"HR",'Raw_Data'!$E$2:$E$59,"สายสนับสนุนทั่วไป"),"")</x:f>
        <x:v>0</x:v>
      </x:c>
      <x:c r="AK10" s="131" t="n">
        <x:f>IFERROR(100*COUNTIFS('Raw_Data'!$M$2:$M$59,"&gt;=1",'Raw_Data'!$M$2:$M$59,"&lt;=2",'Raw_Data'!$A$2:$A$59,"Yes",'Raw_Data'!$D$2:$D$59,"ICU",'Raw_Data'!$E$2:$E$59,"สายสนับสนุนทั่วไป")/COUNTIFS('Raw_Data'!$M$2:$M$59,"&gt;=1",'Raw_Data'!$M$2:$M$59,"&lt;=5",'Raw_Data'!$A$2:$A$59,"Yes",'Raw_Data'!$D$2:$D$59,"ICU",'Raw_Data'!$E$2:$E$59,"สายสนับสนุนทั่วไป"),"")</x:f>
        <x:v>100</x:v>
      </x:c>
      <x:c r="AL10" s="131" t="n">
        <x:f>IFERROR(100*COUNTIFS('Raw_Data'!$M$2:$M$59,"&gt;=1",'Raw_Data'!$M$2:$M$59,"&lt;=2",'Raw_Data'!$A$2:$A$59,"Yes",'Raw_Data'!$D$2:$D$59,"IPD",'Raw_Data'!$E$2:$E$59,"สายสนับสนุนทั่วไป")/COUNTIFS('Raw_Data'!$M$2:$M$59,"&gt;=1",'Raw_Data'!$M$2:$M$59,"&lt;=5",'Raw_Data'!$A$2:$A$59,"Yes",'Raw_Data'!$D$2:$D$59,"IPD",'Raw_Data'!$E$2:$E$59,"สายสนับสนุนทั่วไป"),"")</x:f>
        <x:v>0</x:v>
      </x:c>
      <x:c r="AM10" s="131" t="n">
        <x:f>IFERROR(100*COUNTIFS('Raw_Data'!$M$2:$M$59,"&gt;=1",'Raw_Data'!$M$2:$M$59,"&lt;=2",'Raw_Data'!$A$2:$A$59,"Yes",'Raw_Data'!$D$2:$D$59,"IT",'Raw_Data'!$E$2:$E$59,"สายสนับสนุนทั่วไป")/COUNTIFS('Raw_Data'!$M$2:$M$59,"&gt;=1",'Raw_Data'!$M$2:$M$59,"&lt;=5",'Raw_Data'!$A$2:$A$59,"Yes",'Raw_Data'!$D$2:$D$59,"IT",'Raw_Data'!$E$2:$E$59,"สายสนับสนุนทั่วไป"),"")</x:f>
        <x:v>100</x:v>
      </x:c>
      <x:c r="AN10" s="131" t="n">
        <x:f>IFERROR(100*COUNTIFS('Raw_Data'!$M$2:$M$59,"&gt;=1",'Raw_Data'!$M$2:$M$59,"&lt;=2",'Raw_Data'!$A$2:$A$59,"Yes",'Raw_Data'!$D$2:$D$59,"ผู้ป่วยสัมพันธ์",'Raw_Data'!$E$2:$E$59,"สายสนับสนุนทางการแพทย์")/COUNTIFS('Raw_Data'!$M$2:$M$59,"&gt;=1",'Raw_Data'!$M$2:$M$59,"&lt;=5",'Raw_Data'!$A$2:$A$59,"Yes",'Raw_Data'!$D$2:$D$59,"ผู้ป่วยสัมพันธ์",'Raw_Data'!$E$2:$E$59,"สายสนับสนุนทางการแพทย์"),"")</x:f>
        <x:v>66.66666666666667</x:v>
      </x:c>
      <x:c r="AO10" s="131" t="n">
        <x:f>IFERROR(100*COUNTIFS('Raw_Data'!$M$2:$M$59,"&gt;=1",'Raw_Data'!$M$2:$M$59,"&lt;=2",'Raw_Data'!$A$2:$A$59,"Yes",'Raw_Data'!$D$2:$D$59,"ฝ่ายการพยาบาล",'Raw_Data'!$E$2:$E$59,"สายสนับสนุนทางการแพทย์")/COUNTIFS('Raw_Data'!$M$2:$M$59,"&gt;=1",'Raw_Data'!$M$2:$M$59,"&lt;=5",'Raw_Data'!$A$2:$A$59,"Yes",'Raw_Data'!$D$2:$D$59,"ฝ่ายการพยาบาล",'Raw_Data'!$E$2:$E$59,"สายสนับสนุนทางการแพทย์"),"")</x:f>
        <x:v>100</x:v>
      </x:c>
      <x:c r="AP10" s="131" t="n">
        <x:f>IFERROR(100*COUNTIFS('Raw_Data'!$M$2:$M$59,"&gt;=1",'Raw_Data'!$M$2:$M$59,"&lt;=2",'Raw_Data'!$A$2:$A$59,"Yes",'Raw_Data'!$D$2:$D$59,"โภชนาการ",'Raw_Data'!$E$2:$E$59,"สายสนับสนุนทางการแพทย์")/COUNTIFS('Raw_Data'!$M$2:$M$59,"&gt;=1",'Raw_Data'!$M$2:$M$59,"&lt;=5",'Raw_Data'!$A$2:$A$59,"Yes",'Raw_Data'!$D$2:$D$59,"โภชนาการ",'Raw_Data'!$E$2:$E$59,"สายสนับสนุนทางการแพทย์"),"")</x:f>
        <x:v>100</x:v>
      </x:c>
      <x:c r="AQ10" s="131" t="n">
        <x:f>IFERROR(100*COUNTIFS('Raw_Data'!$M$2:$M$59,"&gt;=1",'Raw_Data'!$M$2:$M$59,"&lt;=2",'Raw_Data'!$A$2:$A$59,"Yes",'Raw_Data'!$D$2:$D$59,"ห้องยา",'Raw_Data'!$E$2:$E$59,"สายสนับสนุนทางการแพทย์")/COUNTIFS('Raw_Data'!$M$2:$M$59,"&gt;=1",'Raw_Data'!$M$2:$M$59,"&lt;=5",'Raw_Data'!$A$2:$A$59,"Yes",'Raw_Data'!$D$2:$D$59,"ห้องยา",'Raw_Data'!$E$2:$E$59,"สายสนับสนุนทางการแพทย์"),"")</x:f>
        <x:v>66.66666666666667</x:v>
      </x:c>
      <x:c r="AR10" s="131" t="n">
        <x:f>IFERROR(100*COUNTIFS('Raw_Data'!$M$2:$M$59,"&gt;=1",'Raw_Data'!$M$2:$M$59,"&lt;=2",'Raw_Data'!$A$2:$A$59,"Yes",'Raw_Data'!$D$2:$D$59,"ห้องแลป",'Raw_Data'!$E$2:$E$59,"สายสนับสนุนทางการแพทย์")/COUNTIFS('Raw_Data'!$M$2:$M$59,"&gt;=1",'Raw_Data'!$M$2:$M$59,"&lt;=5",'Raw_Data'!$A$2:$A$59,"Yes",'Raw_Data'!$D$2:$D$59,"ห้องแลป",'Raw_Data'!$E$2:$E$59,"สายสนับสนุนทางการแพทย์"),"")</x:f>
        <x:v>0</x:v>
      </x:c>
      <x:c r="AS10" s="131" t="n">
        <x:f>IFERROR(100*COUNTIFS('Raw_Data'!$M$2:$M$59,"&gt;=1",'Raw_Data'!$M$2:$M$59,"&lt;=2",'Raw_Data'!$A$2:$A$59,"Yes",'Raw_Data'!$D$2:$D$59,"ห้องเอ็กซเรย์",'Raw_Data'!$E$2:$E$59,"สายสนับสนุนทางการแพทย์")/COUNTIFS('Raw_Data'!$M$2:$M$59,"&gt;=1",'Raw_Data'!$M$2:$M$59,"&lt;=5",'Raw_Data'!$A$2:$A$59,"Yes",'Raw_Data'!$D$2:$D$59,"ห้องเอ็กซเรย์",'Raw_Data'!$E$2:$E$59,"สายสนับสนุนทางการแพทย์"),"")</x:f>
        <x:v>100</x:v>
      </x:c>
      <x:c r="AT10" s="131" t="n">
        <x:f>IFERROR(100*COUNTIFS('Raw_Data'!$M$2:$M$59,"&gt;=1",'Raw_Data'!$M$2:$M$59,"&lt;=2",'Raw_Data'!$A$2:$A$59,"Yes",'Raw_Data'!$D$2:$D$59,"ERและเปล",'Raw_Data'!$E$2:$E$59,"สายสนับสนุนทางการแพทย์")/COUNTIFS('Raw_Data'!$M$2:$M$59,"&gt;=1",'Raw_Data'!$M$2:$M$59,"&lt;=5",'Raw_Data'!$A$2:$A$59,"Yes",'Raw_Data'!$D$2:$D$59,"ERและเปล",'Raw_Data'!$E$2:$E$59,"สายสนับสนุนทางการแพทย์"),"")</x:f>
        <x:v>0</x:v>
      </x:c>
      <x:c r="AU10" s="131" t="n">
        <x:f>IFERROR(100*COUNTIFS('Raw_Data'!$M$2:$M$59,"&gt;=1",'Raw_Data'!$M$2:$M$59,"&lt;=2",'Raw_Data'!$A$2:$A$59,"Yes",'Raw_Data'!$D$2:$D$59,"ICU",'Raw_Data'!$E$2:$E$59,"สายสนับสนุนทางการแพทย์")/COUNTIFS('Raw_Data'!$M$2:$M$59,"&gt;=1",'Raw_Data'!$M$2:$M$59,"&lt;=5",'Raw_Data'!$A$2:$A$59,"Yes",'Raw_Data'!$D$2:$D$59,"ICU",'Raw_Data'!$E$2:$E$59,"สายสนับสนุนทางการแพทย์"),"")</x:f>
        <x:v>100</x:v>
      </x:c>
      <x:c r="AV10" s="131" t="n">
        <x:f>IFERROR(100*COUNTIFS('Raw_Data'!$M$2:$M$59,"&gt;=1",'Raw_Data'!$M$2:$M$59,"&lt;=2",'Raw_Data'!$A$2:$A$59,"Yes",'Raw_Data'!$D$2:$D$59,"IPD",'Raw_Data'!$E$2:$E$59,"สายสนับสนุนทางการแพทย์")/COUNTIFS('Raw_Data'!$M$2:$M$59,"&gt;=1",'Raw_Data'!$M$2:$M$59,"&lt;=5",'Raw_Data'!$A$2:$A$59,"Yes",'Raw_Data'!$D$2:$D$59,"IPD",'Raw_Data'!$E$2:$E$59,"สายสนับสนุนทางการแพทย์"),"")</x:f>
        <x:v>0</x:v>
      </x:c>
      <x:c r="AW10" s="131" t="n">
        <x:f>IFERROR(100*COUNTIFS('Raw_Data'!$M$2:$M$59,"&gt;=1",'Raw_Data'!$M$2:$M$59,"&lt;=2",'Raw_Data'!$A$2:$A$59,"Yes",'Raw_Data'!$D$2:$D$59,"IT",'Raw_Data'!$E$2:$E$59,"สายสนับสนุนทางการแพทย์")/COUNTIFS('Raw_Data'!$M$2:$M$59,"&gt;=1",'Raw_Data'!$M$2:$M$59,"&lt;=5",'Raw_Data'!$A$2:$A$59,"Yes",'Raw_Data'!$D$2:$D$59,"IT",'Raw_Data'!$E$2:$E$59,"สายสนับสนุนทางการแพทย์"),"")</x:f>
        <x:v>0</x:v>
      </x:c>
    </x:row>
    <x:row r="11" ht="42" customHeight="1">
      <x:c r="A11" s="123" t="str">
        <x:v>3. การเป็นองค์กรแห่งการเรียนรู้ มีการพัฒนาอย่างต่อเนื่อง</x:v>
      </x:c>
      <x:c r="B11" s="124" t="str">
        <x:v>A4. หน่วยงานที่ท่านทำงานอยู่มีการทบทวนกระบวนการทำงานอย่างสม่ำเสมอเพื่อพิจารณาว่าจำเป็นต้องมีการเปลี่ยนแปลงใดบ้างที่ควรปรับปรุงแก้ไขเพื่อความปลอดภัยของผู้ป่วยหรือผู้รับบริการ</x:v>
      </x:c>
      <x:c r="C11" s="131" t="n">
        <x:f>IFERROR(100*COUNTIFS('Raw_Data'!$N$2:$N$59,"&gt;=4",'Raw_Data'!$N$2:$N$59,"&lt;=5",'Raw_Data'!$A$2:$A$59,"Yes")/COUNTIFS('Raw_Data'!$N$2:$N$59,"&gt;=1",'Raw_Data'!$N$2:$N$59,"&lt;=5",'Raw_Data'!$A$2:$A$59,"Yes"),"")</x:f>
        <x:v>67.24137931034483</x:v>
      </x:c>
      <x:c r="D11" s="131" t="n">
        <x:f>IFERROR(100*COUNTIFS('Raw_Data'!$N$2:$N$59,"&gt;=4",'Raw_Data'!$N$2:$N$59,"&lt;=5",'Raw_Data'!$A$2:$A$59,"Yes",'Raw_Data'!$D$2:$D$59,"การเงิน")/COUNTIFS('Raw_Data'!$N$2:$N$59,"&gt;=1",'Raw_Data'!$N$2:$N$59,"&lt;=5",'Raw_Data'!$A$2:$A$59,"Yes",'Raw_Data'!$D$2:$D$59,"การเงิน"),"")</x:f>
        <x:v>66.66666666666667</x:v>
      </x:c>
      <x:c r="E11" s="131" t="n">
        <x:f>IFERROR(100*COUNTIFS('Raw_Data'!$N$2:$N$59,"&gt;=4",'Raw_Data'!$N$2:$N$59,"&lt;=5",'Raw_Data'!$A$2:$A$59,"Yes",'Raw_Data'!$D$2:$D$59,"เคหรักษ์")/COUNTIFS('Raw_Data'!$N$2:$N$59,"&gt;=1",'Raw_Data'!$N$2:$N$59,"&lt;=5",'Raw_Data'!$A$2:$A$59,"Yes",'Raw_Data'!$D$2:$D$59,"เคหรักษ์"),"")</x:f>
        <x:v>0</x:v>
      </x:c>
      <x:c r="F11" s="131" t="n">
        <x:f>IFERROR(100*COUNTIFS('Raw_Data'!$N$2:$N$59,"&gt;=4",'Raw_Data'!$N$2:$N$59,"&lt;=5",'Raw_Data'!$A$2:$A$59,"Yes",'Raw_Data'!$D$2:$D$59,"จ่ายกลาง")/COUNTIFS('Raw_Data'!$N$2:$N$59,"&gt;=1",'Raw_Data'!$N$2:$N$59,"&lt;=5",'Raw_Data'!$A$2:$A$59,"Yes",'Raw_Data'!$D$2:$D$59,"จ่ายกลาง"),"")</x:f>
        <x:v>100</x:v>
      </x:c>
      <x:c r="G11" s="131" t="n">
        <x:f>IFERROR(100*COUNTIFS('Raw_Data'!$N$2:$N$59,"&gt;=4",'Raw_Data'!$N$2:$N$59,"&lt;=5",'Raw_Data'!$A$2:$A$59,"Yes",'Raw_Data'!$D$2:$D$59,"ช่างและสนาม")/COUNTIFS('Raw_Data'!$N$2:$N$59,"&gt;=1",'Raw_Data'!$N$2:$N$59,"&lt;=5",'Raw_Data'!$A$2:$A$59,"Yes",'Raw_Data'!$D$2:$D$59,"ช่างและสนาม"),"")</x:f>
        <x:v>75</x:v>
      </x:c>
      <x:c r="H11" s="131" t="n">
        <x:f>IFERROR(100*COUNTIFS('Raw_Data'!$N$2:$N$59,"&gt;=4",'Raw_Data'!$N$2:$N$59,"&lt;=5",'Raw_Data'!$A$2:$A$59,"Yes",'Raw_Data'!$D$2:$D$59,"ผู้ป่วยสัมพันธ์")/COUNTIFS('Raw_Data'!$N$2:$N$59,"&gt;=1",'Raw_Data'!$N$2:$N$59,"&lt;=5",'Raw_Data'!$A$2:$A$59,"Yes",'Raw_Data'!$D$2:$D$59,"ผู้ป่วยสัมพันธ์"),"")</x:f>
        <x:v>50</x:v>
      </x:c>
      <x:c r="I11" s="131" t="n">
        <x:f>IFERROR(100*COUNTIFS('Raw_Data'!$N$2:$N$59,"&gt;=4",'Raw_Data'!$N$2:$N$59,"&lt;=5",'Raw_Data'!$A$2:$A$59,"Yes",'Raw_Data'!$D$2:$D$59,"ฝ่ายการพยาบาล")/COUNTIFS('Raw_Data'!$N$2:$N$59,"&gt;=1",'Raw_Data'!$N$2:$N$59,"&lt;=5",'Raw_Data'!$A$2:$A$59,"Yes",'Raw_Data'!$D$2:$D$59,"ฝ่ายการพยาบาล"),"")</x:f>
        <x:v>50</x:v>
      </x:c>
      <x:c r="J11" s="131" t="n">
        <x:f>IFERROR(100*COUNTIFS('Raw_Data'!$N$2:$N$59,"&gt;=4",'Raw_Data'!$N$2:$N$59,"&lt;=5",'Raw_Data'!$A$2:$A$59,"Yes",'Raw_Data'!$D$2:$D$59,"โภชนาการ")/COUNTIFS('Raw_Data'!$N$2:$N$59,"&gt;=1",'Raw_Data'!$N$2:$N$59,"&lt;=5",'Raw_Data'!$A$2:$A$59,"Yes",'Raw_Data'!$D$2:$D$59,"โภชนาการ"),"")</x:f>
        <x:v>100</x:v>
      </x:c>
      <x:c r="K11" s="131" t="n">
        <x:f>IFERROR(100*COUNTIFS('Raw_Data'!$N$2:$N$59,"&gt;=4",'Raw_Data'!$N$2:$N$59,"&lt;=5",'Raw_Data'!$A$2:$A$59,"Yes",'Raw_Data'!$D$2:$D$59,"ยานพาหนะ")/COUNTIFS('Raw_Data'!$N$2:$N$59,"&gt;=1",'Raw_Data'!$N$2:$N$59,"&lt;=5",'Raw_Data'!$A$2:$A$59,"Yes",'Raw_Data'!$D$2:$D$59,"ยานพาหนะ"),"")</x:f>
        <x:v>100</x:v>
      </x:c>
      <x:c r="L11" s="131" t="n">
        <x:f>IFERROR(100*COUNTIFS('Raw_Data'!$N$2:$N$59,"&gt;=4",'Raw_Data'!$N$2:$N$59,"&lt;=5",'Raw_Data'!$A$2:$A$59,"Yes",'Raw_Data'!$D$2:$D$59,"สื่อสารการตลาด")/COUNTIFS('Raw_Data'!$N$2:$N$59,"&gt;=1",'Raw_Data'!$N$2:$N$59,"&lt;=5",'Raw_Data'!$A$2:$A$59,"Yes",'Raw_Data'!$D$2:$D$59,"สื่อสารการตลาด"),"")</x:f>
        <x:v>0</x:v>
      </x:c>
      <x:c r="M11" s="131" t="n">
        <x:f>IFERROR(100*COUNTIFS('Raw_Data'!$N$2:$N$59,"&gt;=4",'Raw_Data'!$N$2:$N$59,"&lt;=5",'Raw_Data'!$A$2:$A$59,"Yes",'Raw_Data'!$D$2:$D$59,"ห้องยา")/COUNTIFS('Raw_Data'!$N$2:$N$59,"&gt;=1",'Raw_Data'!$N$2:$N$59,"&lt;=5",'Raw_Data'!$A$2:$A$59,"Yes",'Raw_Data'!$D$2:$D$59,"ห้องยา"),"")</x:f>
        <x:v>100</x:v>
      </x:c>
      <x:c r="N11" s="131" t="n">
        <x:f>IFERROR(100*COUNTIFS('Raw_Data'!$N$2:$N$59,"&gt;=4",'Raw_Data'!$N$2:$N$59,"&lt;=5",'Raw_Data'!$A$2:$A$59,"Yes",'Raw_Data'!$D$2:$D$59,"ห้องแลป")/COUNTIFS('Raw_Data'!$N$2:$N$59,"&gt;=1",'Raw_Data'!$N$2:$N$59,"&lt;=5",'Raw_Data'!$A$2:$A$59,"Yes",'Raw_Data'!$D$2:$D$59,"ห้องแลป"),"")</x:f>
        <x:v>100</x:v>
      </x:c>
      <x:c r="O11" s="131" t="n">
        <x:f>IFERROR(100*COUNTIFS('Raw_Data'!$N$2:$N$59,"&gt;=4",'Raw_Data'!$N$2:$N$59,"&lt;=5",'Raw_Data'!$A$2:$A$59,"Yes",'Raw_Data'!$D$2:$D$59,"ห้องเอ็กซเรย์")/COUNTIFS('Raw_Data'!$N$2:$N$59,"&gt;=1",'Raw_Data'!$N$2:$N$59,"&lt;=5",'Raw_Data'!$A$2:$A$59,"Yes",'Raw_Data'!$D$2:$D$59,"ห้องเอ็กซเรย์"),"")</x:f>
        <x:v>66.66666666666667</x:v>
      </x:c>
      <x:c r="P11" s="131" t="n">
        <x:f>IFERROR(100*COUNTIFS('Raw_Data'!$N$2:$N$59,"&gt;=4",'Raw_Data'!$N$2:$N$59,"&lt;=5",'Raw_Data'!$A$2:$A$59,"Yes",'Raw_Data'!$D$2:$D$59,"ERและเปล")/COUNTIFS('Raw_Data'!$N$2:$N$59,"&gt;=1",'Raw_Data'!$N$2:$N$59,"&lt;=5",'Raw_Data'!$A$2:$A$59,"Yes",'Raw_Data'!$D$2:$D$59,"ERและเปล"),"")</x:f>
        <x:v>36.36363636363637</x:v>
      </x:c>
      <x:c r="Q11" s="131" t="n">
        <x:f>IFERROR(100*COUNTIFS('Raw_Data'!$N$2:$N$59,"&gt;=4",'Raw_Data'!$N$2:$N$59,"&lt;=5",'Raw_Data'!$A$2:$A$59,"Yes",'Raw_Data'!$D$2:$D$59,"HR")/COUNTIFS('Raw_Data'!$N$2:$N$59,"&gt;=1",'Raw_Data'!$N$2:$N$59,"&lt;=5",'Raw_Data'!$A$2:$A$59,"Yes",'Raw_Data'!$D$2:$D$59,"HR"),"")</x:f>
        <x:v>100</x:v>
      </x:c>
      <x:c r="R11" s="131" t="n">
        <x:f>IFERROR(100*COUNTIFS('Raw_Data'!$N$2:$N$59,"&gt;=4",'Raw_Data'!$N$2:$N$59,"&lt;=5",'Raw_Data'!$A$2:$A$59,"Yes",'Raw_Data'!$D$2:$D$59,"ICU")/COUNTIFS('Raw_Data'!$N$2:$N$59,"&gt;=1",'Raw_Data'!$N$2:$N$59,"&lt;=5",'Raw_Data'!$A$2:$A$59,"Yes",'Raw_Data'!$D$2:$D$59,"ICU"),"")</x:f>
        <x:v>100</x:v>
      </x:c>
      <x:c r="S11" s="131" t="n">
        <x:f>IFERROR(100*COUNTIFS('Raw_Data'!$N$2:$N$59,"&gt;=4",'Raw_Data'!$N$2:$N$59,"&lt;=5",'Raw_Data'!$A$2:$A$59,"Yes",'Raw_Data'!$D$2:$D$59,"IPD")/COUNTIFS('Raw_Data'!$N$2:$N$59,"&gt;=1",'Raw_Data'!$N$2:$N$59,"&lt;=5",'Raw_Data'!$A$2:$A$59,"Yes",'Raw_Data'!$D$2:$D$59,"IPD"),"")</x:f>
        <x:v>66.66666666666667</x:v>
      </x:c>
      <x:c r="T11" s="131" t="n">
        <x:f>IFERROR(100*COUNTIFS('Raw_Data'!$N$2:$N$59,"&gt;=4",'Raw_Data'!$N$2:$N$59,"&lt;=5",'Raw_Data'!$A$2:$A$59,"Yes",'Raw_Data'!$D$2:$D$59,"IT")/COUNTIFS('Raw_Data'!$N$2:$N$59,"&gt;=1",'Raw_Data'!$N$2:$N$59,"&lt;=5",'Raw_Data'!$A$2:$A$59,"Yes",'Raw_Data'!$D$2:$D$59,"IT"),"")</x:f>
        <x:v>100</x:v>
      </x:c>
      <x:c r="U11" s="131" t="n">
        <x:f>IFERROR(100*COUNTIFS('Raw_Data'!$N$2:$N$59,"&gt;=4",'Raw_Data'!$N$2:$N$59,"&lt;=5",'Raw_Data'!$A$2:$A$59,"Yes",'Raw_Data'!$D$2:$D$59,"OR")/COUNTIFS('Raw_Data'!$N$2:$N$59,"&gt;=1",'Raw_Data'!$N$2:$N$59,"&lt;=5",'Raw_Data'!$A$2:$A$59,"Yes",'Raw_Data'!$D$2:$D$59,"OR"),"")</x:f>
        <x:v>75</x:v>
      </x:c>
      <x:c r="V11" s="131" t="n">
        <x:f>IFERROR(100*COUNTIFS('Raw_Data'!$N$2:$N$59,"&gt;=4",'Raw_Data'!$N$2:$N$59,"&lt;=5",'Raw_Data'!$A$2:$A$59,"Yes",'Raw_Data'!$D$2:$D$59,"IPD",'Raw_Data'!$E$2:$E$59,"ผู้บริหาร")/COUNTIFS('Raw_Data'!$N$2:$N$59,"&gt;=1",'Raw_Data'!$N$2:$N$59,"&lt;=5",'Raw_Data'!$A$2:$A$59,"Yes",'Raw_Data'!$D$2:$D$59,"IPD",'Raw_Data'!$E$2:$E$59,"ผู้บริหาร"),"")</x:f>
        <x:v>100</x:v>
      </x:c>
      <x:c r="W11" s="131" t="n">
        <x:f>IFERROR(100*COUNTIFS('Raw_Data'!$N$2:$N$59,"&gt;=4",'Raw_Data'!$N$2:$N$59,"&lt;=5",'Raw_Data'!$A$2:$A$59,"Yes",'Raw_Data'!$D$2:$D$59,"ฝ่ายการพยาบาล",'Raw_Data'!$E$2:$E$59,"สายวิชาชีพสาธารณสุข")/COUNTIFS('Raw_Data'!$N$2:$N$59,"&gt;=1",'Raw_Data'!$N$2:$N$59,"&lt;=5",'Raw_Data'!$A$2:$A$59,"Yes",'Raw_Data'!$D$2:$D$59,"ฝ่ายการพยาบาล",'Raw_Data'!$E$2:$E$59,"สายวิชาชีพสาธารณสุข"),"")</x:f>
        <x:v>0</x:v>
      </x:c>
      <x:c r="X11" s="131" t="n">
        <x:f>IFERROR(100*COUNTIFS('Raw_Data'!$N$2:$N$59,"&gt;=4",'Raw_Data'!$N$2:$N$59,"&lt;=5",'Raw_Data'!$A$2:$A$59,"Yes",'Raw_Data'!$D$2:$D$59,"ERและเปล",'Raw_Data'!$E$2:$E$59,"สายวิชาชีพสาธารณสุข")/COUNTIFS('Raw_Data'!$N$2:$N$59,"&gt;=1",'Raw_Data'!$N$2:$N$59,"&lt;=5",'Raw_Data'!$A$2:$A$59,"Yes",'Raw_Data'!$D$2:$D$59,"ERและเปล",'Raw_Data'!$E$2:$E$59,"สายวิชาชีพสาธารณสุข"),"")</x:f>
        <x:v>0</x:v>
      </x:c>
      <x:c r="Y11" s="131" t="n">
        <x:f>IFERROR(100*COUNTIFS('Raw_Data'!$N$2:$N$59,"&gt;=4",'Raw_Data'!$N$2:$N$59,"&lt;=5",'Raw_Data'!$A$2:$A$59,"Yes",'Raw_Data'!$D$2:$D$59,"ICU",'Raw_Data'!$E$2:$E$59,"สายวิชาชีพสาธารณสุข")/COUNTIFS('Raw_Data'!$N$2:$N$59,"&gt;=1",'Raw_Data'!$N$2:$N$59,"&lt;=5",'Raw_Data'!$A$2:$A$59,"Yes",'Raw_Data'!$D$2:$D$59,"ICU",'Raw_Data'!$E$2:$E$59,"สายวิชาชีพสาธารณสุข"),"")</x:f>
        <x:v>100</x:v>
      </x:c>
      <x:c r="Z11" s="131" t="n">
        <x:f>IFERROR(100*COUNTIFS('Raw_Data'!$N$2:$N$59,"&gt;=4",'Raw_Data'!$N$2:$N$59,"&lt;=5",'Raw_Data'!$A$2:$A$59,"Yes",'Raw_Data'!$D$2:$D$59,"IPD",'Raw_Data'!$E$2:$E$59,"สายวิชาชีพสาธารณสุข")/COUNTIFS('Raw_Data'!$N$2:$N$59,"&gt;=1",'Raw_Data'!$N$2:$N$59,"&lt;=5",'Raw_Data'!$A$2:$A$59,"Yes",'Raw_Data'!$D$2:$D$59,"IPD",'Raw_Data'!$E$2:$E$59,"สายวิชาชีพสาธารณสุข"),"")</x:f>
        <x:v>100</x:v>
      </x:c>
      <x:c r="AA11" s="131" t="n">
        <x:f>IFERROR(100*COUNTIFS('Raw_Data'!$N$2:$N$59,"&gt;=4",'Raw_Data'!$N$2:$N$59,"&lt;=5",'Raw_Data'!$A$2:$A$59,"Yes",'Raw_Data'!$D$2:$D$59,"OR",'Raw_Data'!$E$2:$E$59,"สายวิชาชีพสาธารณสุข")/COUNTIFS('Raw_Data'!$N$2:$N$59,"&gt;=1",'Raw_Data'!$N$2:$N$59,"&lt;=5",'Raw_Data'!$A$2:$A$59,"Yes",'Raw_Data'!$D$2:$D$59,"OR",'Raw_Data'!$E$2:$E$59,"สายวิชาชีพสาธารณสุข"),"")</x:f>
        <x:v>75</x:v>
      </x:c>
      <x:c r="AB11" s="131" t="n">
        <x:f>IFERROR(100*COUNTIFS('Raw_Data'!$N$2:$N$59,"&gt;=4",'Raw_Data'!$N$2:$N$59,"&lt;=5",'Raw_Data'!$A$2:$A$59,"Yes",'Raw_Data'!$D$2:$D$59,"การเงิน",'Raw_Data'!$E$2:$E$59,"สายสนับสนุนทั่วไป")/COUNTIFS('Raw_Data'!$N$2:$N$59,"&gt;=1",'Raw_Data'!$N$2:$N$59,"&lt;=5",'Raw_Data'!$A$2:$A$59,"Yes",'Raw_Data'!$D$2:$D$59,"การเงิน",'Raw_Data'!$E$2:$E$59,"สายสนับสนุนทั่วไป"),"")</x:f>
        <x:v>66.66666666666667</x:v>
      </x:c>
      <x:c r="AC11" s="131" t="n">
        <x:f>IFERROR(100*COUNTIFS('Raw_Data'!$N$2:$N$59,"&gt;=4",'Raw_Data'!$N$2:$N$59,"&lt;=5",'Raw_Data'!$A$2:$A$59,"Yes",'Raw_Data'!$D$2:$D$59,"เคหรักษ์",'Raw_Data'!$E$2:$E$59,"สายสนับสนุนทั่วไป")/COUNTIFS('Raw_Data'!$N$2:$N$59,"&gt;=1",'Raw_Data'!$N$2:$N$59,"&lt;=5",'Raw_Data'!$A$2:$A$59,"Yes",'Raw_Data'!$D$2:$D$59,"เคหรักษ์",'Raw_Data'!$E$2:$E$59,"สายสนับสนุนทั่วไป"),"")</x:f>
        <x:v>0</x:v>
      </x:c>
      <x:c r="AD11" s="131" t="n">
        <x:f>IFERROR(100*COUNTIFS('Raw_Data'!$N$2:$N$59,"&gt;=4",'Raw_Data'!$N$2:$N$59,"&lt;=5",'Raw_Data'!$A$2:$A$59,"Yes",'Raw_Data'!$D$2:$D$59,"จ่ายกลาง",'Raw_Data'!$E$2:$E$59,"สายสนับสนุนทั่วไป")/COUNTIFS('Raw_Data'!$N$2:$N$59,"&gt;=1",'Raw_Data'!$N$2:$N$59,"&lt;=5",'Raw_Data'!$A$2:$A$59,"Yes",'Raw_Data'!$D$2:$D$59,"จ่ายกลาง",'Raw_Data'!$E$2:$E$59,"สายสนับสนุนทั่วไป"),"")</x:f>
        <x:v>100</x:v>
      </x:c>
      <x:c r="AE11" s="131" t="n">
        <x:f>IFERROR(100*COUNTIFS('Raw_Data'!$N$2:$N$59,"&gt;=4",'Raw_Data'!$N$2:$N$59,"&lt;=5",'Raw_Data'!$A$2:$A$59,"Yes",'Raw_Data'!$D$2:$D$59,"ช่างและสนาม",'Raw_Data'!$E$2:$E$59,"สายสนับสนุนทั่วไป")/COUNTIFS('Raw_Data'!$N$2:$N$59,"&gt;=1",'Raw_Data'!$N$2:$N$59,"&lt;=5",'Raw_Data'!$A$2:$A$59,"Yes",'Raw_Data'!$D$2:$D$59,"ช่างและสนาม",'Raw_Data'!$E$2:$E$59,"สายสนับสนุนทั่วไป"),"")</x:f>
        <x:v>75</x:v>
      </x:c>
      <x:c r="AF11" s="131" t="n">
        <x:f>IFERROR(100*COUNTIFS('Raw_Data'!$N$2:$N$59,"&gt;=4",'Raw_Data'!$N$2:$N$59,"&lt;=5",'Raw_Data'!$A$2:$A$59,"Yes",'Raw_Data'!$D$2:$D$59,"ผู้ป่วยสัมพันธ์",'Raw_Data'!$E$2:$E$59,"สายสนับสนุนทั่วไป")/COUNTIFS('Raw_Data'!$N$2:$N$59,"&gt;=1",'Raw_Data'!$N$2:$N$59,"&lt;=5",'Raw_Data'!$A$2:$A$59,"Yes",'Raw_Data'!$D$2:$D$59,"ผู้ป่วยสัมพันธ์",'Raw_Data'!$E$2:$E$59,"สายสนับสนุนทั่วไป"),"")</x:f>
        <x:v>0</x:v>
      </x:c>
      <x:c r="AG11" s="131" t="n">
        <x:f>IFERROR(100*COUNTIFS('Raw_Data'!$N$2:$N$59,"&gt;=4",'Raw_Data'!$N$2:$N$59,"&lt;=5",'Raw_Data'!$A$2:$A$59,"Yes",'Raw_Data'!$D$2:$D$59,"ยานพาหนะ",'Raw_Data'!$E$2:$E$59,"สายสนับสนุนทั่วไป")/COUNTIFS('Raw_Data'!$N$2:$N$59,"&gt;=1",'Raw_Data'!$N$2:$N$59,"&lt;=5",'Raw_Data'!$A$2:$A$59,"Yes",'Raw_Data'!$D$2:$D$59,"ยานพาหนะ",'Raw_Data'!$E$2:$E$59,"สายสนับสนุนทั่วไป"),"")</x:f>
        <x:v>100</x:v>
      </x:c>
      <x:c r="AH11" s="131" t="n">
        <x:f>IFERROR(100*COUNTIFS('Raw_Data'!$N$2:$N$59,"&gt;=4",'Raw_Data'!$N$2:$N$59,"&lt;=5",'Raw_Data'!$A$2:$A$59,"Yes",'Raw_Data'!$D$2:$D$59,"สื่อสารการตลาด",'Raw_Data'!$E$2:$E$59,"สายสนับสนุนทั่วไป")/COUNTIFS('Raw_Data'!$N$2:$N$59,"&gt;=1",'Raw_Data'!$N$2:$N$59,"&lt;=5",'Raw_Data'!$A$2:$A$59,"Yes",'Raw_Data'!$D$2:$D$59,"สื่อสารการตลาด",'Raw_Data'!$E$2:$E$59,"สายสนับสนุนทั่วไป"),"")</x:f>
        <x:v>0</x:v>
      </x:c>
      <x:c r="AI11" s="131" t="n">
        <x:f>IFERROR(100*COUNTIFS('Raw_Data'!$N$2:$N$59,"&gt;=4",'Raw_Data'!$N$2:$N$59,"&lt;=5",'Raw_Data'!$A$2:$A$59,"Yes",'Raw_Data'!$D$2:$D$59,"ERและเปล",'Raw_Data'!$E$2:$E$59,"สายสนับสนุนทั่วไป")/COUNTIFS('Raw_Data'!$N$2:$N$59,"&gt;=1",'Raw_Data'!$N$2:$N$59,"&lt;=5",'Raw_Data'!$A$2:$A$59,"Yes",'Raw_Data'!$D$2:$D$59,"ERและเปล",'Raw_Data'!$E$2:$E$59,"สายสนับสนุนทั่วไป"),"")</x:f>
        <x:v>100</x:v>
      </x:c>
      <x:c r="AJ11" s="131" t="n">
        <x:f>IFERROR(100*COUNTIFS('Raw_Data'!$N$2:$N$59,"&gt;=4",'Raw_Data'!$N$2:$N$59,"&lt;=5",'Raw_Data'!$A$2:$A$59,"Yes",'Raw_Data'!$D$2:$D$59,"HR",'Raw_Data'!$E$2:$E$59,"สายสนับสนุนทั่วไป")/COUNTIFS('Raw_Data'!$N$2:$N$59,"&gt;=1",'Raw_Data'!$N$2:$N$59,"&lt;=5",'Raw_Data'!$A$2:$A$59,"Yes",'Raw_Data'!$D$2:$D$59,"HR",'Raw_Data'!$E$2:$E$59,"สายสนับสนุนทั่วไป"),"")</x:f>
        <x:v>100</x:v>
      </x:c>
      <x:c r="AK11" s="131" t="n">
        <x:f>IFERROR(100*COUNTIFS('Raw_Data'!$N$2:$N$59,"&gt;=4",'Raw_Data'!$N$2:$N$59,"&lt;=5",'Raw_Data'!$A$2:$A$59,"Yes",'Raw_Data'!$D$2:$D$59,"ICU",'Raw_Data'!$E$2:$E$59,"สายสนับสนุนทั่วไป")/COUNTIFS('Raw_Data'!$N$2:$N$59,"&gt;=1",'Raw_Data'!$N$2:$N$59,"&lt;=5",'Raw_Data'!$A$2:$A$59,"Yes",'Raw_Data'!$D$2:$D$59,"ICU",'Raw_Data'!$E$2:$E$59,"สายสนับสนุนทั่วไป"),"")</x:f>
        <x:v>100</x:v>
      </x:c>
      <x:c r="AL11" s="131" t="n">
        <x:f>IFERROR(100*COUNTIFS('Raw_Data'!$N$2:$N$59,"&gt;=4",'Raw_Data'!$N$2:$N$59,"&lt;=5",'Raw_Data'!$A$2:$A$59,"Yes",'Raw_Data'!$D$2:$D$59,"IPD",'Raw_Data'!$E$2:$E$59,"สายสนับสนุนทั่วไป")/COUNTIFS('Raw_Data'!$N$2:$N$59,"&gt;=1",'Raw_Data'!$N$2:$N$59,"&lt;=5",'Raw_Data'!$A$2:$A$59,"Yes",'Raw_Data'!$D$2:$D$59,"IPD",'Raw_Data'!$E$2:$E$59,"สายสนับสนุนทั่วไป"),"")</x:f>
        <x:v>0</x:v>
      </x:c>
      <x:c r="AM11" s="131" t="n">
        <x:f>IFERROR(100*COUNTIFS('Raw_Data'!$N$2:$N$59,"&gt;=4",'Raw_Data'!$N$2:$N$59,"&lt;=5",'Raw_Data'!$A$2:$A$59,"Yes",'Raw_Data'!$D$2:$D$59,"IT",'Raw_Data'!$E$2:$E$59,"สายสนับสนุนทั่วไป")/COUNTIFS('Raw_Data'!$N$2:$N$59,"&gt;=1",'Raw_Data'!$N$2:$N$59,"&lt;=5",'Raw_Data'!$A$2:$A$59,"Yes",'Raw_Data'!$D$2:$D$59,"IT",'Raw_Data'!$E$2:$E$59,"สายสนับสนุนทั่วไป"),"")</x:f>
        <x:v>100</x:v>
      </x:c>
      <x:c r="AN11" s="131" t="n">
        <x:f>IFERROR(100*COUNTIFS('Raw_Data'!$N$2:$N$59,"&gt;=4",'Raw_Data'!$N$2:$N$59,"&lt;=5",'Raw_Data'!$A$2:$A$59,"Yes",'Raw_Data'!$D$2:$D$59,"ผู้ป่วยสัมพันธ์",'Raw_Data'!$E$2:$E$59,"สายสนับสนุนทางการแพทย์")/COUNTIFS('Raw_Data'!$N$2:$N$59,"&gt;=1",'Raw_Data'!$N$2:$N$59,"&lt;=5",'Raw_Data'!$A$2:$A$59,"Yes",'Raw_Data'!$D$2:$D$59,"ผู้ป่วยสัมพันธ์",'Raw_Data'!$E$2:$E$59,"สายสนับสนุนทางการแพทย์"),"")</x:f>
        <x:v>66.66666666666667</x:v>
      </x:c>
      <x:c r="AO11" s="131" t="n">
        <x:f>IFERROR(100*COUNTIFS('Raw_Data'!$N$2:$N$59,"&gt;=4",'Raw_Data'!$N$2:$N$59,"&lt;=5",'Raw_Data'!$A$2:$A$59,"Yes",'Raw_Data'!$D$2:$D$59,"ฝ่ายการพยาบาล",'Raw_Data'!$E$2:$E$59,"สายสนับสนุนทางการแพทย์")/COUNTIFS('Raw_Data'!$N$2:$N$59,"&gt;=1",'Raw_Data'!$N$2:$N$59,"&lt;=5",'Raw_Data'!$A$2:$A$59,"Yes",'Raw_Data'!$D$2:$D$59,"ฝ่ายการพยาบาล",'Raw_Data'!$E$2:$E$59,"สายสนับสนุนทางการแพทย์"),"")</x:f>
        <x:v>100</x:v>
      </x:c>
      <x:c r="AP11" s="131" t="n">
        <x:f>IFERROR(100*COUNTIFS('Raw_Data'!$N$2:$N$59,"&gt;=4",'Raw_Data'!$N$2:$N$59,"&lt;=5",'Raw_Data'!$A$2:$A$59,"Yes",'Raw_Data'!$D$2:$D$59,"โภชนาการ",'Raw_Data'!$E$2:$E$59,"สายสนับสนุนทางการแพทย์")/COUNTIFS('Raw_Data'!$N$2:$N$59,"&gt;=1",'Raw_Data'!$N$2:$N$59,"&lt;=5",'Raw_Data'!$A$2:$A$59,"Yes",'Raw_Data'!$D$2:$D$59,"โภชนาการ",'Raw_Data'!$E$2:$E$59,"สายสนับสนุนทางการแพทย์"),"")</x:f>
        <x:v>100</x:v>
      </x:c>
      <x:c r="AQ11" s="131" t="n">
        <x:f>IFERROR(100*COUNTIFS('Raw_Data'!$N$2:$N$59,"&gt;=4",'Raw_Data'!$N$2:$N$59,"&lt;=5",'Raw_Data'!$A$2:$A$59,"Yes",'Raw_Data'!$D$2:$D$59,"ห้องยา",'Raw_Data'!$E$2:$E$59,"สายสนับสนุนทางการแพทย์")/COUNTIFS('Raw_Data'!$N$2:$N$59,"&gt;=1",'Raw_Data'!$N$2:$N$59,"&lt;=5",'Raw_Data'!$A$2:$A$59,"Yes",'Raw_Data'!$D$2:$D$59,"ห้องยา",'Raw_Data'!$E$2:$E$59,"สายสนับสนุนทางการแพทย์"),"")</x:f>
        <x:v>100</x:v>
      </x:c>
      <x:c r="AR11" s="131" t="n">
        <x:f>IFERROR(100*COUNTIFS('Raw_Data'!$N$2:$N$59,"&gt;=4",'Raw_Data'!$N$2:$N$59,"&lt;=5",'Raw_Data'!$A$2:$A$59,"Yes",'Raw_Data'!$D$2:$D$59,"ห้องแลป",'Raw_Data'!$E$2:$E$59,"สายสนับสนุนทางการแพทย์")/COUNTIFS('Raw_Data'!$N$2:$N$59,"&gt;=1",'Raw_Data'!$N$2:$N$59,"&lt;=5",'Raw_Data'!$A$2:$A$59,"Yes",'Raw_Data'!$D$2:$D$59,"ห้องแลป",'Raw_Data'!$E$2:$E$59,"สายสนับสนุนทางการแพทย์"),"")</x:f>
        <x:v>100</x:v>
      </x:c>
      <x:c r="AS11" s="131" t="n">
        <x:f>IFERROR(100*COUNTIFS('Raw_Data'!$N$2:$N$59,"&gt;=4",'Raw_Data'!$N$2:$N$59,"&lt;=5",'Raw_Data'!$A$2:$A$59,"Yes",'Raw_Data'!$D$2:$D$59,"ห้องเอ็กซเรย์",'Raw_Data'!$E$2:$E$59,"สายสนับสนุนทางการแพทย์")/COUNTIFS('Raw_Data'!$N$2:$N$59,"&gt;=1",'Raw_Data'!$N$2:$N$59,"&lt;=5",'Raw_Data'!$A$2:$A$59,"Yes",'Raw_Data'!$D$2:$D$59,"ห้องเอ็กซเรย์",'Raw_Data'!$E$2:$E$59,"สายสนับสนุนทางการแพทย์"),"")</x:f>
        <x:v>66.66666666666667</x:v>
      </x:c>
      <x:c r="AT11" s="131" t="n">
        <x:f>IFERROR(100*COUNTIFS('Raw_Data'!$N$2:$N$59,"&gt;=4",'Raw_Data'!$N$2:$N$59,"&lt;=5",'Raw_Data'!$A$2:$A$59,"Yes",'Raw_Data'!$D$2:$D$59,"ERและเปล",'Raw_Data'!$E$2:$E$59,"สายสนับสนุนทางการแพทย์")/COUNTIFS('Raw_Data'!$N$2:$N$59,"&gt;=1",'Raw_Data'!$N$2:$N$59,"&lt;=5",'Raw_Data'!$A$2:$A$59,"Yes",'Raw_Data'!$D$2:$D$59,"ERและเปล",'Raw_Data'!$E$2:$E$59,"สายสนับสนุนทางการแพทย์"),"")</x:f>
        <x:v>100</x:v>
      </x:c>
      <x:c r="AU11" s="131" t="n">
        <x:f>IFERROR(100*COUNTIFS('Raw_Data'!$N$2:$N$59,"&gt;=4",'Raw_Data'!$N$2:$N$59,"&lt;=5",'Raw_Data'!$A$2:$A$59,"Yes",'Raw_Data'!$D$2:$D$59,"ICU",'Raw_Data'!$E$2:$E$59,"สายสนับสนุนทางการแพทย์")/COUNTIFS('Raw_Data'!$N$2:$N$59,"&gt;=1",'Raw_Data'!$N$2:$N$59,"&lt;=5",'Raw_Data'!$A$2:$A$59,"Yes",'Raw_Data'!$D$2:$D$59,"ICU",'Raw_Data'!$E$2:$E$59,"สายสนับสนุนทางการแพทย์"),"")</x:f>
        <x:v>100</x:v>
      </x:c>
      <x:c r="AV11" s="131" t="n">
        <x:f>IFERROR(100*COUNTIFS('Raw_Data'!$N$2:$N$59,"&gt;=4",'Raw_Data'!$N$2:$N$59,"&lt;=5",'Raw_Data'!$A$2:$A$59,"Yes",'Raw_Data'!$D$2:$D$59,"IPD",'Raw_Data'!$E$2:$E$59,"สายสนับสนุนทางการแพทย์")/COUNTIFS('Raw_Data'!$N$2:$N$59,"&gt;=1",'Raw_Data'!$N$2:$N$59,"&lt;=5",'Raw_Data'!$A$2:$A$59,"Yes",'Raw_Data'!$D$2:$D$59,"IPD",'Raw_Data'!$E$2:$E$59,"สายสนับสนุนทางการแพทย์"),"")</x:f>
        <x:v>50</x:v>
      </x:c>
      <x:c r="AW11" s="131" t="n">
        <x:f>IFERROR(100*COUNTIFS('Raw_Data'!$N$2:$N$59,"&gt;=4",'Raw_Data'!$N$2:$N$59,"&lt;=5",'Raw_Data'!$A$2:$A$59,"Yes",'Raw_Data'!$D$2:$D$59,"IT",'Raw_Data'!$E$2:$E$59,"สายสนับสนุนทางการแพทย์")/COUNTIFS('Raw_Data'!$N$2:$N$59,"&gt;=1",'Raw_Data'!$N$2:$N$59,"&lt;=5",'Raw_Data'!$A$2:$A$59,"Yes",'Raw_Data'!$D$2:$D$59,"IT",'Raw_Data'!$E$2:$E$59,"สายสนับสนุนทางการแพทย์"),"")</x:f>
        <x:v>100</x:v>
      </x:c>
    </x:row>
    <x:row r="12" ht="42" customHeight="1">
      <x:c r="A12" s="123"/>
      <x:c r="B12" s="124" t="str">
        <x:v>A12. หน่วยงานที่ท่านทำงานอยู่มีการเปลี่ยนแปลงเพื่อเพิ่มความปลอดภัยให้กับผู้ป่วย/ผู้รับบริการ และมีการประเมินผลความปลอดภัยของผู้ป่วย/ผู้รับบริการว่าดีขึ้นอย่างไร</x:v>
      </x:c>
      <x:c r="C12" s="131" t="n">
        <x:f>IFERROR(100*COUNTIFS('Raw_Data'!$O$2:$O$59,"&gt;=4",'Raw_Data'!$O$2:$O$59,"&lt;=5",'Raw_Data'!$A$2:$A$59,"Yes")/COUNTIFS('Raw_Data'!$O$2:$O$59,"&gt;=1",'Raw_Data'!$O$2:$O$59,"&lt;=5",'Raw_Data'!$A$2:$A$59,"Yes"),"")</x:f>
        <x:v>62.06896551724138</x:v>
      </x:c>
      <x:c r="D12" s="131" t="n">
        <x:f>IFERROR(100*COUNTIFS('Raw_Data'!$O$2:$O$59,"&gt;=4",'Raw_Data'!$O$2:$O$59,"&lt;=5",'Raw_Data'!$A$2:$A$59,"Yes",'Raw_Data'!$D$2:$D$59,"การเงิน")/COUNTIFS('Raw_Data'!$O$2:$O$59,"&gt;=1",'Raw_Data'!$O$2:$O$59,"&lt;=5",'Raw_Data'!$A$2:$A$59,"Yes",'Raw_Data'!$D$2:$D$59,"การเงิน"),"")</x:f>
        <x:v>66.66666666666667</x:v>
      </x:c>
      <x:c r="E12" s="131" t="n">
        <x:f>IFERROR(100*COUNTIFS('Raw_Data'!$O$2:$O$59,"&gt;=4",'Raw_Data'!$O$2:$O$59,"&lt;=5",'Raw_Data'!$A$2:$A$59,"Yes",'Raw_Data'!$D$2:$D$59,"เคหรักษ์")/COUNTIFS('Raw_Data'!$O$2:$O$59,"&gt;=1",'Raw_Data'!$O$2:$O$59,"&lt;=5",'Raw_Data'!$A$2:$A$59,"Yes",'Raw_Data'!$D$2:$D$59,"เคหรักษ์"),"")</x:f>
        <x:v>0</x:v>
      </x:c>
      <x:c r="F12" s="131" t="n">
        <x:f>IFERROR(100*COUNTIFS('Raw_Data'!$O$2:$O$59,"&gt;=4",'Raw_Data'!$O$2:$O$59,"&lt;=5",'Raw_Data'!$A$2:$A$59,"Yes",'Raw_Data'!$D$2:$D$59,"จ่ายกลาง")/COUNTIFS('Raw_Data'!$O$2:$O$59,"&gt;=1",'Raw_Data'!$O$2:$O$59,"&lt;=5",'Raw_Data'!$A$2:$A$59,"Yes",'Raw_Data'!$D$2:$D$59,"จ่ายกลาง"),"")</x:f>
        <x:v>100</x:v>
      </x:c>
      <x:c r="G12" s="131" t="n">
        <x:f>IFERROR(100*COUNTIFS('Raw_Data'!$O$2:$O$59,"&gt;=4",'Raw_Data'!$O$2:$O$59,"&lt;=5",'Raw_Data'!$A$2:$A$59,"Yes",'Raw_Data'!$D$2:$D$59,"ช่างและสนาม")/COUNTIFS('Raw_Data'!$O$2:$O$59,"&gt;=1",'Raw_Data'!$O$2:$O$59,"&lt;=5",'Raw_Data'!$A$2:$A$59,"Yes",'Raw_Data'!$D$2:$D$59,"ช่างและสนาม"),"")</x:f>
        <x:v>50</x:v>
      </x:c>
      <x:c r="H12" s="131" t="n">
        <x:f>IFERROR(100*COUNTIFS('Raw_Data'!$O$2:$O$59,"&gt;=4",'Raw_Data'!$O$2:$O$59,"&lt;=5",'Raw_Data'!$A$2:$A$59,"Yes",'Raw_Data'!$D$2:$D$59,"ผู้ป่วยสัมพันธ์")/COUNTIFS('Raw_Data'!$O$2:$O$59,"&gt;=1",'Raw_Data'!$O$2:$O$59,"&lt;=5",'Raw_Data'!$A$2:$A$59,"Yes",'Raw_Data'!$D$2:$D$59,"ผู้ป่วยสัมพันธ์"),"")</x:f>
        <x:v>75</x:v>
      </x:c>
      <x:c r="I12" s="131" t="n">
        <x:f>IFERROR(100*COUNTIFS('Raw_Data'!$O$2:$O$59,"&gt;=4",'Raw_Data'!$O$2:$O$59,"&lt;=5",'Raw_Data'!$A$2:$A$59,"Yes",'Raw_Data'!$D$2:$D$59,"ฝ่ายการพยาบาล")/COUNTIFS('Raw_Data'!$O$2:$O$59,"&gt;=1",'Raw_Data'!$O$2:$O$59,"&lt;=5",'Raw_Data'!$A$2:$A$59,"Yes",'Raw_Data'!$D$2:$D$59,"ฝ่ายการพยาบาล"),"")</x:f>
        <x:v>100</x:v>
      </x:c>
      <x:c r="J12" s="131" t="n">
        <x:f>IFERROR(100*COUNTIFS('Raw_Data'!$O$2:$O$59,"&gt;=4",'Raw_Data'!$O$2:$O$59,"&lt;=5",'Raw_Data'!$A$2:$A$59,"Yes",'Raw_Data'!$D$2:$D$59,"โภชนาการ")/COUNTIFS('Raw_Data'!$O$2:$O$59,"&gt;=1",'Raw_Data'!$O$2:$O$59,"&lt;=5",'Raw_Data'!$A$2:$A$59,"Yes",'Raw_Data'!$D$2:$D$59,"โภชนาการ"),"")</x:f>
        <x:v>0</x:v>
      </x:c>
      <x:c r="K12" s="131" t="n">
        <x:f>IFERROR(100*COUNTIFS('Raw_Data'!$O$2:$O$59,"&gt;=4",'Raw_Data'!$O$2:$O$59,"&lt;=5",'Raw_Data'!$A$2:$A$59,"Yes",'Raw_Data'!$D$2:$D$59,"ยานพาหนะ")/COUNTIFS('Raw_Data'!$O$2:$O$59,"&gt;=1",'Raw_Data'!$O$2:$O$59,"&lt;=5",'Raw_Data'!$A$2:$A$59,"Yes",'Raw_Data'!$D$2:$D$59,"ยานพาหนะ"),"")</x:f>
        <x:v>100</x:v>
      </x:c>
      <x:c r="L12" s="131" t="n">
        <x:f>IFERROR(100*COUNTIFS('Raw_Data'!$O$2:$O$59,"&gt;=4",'Raw_Data'!$O$2:$O$59,"&lt;=5",'Raw_Data'!$A$2:$A$59,"Yes",'Raw_Data'!$D$2:$D$59,"สื่อสารการตลาด")/COUNTIFS('Raw_Data'!$O$2:$O$59,"&gt;=1",'Raw_Data'!$O$2:$O$59,"&lt;=5",'Raw_Data'!$A$2:$A$59,"Yes",'Raw_Data'!$D$2:$D$59,"สื่อสารการตลาด"),"")</x:f>
        <x:v>100</x:v>
      </x:c>
      <x:c r="M12" s="131" t="n">
        <x:f>IFERROR(100*COUNTIFS('Raw_Data'!$O$2:$O$59,"&gt;=4",'Raw_Data'!$O$2:$O$59,"&lt;=5",'Raw_Data'!$A$2:$A$59,"Yes",'Raw_Data'!$D$2:$D$59,"ห้องยา")/COUNTIFS('Raw_Data'!$O$2:$O$59,"&gt;=1",'Raw_Data'!$O$2:$O$59,"&lt;=5",'Raw_Data'!$A$2:$A$59,"Yes",'Raw_Data'!$D$2:$D$59,"ห้องยา"),"")</x:f>
        <x:v>50</x:v>
      </x:c>
      <x:c r="N12" s="131" t="n">
        <x:f>IFERROR(100*COUNTIFS('Raw_Data'!$O$2:$O$59,"&gt;=4",'Raw_Data'!$O$2:$O$59,"&lt;=5",'Raw_Data'!$A$2:$A$59,"Yes",'Raw_Data'!$D$2:$D$59,"ห้องแลป")/COUNTIFS('Raw_Data'!$O$2:$O$59,"&gt;=1",'Raw_Data'!$O$2:$O$59,"&lt;=5",'Raw_Data'!$A$2:$A$59,"Yes",'Raw_Data'!$D$2:$D$59,"ห้องแลป"),"")</x:f>
        <x:v>0</x:v>
      </x:c>
      <x:c r="O12" s="131" t="n">
        <x:f>IFERROR(100*COUNTIFS('Raw_Data'!$O$2:$O$59,"&gt;=4",'Raw_Data'!$O$2:$O$59,"&lt;=5",'Raw_Data'!$A$2:$A$59,"Yes",'Raw_Data'!$D$2:$D$59,"ห้องเอ็กซเรย์")/COUNTIFS('Raw_Data'!$O$2:$O$59,"&gt;=1",'Raw_Data'!$O$2:$O$59,"&lt;=5",'Raw_Data'!$A$2:$A$59,"Yes",'Raw_Data'!$D$2:$D$59,"ห้องเอ็กซเรย์"),"")</x:f>
        <x:v>100</x:v>
      </x:c>
      <x:c r="P12" s="131" t="n">
        <x:f>IFERROR(100*COUNTIFS('Raw_Data'!$O$2:$O$59,"&gt;=4",'Raw_Data'!$O$2:$O$59,"&lt;=5",'Raw_Data'!$A$2:$A$59,"Yes",'Raw_Data'!$D$2:$D$59,"ERและเปล")/COUNTIFS('Raw_Data'!$O$2:$O$59,"&gt;=1",'Raw_Data'!$O$2:$O$59,"&lt;=5",'Raw_Data'!$A$2:$A$59,"Yes",'Raw_Data'!$D$2:$D$59,"ERและเปล"),"")</x:f>
        <x:v>45.45454545454545</x:v>
      </x:c>
      <x:c r="Q12" s="131" t="n">
        <x:f>IFERROR(100*COUNTIFS('Raw_Data'!$O$2:$O$59,"&gt;=4",'Raw_Data'!$O$2:$O$59,"&lt;=5",'Raw_Data'!$A$2:$A$59,"Yes",'Raw_Data'!$D$2:$D$59,"HR")/COUNTIFS('Raw_Data'!$O$2:$O$59,"&gt;=1",'Raw_Data'!$O$2:$O$59,"&lt;=5",'Raw_Data'!$A$2:$A$59,"Yes",'Raw_Data'!$D$2:$D$59,"HR"),"")</x:f>
        <x:v>100</x:v>
      </x:c>
      <x:c r="R12" s="131" t="n">
        <x:f>IFERROR(100*COUNTIFS('Raw_Data'!$O$2:$O$59,"&gt;=4",'Raw_Data'!$O$2:$O$59,"&lt;=5",'Raw_Data'!$A$2:$A$59,"Yes",'Raw_Data'!$D$2:$D$59,"ICU")/COUNTIFS('Raw_Data'!$O$2:$O$59,"&gt;=1",'Raw_Data'!$O$2:$O$59,"&lt;=5",'Raw_Data'!$A$2:$A$59,"Yes",'Raw_Data'!$D$2:$D$59,"ICU"),"")</x:f>
        <x:v>50</x:v>
      </x:c>
      <x:c r="S12" s="131" t="n">
        <x:f>IFERROR(100*COUNTIFS('Raw_Data'!$O$2:$O$59,"&gt;=4",'Raw_Data'!$O$2:$O$59,"&lt;=5",'Raw_Data'!$A$2:$A$59,"Yes",'Raw_Data'!$D$2:$D$59,"IPD")/COUNTIFS('Raw_Data'!$O$2:$O$59,"&gt;=1",'Raw_Data'!$O$2:$O$59,"&lt;=5",'Raw_Data'!$A$2:$A$59,"Yes",'Raw_Data'!$D$2:$D$59,"IPD"),"")</x:f>
        <x:v>83.33333333333333</x:v>
      </x:c>
      <x:c r="T12" s="131" t="n">
        <x:f>IFERROR(100*COUNTIFS('Raw_Data'!$O$2:$O$59,"&gt;=4",'Raw_Data'!$O$2:$O$59,"&lt;=5",'Raw_Data'!$A$2:$A$59,"Yes",'Raw_Data'!$D$2:$D$59,"IT")/COUNTIFS('Raw_Data'!$O$2:$O$59,"&gt;=1",'Raw_Data'!$O$2:$O$59,"&lt;=5",'Raw_Data'!$A$2:$A$59,"Yes",'Raw_Data'!$D$2:$D$59,"IT"),"")</x:f>
        <x:v>50</x:v>
      </x:c>
      <x:c r="U12" s="131" t="n">
        <x:f>IFERROR(100*COUNTIFS('Raw_Data'!$O$2:$O$59,"&gt;=4",'Raw_Data'!$O$2:$O$59,"&lt;=5",'Raw_Data'!$A$2:$A$59,"Yes",'Raw_Data'!$D$2:$D$59,"OR")/COUNTIFS('Raw_Data'!$O$2:$O$59,"&gt;=1",'Raw_Data'!$O$2:$O$59,"&lt;=5",'Raw_Data'!$A$2:$A$59,"Yes",'Raw_Data'!$D$2:$D$59,"OR"),"")</x:f>
        <x:v>100</x:v>
      </x:c>
      <x:c r="V12" s="131" t="n">
        <x:f>IFERROR(100*COUNTIFS('Raw_Data'!$O$2:$O$59,"&gt;=4",'Raw_Data'!$O$2:$O$59,"&lt;=5",'Raw_Data'!$A$2:$A$59,"Yes",'Raw_Data'!$D$2:$D$59,"IPD",'Raw_Data'!$E$2:$E$59,"ผู้บริหาร")/COUNTIFS('Raw_Data'!$O$2:$O$59,"&gt;=1",'Raw_Data'!$O$2:$O$59,"&lt;=5",'Raw_Data'!$A$2:$A$59,"Yes",'Raw_Data'!$D$2:$D$59,"IPD",'Raw_Data'!$E$2:$E$59,"ผู้บริหาร"),"")</x:f>
        <x:v>100</x:v>
      </x:c>
      <x:c r="W12" s="131" t="n">
        <x:f>IFERROR(100*COUNTIFS('Raw_Data'!$O$2:$O$59,"&gt;=4",'Raw_Data'!$O$2:$O$59,"&lt;=5",'Raw_Data'!$A$2:$A$59,"Yes",'Raw_Data'!$D$2:$D$59,"ฝ่ายการพยาบาล",'Raw_Data'!$E$2:$E$59,"สายวิชาชีพสาธารณสุข")/COUNTIFS('Raw_Data'!$O$2:$O$59,"&gt;=1",'Raw_Data'!$O$2:$O$59,"&lt;=5",'Raw_Data'!$A$2:$A$59,"Yes",'Raw_Data'!$D$2:$D$59,"ฝ่ายการพยาบาล",'Raw_Data'!$E$2:$E$59,"สายวิชาชีพสาธารณสุข"),"")</x:f>
        <x:v>100</x:v>
      </x:c>
      <x:c r="X12" s="131" t="n">
        <x:f>IFERROR(100*COUNTIFS('Raw_Data'!$O$2:$O$59,"&gt;=4",'Raw_Data'!$O$2:$O$59,"&lt;=5",'Raw_Data'!$A$2:$A$59,"Yes",'Raw_Data'!$D$2:$D$59,"ERและเปล",'Raw_Data'!$E$2:$E$59,"สายวิชาชีพสาธารณสุข")/COUNTIFS('Raw_Data'!$O$2:$O$59,"&gt;=1",'Raw_Data'!$O$2:$O$59,"&lt;=5",'Raw_Data'!$A$2:$A$59,"Yes",'Raw_Data'!$D$2:$D$59,"ERและเปล",'Raw_Data'!$E$2:$E$59,"สายวิชาชีพสาธารณสุข"),"")</x:f>
        <x:v>28.571428571428573</x:v>
      </x:c>
      <x:c r="Y12" s="131" t="n">
        <x:f>IFERROR(100*COUNTIFS('Raw_Data'!$O$2:$O$59,"&gt;=4",'Raw_Data'!$O$2:$O$59,"&lt;=5",'Raw_Data'!$A$2:$A$59,"Yes",'Raw_Data'!$D$2:$D$59,"ICU",'Raw_Data'!$E$2:$E$59,"สายวิชาชีพสาธารณสุข")/COUNTIFS('Raw_Data'!$O$2:$O$59,"&gt;=1",'Raw_Data'!$O$2:$O$59,"&lt;=5",'Raw_Data'!$A$2:$A$59,"Yes",'Raw_Data'!$D$2:$D$59,"ICU",'Raw_Data'!$E$2:$E$59,"สายวิชาชีพสาธารณสุข"),"")</x:f>
        <x:v>50</x:v>
      </x:c>
      <x:c r="Z12" s="131" t="n">
        <x:f>IFERROR(100*COUNTIFS('Raw_Data'!$O$2:$O$59,"&gt;=4",'Raw_Data'!$O$2:$O$59,"&lt;=5",'Raw_Data'!$A$2:$A$59,"Yes",'Raw_Data'!$D$2:$D$59,"IPD",'Raw_Data'!$E$2:$E$59,"สายวิชาชีพสาธารณสุข")/COUNTIFS('Raw_Data'!$O$2:$O$59,"&gt;=1",'Raw_Data'!$O$2:$O$59,"&lt;=5",'Raw_Data'!$A$2:$A$59,"Yes",'Raw_Data'!$D$2:$D$59,"IPD",'Raw_Data'!$E$2:$E$59,"สายวิชาชีพสาธารณสุข"),"")</x:f>
        <x:v>100</x:v>
      </x:c>
      <x:c r="AA12" s="131" t="n">
        <x:f>IFERROR(100*COUNTIFS('Raw_Data'!$O$2:$O$59,"&gt;=4",'Raw_Data'!$O$2:$O$59,"&lt;=5",'Raw_Data'!$A$2:$A$59,"Yes",'Raw_Data'!$D$2:$D$59,"OR",'Raw_Data'!$E$2:$E$59,"สายวิชาชีพสาธารณสุข")/COUNTIFS('Raw_Data'!$O$2:$O$59,"&gt;=1",'Raw_Data'!$O$2:$O$59,"&lt;=5",'Raw_Data'!$A$2:$A$59,"Yes",'Raw_Data'!$D$2:$D$59,"OR",'Raw_Data'!$E$2:$E$59,"สายวิชาชีพสาธารณสุข"),"")</x:f>
        <x:v>100</x:v>
      </x:c>
      <x:c r="AB12" s="131" t="n">
        <x:f>IFERROR(100*COUNTIFS('Raw_Data'!$O$2:$O$59,"&gt;=4",'Raw_Data'!$O$2:$O$59,"&lt;=5",'Raw_Data'!$A$2:$A$59,"Yes",'Raw_Data'!$D$2:$D$59,"การเงิน",'Raw_Data'!$E$2:$E$59,"สายสนับสนุนทั่วไป")/COUNTIFS('Raw_Data'!$O$2:$O$59,"&gt;=1",'Raw_Data'!$O$2:$O$59,"&lt;=5",'Raw_Data'!$A$2:$A$59,"Yes",'Raw_Data'!$D$2:$D$59,"การเงิน",'Raw_Data'!$E$2:$E$59,"สายสนับสนุนทั่วไป"),"")</x:f>
        <x:v>66.66666666666667</x:v>
      </x:c>
      <x:c r="AC12" s="131" t="n">
        <x:f>IFERROR(100*COUNTIFS('Raw_Data'!$O$2:$O$59,"&gt;=4",'Raw_Data'!$O$2:$O$59,"&lt;=5",'Raw_Data'!$A$2:$A$59,"Yes",'Raw_Data'!$D$2:$D$59,"เคหรักษ์",'Raw_Data'!$E$2:$E$59,"สายสนับสนุนทั่วไป")/COUNTIFS('Raw_Data'!$O$2:$O$59,"&gt;=1",'Raw_Data'!$O$2:$O$59,"&lt;=5",'Raw_Data'!$A$2:$A$59,"Yes",'Raw_Data'!$D$2:$D$59,"เคหรักษ์",'Raw_Data'!$E$2:$E$59,"สายสนับสนุนทั่วไป"),"")</x:f>
        <x:v>0</x:v>
      </x:c>
      <x:c r="AD12" s="131" t="n">
        <x:f>IFERROR(100*COUNTIFS('Raw_Data'!$O$2:$O$59,"&gt;=4",'Raw_Data'!$O$2:$O$59,"&lt;=5",'Raw_Data'!$A$2:$A$59,"Yes",'Raw_Data'!$D$2:$D$59,"จ่ายกลาง",'Raw_Data'!$E$2:$E$59,"สายสนับสนุนทั่วไป")/COUNTIFS('Raw_Data'!$O$2:$O$59,"&gt;=1",'Raw_Data'!$O$2:$O$59,"&lt;=5",'Raw_Data'!$A$2:$A$59,"Yes",'Raw_Data'!$D$2:$D$59,"จ่ายกลาง",'Raw_Data'!$E$2:$E$59,"สายสนับสนุนทั่วไป"),"")</x:f>
        <x:v>100</x:v>
      </x:c>
      <x:c r="AE12" s="131" t="n">
        <x:f>IFERROR(100*COUNTIFS('Raw_Data'!$O$2:$O$59,"&gt;=4",'Raw_Data'!$O$2:$O$59,"&lt;=5",'Raw_Data'!$A$2:$A$59,"Yes",'Raw_Data'!$D$2:$D$59,"ช่างและสนาม",'Raw_Data'!$E$2:$E$59,"สายสนับสนุนทั่วไป")/COUNTIFS('Raw_Data'!$O$2:$O$59,"&gt;=1",'Raw_Data'!$O$2:$O$59,"&lt;=5",'Raw_Data'!$A$2:$A$59,"Yes",'Raw_Data'!$D$2:$D$59,"ช่างและสนาม",'Raw_Data'!$E$2:$E$59,"สายสนับสนุนทั่วไป"),"")</x:f>
        <x:v>50</x:v>
      </x:c>
      <x:c r="AF12" s="131" t="n">
        <x:f>IFERROR(100*COUNTIFS('Raw_Data'!$O$2:$O$59,"&gt;=4",'Raw_Data'!$O$2:$O$59,"&lt;=5",'Raw_Data'!$A$2:$A$59,"Yes",'Raw_Data'!$D$2:$D$59,"ผู้ป่วยสัมพันธ์",'Raw_Data'!$E$2:$E$59,"สายสนับสนุนทั่วไป")/COUNTIFS('Raw_Data'!$O$2:$O$59,"&gt;=1",'Raw_Data'!$O$2:$O$59,"&lt;=5",'Raw_Data'!$A$2:$A$59,"Yes",'Raw_Data'!$D$2:$D$59,"ผู้ป่วยสัมพันธ์",'Raw_Data'!$E$2:$E$59,"สายสนับสนุนทั่วไป"),"")</x:f>
        <x:v>100</x:v>
      </x:c>
      <x:c r="AG12" s="131" t="n">
        <x:f>IFERROR(100*COUNTIFS('Raw_Data'!$O$2:$O$59,"&gt;=4",'Raw_Data'!$O$2:$O$59,"&lt;=5",'Raw_Data'!$A$2:$A$59,"Yes",'Raw_Data'!$D$2:$D$59,"ยานพาหนะ",'Raw_Data'!$E$2:$E$59,"สายสนับสนุนทั่วไป")/COUNTIFS('Raw_Data'!$O$2:$O$59,"&gt;=1",'Raw_Data'!$O$2:$O$59,"&lt;=5",'Raw_Data'!$A$2:$A$59,"Yes",'Raw_Data'!$D$2:$D$59,"ยานพาหนะ",'Raw_Data'!$E$2:$E$59,"สายสนับสนุนทั่วไป"),"")</x:f>
        <x:v>100</x:v>
      </x:c>
      <x:c r="AH12" s="131" t="n">
        <x:f>IFERROR(100*COUNTIFS('Raw_Data'!$O$2:$O$59,"&gt;=4",'Raw_Data'!$O$2:$O$59,"&lt;=5",'Raw_Data'!$A$2:$A$59,"Yes",'Raw_Data'!$D$2:$D$59,"สื่อสารการตลาด",'Raw_Data'!$E$2:$E$59,"สายสนับสนุนทั่วไป")/COUNTIFS('Raw_Data'!$O$2:$O$59,"&gt;=1",'Raw_Data'!$O$2:$O$59,"&lt;=5",'Raw_Data'!$A$2:$A$59,"Yes",'Raw_Data'!$D$2:$D$59,"สื่อสารการตลาด",'Raw_Data'!$E$2:$E$59,"สายสนับสนุนทั่วไป"),"")</x:f>
        <x:v>100</x:v>
      </x:c>
      <x:c r="AI12" s="131" t="n">
        <x:f>IFERROR(100*COUNTIFS('Raw_Data'!$O$2:$O$59,"&gt;=4",'Raw_Data'!$O$2:$O$59,"&lt;=5",'Raw_Data'!$A$2:$A$59,"Yes",'Raw_Data'!$D$2:$D$59,"ERและเปล",'Raw_Data'!$E$2:$E$59,"สายสนับสนุนทั่วไป")/COUNTIFS('Raw_Data'!$O$2:$O$59,"&gt;=1",'Raw_Data'!$O$2:$O$59,"&lt;=5",'Raw_Data'!$A$2:$A$59,"Yes",'Raw_Data'!$D$2:$D$59,"ERและเปล",'Raw_Data'!$E$2:$E$59,"สายสนับสนุนทั่วไป"),"")</x:f>
        <x:v>66.66666666666667</x:v>
      </x:c>
      <x:c r="AJ12" s="131" t="n">
        <x:f>IFERROR(100*COUNTIFS('Raw_Data'!$O$2:$O$59,"&gt;=4",'Raw_Data'!$O$2:$O$59,"&lt;=5",'Raw_Data'!$A$2:$A$59,"Yes",'Raw_Data'!$D$2:$D$59,"HR",'Raw_Data'!$E$2:$E$59,"สายสนับสนุนทั่วไป")/COUNTIFS('Raw_Data'!$O$2:$O$59,"&gt;=1",'Raw_Data'!$O$2:$O$59,"&lt;=5",'Raw_Data'!$A$2:$A$59,"Yes",'Raw_Data'!$D$2:$D$59,"HR",'Raw_Data'!$E$2:$E$59,"สายสนับสนุนทั่วไป"),"")</x:f>
        <x:v>100</x:v>
      </x:c>
      <x:c r="AK12" s="131" t="n">
        <x:f>IFERROR(100*COUNTIFS('Raw_Data'!$O$2:$O$59,"&gt;=4",'Raw_Data'!$O$2:$O$59,"&lt;=5",'Raw_Data'!$A$2:$A$59,"Yes",'Raw_Data'!$D$2:$D$59,"ICU",'Raw_Data'!$E$2:$E$59,"สายสนับสนุนทั่วไป")/COUNTIFS('Raw_Data'!$O$2:$O$59,"&gt;=1",'Raw_Data'!$O$2:$O$59,"&lt;=5",'Raw_Data'!$A$2:$A$59,"Yes",'Raw_Data'!$D$2:$D$59,"ICU",'Raw_Data'!$E$2:$E$59,"สายสนับสนุนทั่วไป"),"")</x:f>
        <x:v>0</x:v>
      </x:c>
      <x:c r="AL12" s="131" t="n">
        <x:f>IFERROR(100*COUNTIFS('Raw_Data'!$O$2:$O$59,"&gt;=4",'Raw_Data'!$O$2:$O$59,"&lt;=5",'Raw_Data'!$A$2:$A$59,"Yes",'Raw_Data'!$D$2:$D$59,"IPD",'Raw_Data'!$E$2:$E$59,"สายสนับสนุนทั่วไป")/COUNTIFS('Raw_Data'!$O$2:$O$59,"&gt;=1",'Raw_Data'!$O$2:$O$59,"&lt;=5",'Raw_Data'!$A$2:$A$59,"Yes",'Raw_Data'!$D$2:$D$59,"IPD",'Raw_Data'!$E$2:$E$59,"สายสนับสนุนทั่วไป"),"")</x:f>
        <x:v>0</x:v>
      </x:c>
      <x:c r="AM12" s="131" t="n">
        <x:f>IFERROR(100*COUNTIFS('Raw_Data'!$O$2:$O$59,"&gt;=4",'Raw_Data'!$O$2:$O$59,"&lt;=5",'Raw_Data'!$A$2:$A$59,"Yes",'Raw_Data'!$D$2:$D$59,"IT",'Raw_Data'!$E$2:$E$59,"สายสนับสนุนทั่วไป")/COUNTIFS('Raw_Data'!$O$2:$O$59,"&gt;=1",'Raw_Data'!$O$2:$O$59,"&lt;=5",'Raw_Data'!$A$2:$A$59,"Yes",'Raw_Data'!$D$2:$D$59,"IT",'Raw_Data'!$E$2:$E$59,"สายสนับสนุนทั่วไป"),"")</x:f>
        <x:v>0</x:v>
      </x:c>
      <x:c r="AN12" s="131" t="n">
        <x:f>IFERROR(100*COUNTIFS('Raw_Data'!$O$2:$O$59,"&gt;=4",'Raw_Data'!$O$2:$O$59,"&lt;=5",'Raw_Data'!$A$2:$A$59,"Yes",'Raw_Data'!$D$2:$D$59,"ผู้ป่วยสัมพันธ์",'Raw_Data'!$E$2:$E$59,"สายสนับสนุนทางการแพทย์")/COUNTIFS('Raw_Data'!$O$2:$O$59,"&gt;=1",'Raw_Data'!$O$2:$O$59,"&lt;=5",'Raw_Data'!$A$2:$A$59,"Yes",'Raw_Data'!$D$2:$D$59,"ผู้ป่วยสัมพันธ์",'Raw_Data'!$E$2:$E$59,"สายสนับสนุนทางการแพทย์"),"")</x:f>
        <x:v>66.66666666666667</x:v>
      </x:c>
      <x:c r="AO12" s="131" t="n">
        <x:f>IFERROR(100*COUNTIFS('Raw_Data'!$O$2:$O$59,"&gt;=4",'Raw_Data'!$O$2:$O$59,"&lt;=5",'Raw_Data'!$A$2:$A$59,"Yes",'Raw_Data'!$D$2:$D$59,"ฝ่ายการพยาบาล",'Raw_Data'!$E$2:$E$59,"สายสนับสนุนทางการแพทย์")/COUNTIFS('Raw_Data'!$O$2:$O$59,"&gt;=1",'Raw_Data'!$O$2:$O$59,"&lt;=5",'Raw_Data'!$A$2:$A$59,"Yes",'Raw_Data'!$D$2:$D$59,"ฝ่ายการพยาบาล",'Raw_Data'!$E$2:$E$59,"สายสนับสนุนทางการแพทย์"),"")</x:f>
        <x:v>100</x:v>
      </x:c>
      <x:c r="AP12" s="131" t="n">
        <x:f>IFERROR(100*COUNTIFS('Raw_Data'!$O$2:$O$59,"&gt;=4",'Raw_Data'!$O$2:$O$59,"&lt;=5",'Raw_Data'!$A$2:$A$59,"Yes",'Raw_Data'!$D$2:$D$59,"โภชนาการ",'Raw_Data'!$E$2:$E$59,"สายสนับสนุนทางการแพทย์")/COUNTIFS('Raw_Data'!$O$2:$O$59,"&gt;=1",'Raw_Data'!$O$2:$O$59,"&lt;=5",'Raw_Data'!$A$2:$A$59,"Yes",'Raw_Data'!$D$2:$D$59,"โภชนาการ",'Raw_Data'!$E$2:$E$59,"สายสนับสนุนทางการแพทย์"),"")</x:f>
        <x:v>0</x:v>
      </x:c>
      <x:c r="AQ12" s="131" t="n">
        <x:f>IFERROR(100*COUNTIFS('Raw_Data'!$O$2:$O$59,"&gt;=4",'Raw_Data'!$O$2:$O$59,"&lt;=5",'Raw_Data'!$A$2:$A$59,"Yes",'Raw_Data'!$D$2:$D$59,"ห้องยา",'Raw_Data'!$E$2:$E$59,"สายสนับสนุนทางการแพทย์")/COUNTIFS('Raw_Data'!$O$2:$O$59,"&gt;=1",'Raw_Data'!$O$2:$O$59,"&lt;=5",'Raw_Data'!$A$2:$A$59,"Yes",'Raw_Data'!$D$2:$D$59,"ห้องยา",'Raw_Data'!$E$2:$E$59,"สายสนับสนุนทางการแพทย์"),"")</x:f>
        <x:v>50</x:v>
      </x:c>
      <x:c r="AR12" s="131" t="n">
        <x:f>IFERROR(100*COUNTIFS('Raw_Data'!$O$2:$O$59,"&gt;=4",'Raw_Data'!$O$2:$O$59,"&lt;=5",'Raw_Data'!$A$2:$A$59,"Yes",'Raw_Data'!$D$2:$D$59,"ห้องแลป",'Raw_Data'!$E$2:$E$59,"สายสนับสนุนทางการแพทย์")/COUNTIFS('Raw_Data'!$O$2:$O$59,"&gt;=1",'Raw_Data'!$O$2:$O$59,"&lt;=5",'Raw_Data'!$A$2:$A$59,"Yes",'Raw_Data'!$D$2:$D$59,"ห้องแลป",'Raw_Data'!$E$2:$E$59,"สายสนับสนุนทางการแพทย์"),"")</x:f>
        <x:v>0</x:v>
      </x:c>
      <x:c r="AS12" s="131" t="n">
        <x:f>IFERROR(100*COUNTIFS('Raw_Data'!$O$2:$O$59,"&gt;=4",'Raw_Data'!$O$2:$O$59,"&lt;=5",'Raw_Data'!$A$2:$A$59,"Yes",'Raw_Data'!$D$2:$D$59,"ห้องเอ็กซเรย์",'Raw_Data'!$E$2:$E$59,"สายสนับสนุนทางการแพทย์")/COUNTIFS('Raw_Data'!$O$2:$O$59,"&gt;=1",'Raw_Data'!$O$2:$O$59,"&lt;=5",'Raw_Data'!$A$2:$A$59,"Yes",'Raw_Data'!$D$2:$D$59,"ห้องเอ็กซเรย์",'Raw_Data'!$E$2:$E$59,"สายสนับสนุนทางการแพทย์"),"")</x:f>
        <x:v>100</x:v>
      </x:c>
      <x:c r="AT12" s="131" t="n">
        <x:f>IFERROR(100*COUNTIFS('Raw_Data'!$O$2:$O$59,"&gt;=4",'Raw_Data'!$O$2:$O$59,"&lt;=5",'Raw_Data'!$A$2:$A$59,"Yes",'Raw_Data'!$D$2:$D$59,"ERและเปล",'Raw_Data'!$E$2:$E$59,"สายสนับสนุนทางการแพทย์")/COUNTIFS('Raw_Data'!$O$2:$O$59,"&gt;=1",'Raw_Data'!$O$2:$O$59,"&lt;=5",'Raw_Data'!$A$2:$A$59,"Yes",'Raw_Data'!$D$2:$D$59,"ERและเปล",'Raw_Data'!$E$2:$E$59,"สายสนับสนุนทางการแพทย์"),"")</x:f>
        <x:v>100</x:v>
      </x:c>
      <x:c r="AU12" s="131" t="n">
        <x:f>IFERROR(100*COUNTIFS('Raw_Data'!$O$2:$O$59,"&gt;=4",'Raw_Data'!$O$2:$O$59,"&lt;=5",'Raw_Data'!$A$2:$A$59,"Yes",'Raw_Data'!$D$2:$D$59,"ICU",'Raw_Data'!$E$2:$E$59,"สายสนับสนุนทางการแพทย์")/COUNTIFS('Raw_Data'!$O$2:$O$59,"&gt;=1",'Raw_Data'!$O$2:$O$59,"&lt;=5",'Raw_Data'!$A$2:$A$59,"Yes",'Raw_Data'!$D$2:$D$59,"ICU",'Raw_Data'!$E$2:$E$59,"สายสนับสนุนทางการแพทย์"),"")</x:f>
        <x:v>100</x:v>
      </x:c>
      <x:c r="AV12" s="131" t="n">
        <x:f>IFERROR(100*COUNTIFS('Raw_Data'!$O$2:$O$59,"&gt;=4",'Raw_Data'!$O$2:$O$59,"&lt;=5",'Raw_Data'!$A$2:$A$59,"Yes",'Raw_Data'!$D$2:$D$59,"IPD",'Raw_Data'!$E$2:$E$59,"สายสนับสนุนทางการแพทย์")/COUNTIFS('Raw_Data'!$O$2:$O$59,"&gt;=1",'Raw_Data'!$O$2:$O$59,"&lt;=5",'Raw_Data'!$A$2:$A$59,"Yes",'Raw_Data'!$D$2:$D$59,"IPD",'Raw_Data'!$E$2:$E$59,"สายสนับสนุนทางการแพทย์"),"")</x:f>
        <x:v>100</x:v>
      </x:c>
      <x:c r="AW12" s="131" t="n">
        <x:f>IFERROR(100*COUNTIFS('Raw_Data'!$O$2:$O$59,"&gt;=4",'Raw_Data'!$O$2:$O$59,"&lt;=5",'Raw_Data'!$A$2:$A$59,"Yes",'Raw_Data'!$D$2:$D$59,"IT",'Raw_Data'!$E$2:$E$59,"สายสนับสนุนทางการแพทย์")/COUNTIFS('Raw_Data'!$O$2:$O$59,"&gt;=1",'Raw_Data'!$O$2:$O$59,"&lt;=5",'Raw_Data'!$A$2:$A$59,"Yes",'Raw_Data'!$D$2:$D$59,"IT",'Raw_Data'!$E$2:$E$59,"สายสนับสนุนทางการแพทย์"),"")</x:f>
        <x:v>100</x:v>
      </x:c>
    </x:row>
    <x:row r="13" ht="42" customHeight="1">
      <x:c r="A13" s="123"/>
      <x:c r="B13" s="124" t="str">
        <x:v>A14. 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x:v>
      </x:c>
      <x:c r="C13" s="131" t="n">
        <x:f>IFERROR(100*COUNTIFS('Raw_Data'!$P$2:$P$59,"&gt;=1",'Raw_Data'!$P$2:$P$59,"&lt;=2",'Raw_Data'!$A$2:$A$59,"Yes")/COUNTIFS('Raw_Data'!$P$2:$P$59,"&gt;=1",'Raw_Data'!$P$2:$P$59,"&lt;=5",'Raw_Data'!$A$2:$A$59,"Yes"),"")</x:f>
        <x:v>50</x:v>
      </x:c>
      <x:c r="D13" s="131" t="n">
        <x:f>IFERROR(100*COUNTIFS('Raw_Data'!$P$2:$P$59,"&gt;=1",'Raw_Data'!$P$2:$P$59,"&lt;=2",'Raw_Data'!$A$2:$A$59,"Yes",'Raw_Data'!$D$2:$D$59,"การเงิน")/COUNTIFS('Raw_Data'!$P$2:$P$59,"&gt;=1",'Raw_Data'!$P$2:$P$59,"&lt;=5",'Raw_Data'!$A$2:$A$59,"Yes",'Raw_Data'!$D$2:$D$59,"การเงิน"),"")</x:f>
        <x:v>33.333333333333336</x:v>
      </x:c>
      <x:c r="E13" s="131" t="n">
        <x:f>IFERROR(100*COUNTIFS('Raw_Data'!$P$2:$P$59,"&gt;=1",'Raw_Data'!$P$2:$P$59,"&lt;=2",'Raw_Data'!$A$2:$A$59,"Yes",'Raw_Data'!$D$2:$D$59,"เคหรักษ์")/COUNTIFS('Raw_Data'!$P$2:$P$59,"&gt;=1",'Raw_Data'!$P$2:$P$59,"&lt;=5",'Raw_Data'!$A$2:$A$59,"Yes",'Raw_Data'!$D$2:$D$59,"เคหรักษ์"),"")</x:f>
        <x:v>0</x:v>
      </x:c>
      <x:c r="F13" s="131" t="n">
        <x:f>IFERROR(100*COUNTIFS('Raw_Data'!$P$2:$P$59,"&gt;=1",'Raw_Data'!$P$2:$P$59,"&lt;=2",'Raw_Data'!$A$2:$A$59,"Yes",'Raw_Data'!$D$2:$D$59,"จ่ายกลาง")/COUNTIFS('Raw_Data'!$P$2:$P$59,"&gt;=1",'Raw_Data'!$P$2:$P$59,"&lt;=5",'Raw_Data'!$A$2:$A$59,"Yes",'Raw_Data'!$D$2:$D$59,"จ่ายกลาง"),"")</x:f>
        <x:v>0</x:v>
      </x:c>
      <x:c r="G13" s="131" t="n">
        <x:f>IFERROR(100*COUNTIFS('Raw_Data'!$P$2:$P$59,"&gt;=1",'Raw_Data'!$P$2:$P$59,"&lt;=2",'Raw_Data'!$A$2:$A$59,"Yes",'Raw_Data'!$D$2:$D$59,"ช่างและสนาม")/COUNTIFS('Raw_Data'!$P$2:$P$59,"&gt;=1",'Raw_Data'!$P$2:$P$59,"&lt;=5",'Raw_Data'!$A$2:$A$59,"Yes",'Raw_Data'!$D$2:$D$59,"ช่างและสนาม"),"")</x:f>
        <x:v>75</x:v>
      </x:c>
      <x:c r="H13" s="131" t="n">
        <x:f>IFERROR(100*COUNTIFS('Raw_Data'!$P$2:$P$59,"&gt;=1",'Raw_Data'!$P$2:$P$59,"&lt;=2",'Raw_Data'!$A$2:$A$59,"Yes",'Raw_Data'!$D$2:$D$59,"ผู้ป่วยสัมพันธ์")/COUNTIFS('Raw_Data'!$P$2:$P$59,"&gt;=1",'Raw_Data'!$P$2:$P$59,"&lt;=5",'Raw_Data'!$A$2:$A$59,"Yes",'Raw_Data'!$D$2:$D$59,"ผู้ป่วยสัมพันธ์"),"")</x:f>
        <x:v>50</x:v>
      </x:c>
      <x:c r="I13" s="131" t="n">
        <x:f>IFERROR(100*COUNTIFS('Raw_Data'!$P$2:$P$59,"&gt;=1",'Raw_Data'!$P$2:$P$59,"&lt;=2",'Raw_Data'!$A$2:$A$59,"Yes",'Raw_Data'!$D$2:$D$59,"ฝ่ายการพยาบาล")/COUNTIFS('Raw_Data'!$P$2:$P$59,"&gt;=1",'Raw_Data'!$P$2:$P$59,"&lt;=5",'Raw_Data'!$A$2:$A$59,"Yes",'Raw_Data'!$D$2:$D$59,"ฝ่ายการพยาบาล"),"")</x:f>
        <x:v>50</x:v>
      </x:c>
      <x:c r="J13" s="131" t="n">
        <x:f>IFERROR(100*COUNTIFS('Raw_Data'!$P$2:$P$59,"&gt;=1",'Raw_Data'!$P$2:$P$59,"&lt;=2",'Raw_Data'!$A$2:$A$59,"Yes",'Raw_Data'!$D$2:$D$59,"โภชนาการ")/COUNTIFS('Raw_Data'!$P$2:$P$59,"&gt;=1",'Raw_Data'!$P$2:$P$59,"&lt;=5",'Raw_Data'!$A$2:$A$59,"Yes",'Raw_Data'!$D$2:$D$59,"โภชนาการ"),"")</x:f>
        <x:v>100</x:v>
      </x:c>
      <x:c r="K13" s="131" t="n">
        <x:f>IFERROR(100*COUNTIFS('Raw_Data'!$P$2:$P$59,"&gt;=1",'Raw_Data'!$P$2:$P$59,"&lt;=2",'Raw_Data'!$A$2:$A$59,"Yes",'Raw_Data'!$D$2:$D$59,"ยานพาหนะ")/COUNTIFS('Raw_Data'!$P$2:$P$59,"&gt;=1",'Raw_Data'!$P$2:$P$59,"&lt;=5",'Raw_Data'!$A$2:$A$59,"Yes",'Raw_Data'!$D$2:$D$59,"ยานพาหนะ"),"")</x:f>
        <x:v>100</x:v>
      </x:c>
      <x:c r="L13" s="131" t="n">
        <x:f>IFERROR(100*COUNTIFS('Raw_Data'!$P$2:$P$59,"&gt;=1",'Raw_Data'!$P$2:$P$59,"&lt;=2",'Raw_Data'!$A$2:$A$59,"Yes",'Raw_Data'!$D$2:$D$59,"สื่อสารการตลาด")/COUNTIFS('Raw_Data'!$P$2:$P$59,"&gt;=1",'Raw_Data'!$P$2:$P$59,"&lt;=5",'Raw_Data'!$A$2:$A$59,"Yes",'Raw_Data'!$D$2:$D$59,"สื่อสารการตลาด"),"")</x:f>
        <x:v>0</x:v>
      </x:c>
      <x:c r="M13" s="131" t="n">
        <x:f>IFERROR(100*COUNTIFS('Raw_Data'!$P$2:$P$59,"&gt;=1",'Raw_Data'!$P$2:$P$59,"&lt;=2",'Raw_Data'!$A$2:$A$59,"Yes",'Raw_Data'!$D$2:$D$59,"ห้องยา")/COUNTIFS('Raw_Data'!$P$2:$P$59,"&gt;=1",'Raw_Data'!$P$2:$P$59,"&lt;=5",'Raw_Data'!$A$2:$A$59,"Yes",'Raw_Data'!$D$2:$D$59,"ห้องยา"),"")</x:f>
        <x:v>33.333333333333336</x:v>
      </x:c>
      <x:c r="N13" s="131" t="n">
        <x:f>IFERROR(100*COUNTIFS('Raw_Data'!$P$2:$P$59,"&gt;=1",'Raw_Data'!$P$2:$P$59,"&lt;=2",'Raw_Data'!$A$2:$A$59,"Yes",'Raw_Data'!$D$2:$D$59,"ห้องแลป")/COUNTIFS('Raw_Data'!$P$2:$P$59,"&gt;=1",'Raw_Data'!$P$2:$P$59,"&lt;=5",'Raw_Data'!$A$2:$A$59,"Yes",'Raw_Data'!$D$2:$D$59,"ห้องแลป"),"")</x:f>
        <x:v>50</x:v>
      </x:c>
      <x:c r="O13" s="131" t="n">
        <x:f>IFERROR(100*COUNTIFS('Raw_Data'!$P$2:$P$59,"&gt;=1",'Raw_Data'!$P$2:$P$59,"&lt;=2",'Raw_Data'!$A$2:$A$59,"Yes",'Raw_Data'!$D$2:$D$59,"ห้องเอ็กซเรย์")/COUNTIFS('Raw_Data'!$P$2:$P$59,"&gt;=1",'Raw_Data'!$P$2:$P$59,"&lt;=5",'Raw_Data'!$A$2:$A$59,"Yes",'Raw_Data'!$D$2:$D$59,"ห้องเอ็กซเรย์"),"")</x:f>
        <x:v>66.66666666666667</x:v>
      </x:c>
      <x:c r="P13" s="131" t="n">
        <x:f>IFERROR(100*COUNTIFS('Raw_Data'!$P$2:$P$59,"&gt;=1",'Raw_Data'!$P$2:$P$59,"&lt;=2",'Raw_Data'!$A$2:$A$59,"Yes",'Raw_Data'!$D$2:$D$59,"ERและเปล")/COUNTIFS('Raw_Data'!$P$2:$P$59,"&gt;=1",'Raw_Data'!$P$2:$P$59,"&lt;=5",'Raw_Data'!$A$2:$A$59,"Yes",'Raw_Data'!$D$2:$D$59,"ERและเปล"),"")</x:f>
        <x:v>45.45454545454545</x:v>
      </x:c>
      <x:c r="Q13" s="131" t="n">
        <x:f>IFERROR(100*COUNTIFS('Raw_Data'!$P$2:$P$59,"&gt;=1",'Raw_Data'!$P$2:$P$59,"&lt;=2",'Raw_Data'!$A$2:$A$59,"Yes",'Raw_Data'!$D$2:$D$59,"HR")/COUNTIFS('Raw_Data'!$P$2:$P$59,"&gt;=1",'Raw_Data'!$P$2:$P$59,"&lt;=5",'Raw_Data'!$A$2:$A$59,"Yes",'Raw_Data'!$D$2:$D$59,"HR"),"")</x:f>
        <x:v>0</x:v>
      </x:c>
      <x:c r="R13" s="131" t="n">
        <x:f>IFERROR(100*COUNTIFS('Raw_Data'!$P$2:$P$59,"&gt;=1",'Raw_Data'!$P$2:$P$59,"&lt;=2",'Raw_Data'!$A$2:$A$59,"Yes",'Raw_Data'!$D$2:$D$59,"ICU")/COUNTIFS('Raw_Data'!$P$2:$P$59,"&gt;=1",'Raw_Data'!$P$2:$P$59,"&lt;=5",'Raw_Data'!$A$2:$A$59,"Yes",'Raw_Data'!$D$2:$D$59,"ICU"),"")</x:f>
        <x:v>50</x:v>
      </x:c>
      <x:c r="S13" s="131" t="n">
        <x:f>IFERROR(100*COUNTIFS('Raw_Data'!$P$2:$P$59,"&gt;=1",'Raw_Data'!$P$2:$P$59,"&lt;=2",'Raw_Data'!$A$2:$A$59,"Yes",'Raw_Data'!$D$2:$D$59,"IPD")/COUNTIFS('Raw_Data'!$P$2:$P$59,"&gt;=1",'Raw_Data'!$P$2:$P$59,"&lt;=5",'Raw_Data'!$A$2:$A$59,"Yes",'Raw_Data'!$D$2:$D$59,"IPD"),"")</x:f>
        <x:v>50</x:v>
      </x:c>
      <x:c r="T13" s="131" t="n">
        <x:f>IFERROR(100*COUNTIFS('Raw_Data'!$P$2:$P$59,"&gt;=1",'Raw_Data'!$P$2:$P$59,"&lt;=2",'Raw_Data'!$A$2:$A$59,"Yes",'Raw_Data'!$D$2:$D$59,"IT")/COUNTIFS('Raw_Data'!$P$2:$P$59,"&gt;=1",'Raw_Data'!$P$2:$P$59,"&lt;=5",'Raw_Data'!$A$2:$A$59,"Yes",'Raw_Data'!$D$2:$D$59,"IT"),"")</x:f>
        <x:v>50</x:v>
      </x:c>
      <x:c r="U13" s="131" t="n">
        <x:f>IFERROR(100*COUNTIFS('Raw_Data'!$P$2:$P$59,"&gt;=1",'Raw_Data'!$P$2:$P$59,"&lt;=2",'Raw_Data'!$A$2:$A$59,"Yes",'Raw_Data'!$D$2:$D$59,"OR")/COUNTIFS('Raw_Data'!$P$2:$P$59,"&gt;=1",'Raw_Data'!$P$2:$P$59,"&lt;=5",'Raw_Data'!$A$2:$A$59,"Yes",'Raw_Data'!$D$2:$D$59,"OR"),"")</x:f>
        <x:v>100</x:v>
      </x:c>
      <x:c r="V13" s="131" t="n">
        <x:f>IFERROR(100*COUNTIFS('Raw_Data'!$P$2:$P$59,"&gt;=1",'Raw_Data'!$P$2:$P$59,"&lt;=2",'Raw_Data'!$A$2:$A$59,"Yes",'Raw_Data'!$D$2:$D$59,"IPD",'Raw_Data'!$E$2:$E$59,"ผู้บริหาร")/COUNTIFS('Raw_Data'!$P$2:$P$59,"&gt;=1",'Raw_Data'!$P$2:$P$59,"&lt;=5",'Raw_Data'!$A$2:$A$59,"Yes",'Raw_Data'!$D$2:$D$59,"IPD",'Raw_Data'!$E$2:$E$59,"ผู้บริหาร"),"")</x:f>
        <x:v>100</x:v>
      </x:c>
      <x:c r="W13" s="131" t="n">
        <x:f>IFERROR(100*COUNTIFS('Raw_Data'!$P$2:$P$59,"&gt;=1",'Raw_Data'!$P$2:$P$59,"&lt;=2",'Raw_Data'!$A$2:$A$59,"Yes",'Raw_Data'!$D$2:$D$59,"ฝ่ายการพยาบาล",'Raw_Data'!$E$2:$E$59,"สายวิชาชีพสาธารณสุข")/COUNTIFS('Raw_Data'!$P$2:$P$59,"&gt;=1",'Raw_Data'!$P$2:$P$59,"&lt;=5",'Raw_Data'!$A$2:$A$59,"Yes",'Raw_Data'!$D$2:$D$59,"ฝ่ายการพยาบาล",'Raw_Data'!$E$2:$E$59,"สายวิชาชีพสาธารณสุข"),"")</x:f>
        <x:v>0</x:v>
      </x:c>
      <x:c r="X13" s="131" t="n">
        <x:f>IFERROR(100*COUNTIFS('Raw_Data'!$P$2:$P$59,"&gt;=1",'Raw_Data'!$P$2:$P$59,"&lt;=2",'Raw_Data'!$A$2:$A$59,"Yes",'Raw_Data'!$D$2:$D$59,"ERและเปล",'Raw_Data'!$E$2:$E$59,"สายวิชาชีพสาธารณสุข")/COUNTIFS('Raw_Data'!$P$2:$P$59,"&gt;=1",'Raw_Data'!$P$2:$P$59,"&lt;=5",'Raw_Data'!$A$2:$A$59,"Yes",'Raw_Data'!$D$2:$D$59,"ERและเปล",'Raw_Data'!$E$2:$E$59,"สายวิชาชีพสาธารณสุข"),"")</x:f>
        <x:v>42.857142857142854</x:v>
      </x:c>
      <x:c r="Y13" s="131" t="n">
        <x:f>IFERROR(100*COUNTIFS('Raw_Data'!$P$2:$P$59,"&gt;=1",'Raw_Data'!$P$2:$P$59,"&lt;=2",'Raw_Data'!$A$2:$A$59,"Yes",'Raw_Data'!$D$2:$D$59,"ICU",'Raw_Data'!$E$2:$E$59,"สายวิชาชีพสาธารณสุข")/COUNTIFS('Raw_Data'!$P$2:$P$59,"&gt;=1",'Raw_Data'!$P$2:$P$59,"&lt;=5",'Raw_Data'!$A$2:$A$59,"Yes",'Raw_Data'!$D$2:$D$59,"ICU",'Raw_Data'!$E$2:$E$59,"สายวิชาชีพสาธารณสุข"),"")</x:f>
        <x:v>50</x:v>
      </x:c>
      <x:c r="Z13" s="131" t="n">
        <x:f>IFERROR(100*COUNTIFS('Raw_Data'!$P$2:$P$59,"&gt;=1",'Raw_Data'!$P$2:$P$59,"&lt;=2",'Raw_Data'!$A$2:$A$59,"Yes",'Raw_Data'!$D$2:$D$59,"IPD",'Raw_Data'!$E$2:$E$59,"สายวิชาชีพสาธารณสุข")/COUNTIFS('Raw_Data'!$P$2:$P$59,"&gt;=1",'Raw_Data'!$P$2:$P$59,"&lt;=5",'Raw_Data'!$A$2:$A$59,"Yes",'Raw_Data'!$D$2:$D$59,"IPD",'Raw_Data'!$E$2:$E$59,"สายวิชาชีพสาธารณสุข"),"")</x:f>
        <x:v>50</x:v>
      </x:c>
      <x:c r="AA13" s="131" t="n">
        <x:f>IFERROR(100*COUNTIFS('Raw_Data'!$P$2:$P$59,"&gt;=1",'Raw_Data'!$P$2:$P$59,"&lt;=2",'Raw_Data'!$A$2:$A$59,"Yes",'Raw_Data'!$D$2:$D$59,"OR",'Raw_Data'!$E$2:$E$59,"สายวิชาชีพสาธารณสุข")/COUNTIFS('Raw_Data'!$P$2:$P$59,"&gt;=1",'Raw_Data'!$P$2:$P$59,"&lt;=5",'Raw_Data'!$A$2:$A$59,"Yes",'Raw_Data'!$D$2:$D$59,"OR",'Raw_Data'!$E$2:$E$59,"สายวิชาชีพสาธารณสุข"),"")</x:f>
        <x:v>100</x:v>
      </x:c>
      <x:c r="AB13" s="131" t="n">
        <x:f>IFERROR(100*COUNTIFS('Raw_Data'!$P$2:$P$59,"&gt;=1",'Raw_Data'!$P$2:$P$59,"&lt;=2",'Raw_Data'!$A$2:$A$59,"Yes",'Raw_Data'!$D$2:$D$59,"การเงิน",'Raw_Data'!$E$2:$E$59,"สายสนับสนุนทั่วไป")/COUNTIFS('Raw_Data'!$P$2:$P$59,"&gt;=1",'Raw_Data'!$P$2:$P$59,"&lt;=5",'Raw_Data'!$A$2:$A$59,"Yes",'Raw_Data'!$D$2:$D$59,"การเงิน",'Raw_Data'!$E$2:$E$59,"สายสนับสนุนทั่วไป"),"")</x:f>
        <x:v>33.333333333333336</x:v>
      </x:c>
      <x:c r="AC13" s="131" t="n">
        <x:f>IFERROR(100*COUNTIFS('Raw_Data'!$P$2:$P$59,"&gt;=1",'Raw_Data'!$P$2:$P$59,"&lt;=2",'Raw_Data'!$A$2:$A$59,"Yes",'Raw_Data'!$D$2:$D$59,"เคหรักษ์",'Raw_Data'!$E$2:$E$59,"สายสนับสนุนทั่วไป")/COUNTIFS('Raw_Data'!$P$2:$P$59,"&gt;=1",'Raw_Data'!$P$2:$P$59,"&lt;=5",'Raw_Data'!$A$2:$A$59,"Yes",'Raw_Data'!$D$2:$D$59,"เคหรักษ์",'Raw_Data'!$E$2:$E$59,"สายสนับสนุนทั่วไป"),"")</x:f>
        <x:v>0</x:v>
      </x:c>
      <x:c r="AD13" s="131" t="n">
        <x:f>IFERROR(100*COUNTIFS('Raw_Data'!$P$2:$P$59,"&gt;=1",'Raw_Data'!$P$2:$P$59,"&lt;=2",'Raw_Data'!$A$2:$A$59,"Yes",'Raw_Data'!$D$2:$D$59,"จ่ายกลาง",'Raw_Data'!$E$2:$E$59,"สายสนับสนุนทั่วไป")/COUNTIFS('Raw_Data'!$P$2:$P$59,"&gt;=1",'Raw_Data'!$P$2:$P$59,"&lt;=5",'Raw_Data'!$A$2:$A$59,"Yes",'Raw_Data'!$D$2:$D$59,"จ่ายกลาง",'Raw_Data'!$E$2:$E$59,"สายสนับสนุนทั่วไป"),"")</x:f>
        <x:v>0</x:v>
      </x:c>
      <x:c r="AE13" s="131" t="n">
        <x:f>IFERROR(100*COUNTIFS('Raw_Data'!$P$2:$P$59,"&gt;=1",'Raw_Data'!$P$2:$P$59,"&lt;=2",'Raw_Data'!$A$2:$A$59,"Yes",'Raw_Data'!$D$2:$D$59,"ช่างและสนาม",'Raw_Data'!$E$2:$E$59,"สายสนับสนุนทั่วไป")/COUNTIFS('Raw_Data'!$P$2:$P$59,"&gt;=1",'Raw_Data'!$P$2:$P$59,"&lt;=5",'Raw_Data'!$A$2:$A$59,"Yes",'Raw_Data'!$D$2:$D$59,"ช่างและสนาม",'Raw_Data'!$E$2:$E$59,"สายสนับสนุนทั่วไป"),"")</x:f>
        <x:v>75</x:v>
      </x:c>
      <x:c r="AF13" s="131" t="n">
        <x:f>IFERROR(100*COUNTIFS('Raw_Data'!$P$2:$P$59,"&gt;=1",'Raw_Data'!$P$2:$P$59,"&lt;=2",'Raw_Data'!$A$2:$A$59,"Yes",'Raw_Data'!$D$2:$D$59,"ผู้ป่วยสัมพันธ์",'Raw_Data'!$E$2:$E$59,"สายสนับสนุนทั่วไป")/COUNTIFS('Raw_Data'!$P$2:$P$59,"&gt;=1",'Raw_Data'!$P$2:$P$59,"&lt;=5",'Raw_Data'!$A$2:$A$59,"Yes",'Raw_Data'!$D$2:$D$59,"ผู้ป่วยสัมพันธ์",'Raw_Data'!$E$2:$E$59,"สายสนับสนุนทั่วไป"),"")</x:f>
        <x:v>0</x:v>
      </x:c>
      <x:c r="AG13" s="131" t="n">
        <x:f>IFERROR(100*COUNTIFS('Raw_Data'!$P$2:$P$59,"&gt;=1",'Raw_Data'!$P$2:$P$59,"&lt;=2",'Raw_Data'!$A$2:$A$59,"Yes",'Raw_Data'!$D$2:$D$59,"ยานพาหนะ",'Raw_Data'!$E$2:$E$59,"สายสนับสนุนทั่วไป")/COUNTIFS('Raw_Data'!$P$2:$P$59,"&gt;=1",'Raw_Data'!$P$2:$P$59,"&lt;=5",'Raw_Data'!$A$2:$A$59,"Yes",'Raw_Data'!$D$2:$D$59,"ยานพาหนะ",'Raw_Data'!$E$2:$E$59,"สายสนับสนุนทั่วไป"),"")</x:f>
        <x:v>100</x:v>
      </x:c>
      <x:c r="AH13" s="131" t="n">
        <x:f>IFERROR(100*COUNTIFS('Raw_Data'!$P$2:$P$59,"&gt;=1",'Raw_Data'!$P$2:$P$59,"&lt;=2",'Raw_Data'!$A$2:$A$59,"Yes",'Raw_Data'!$D$2:$D$59,"สื่อสารการตลาด",'Raw_Data'!$E$2:$E$59,"สายสนับสนุนทั่วไป")/COUNTIFS('Raw_Data'!$P$2:$P$59,"&gt;=1",'Raw_Data'!$P$2:$P$59,"&lt;=5",'Raw_Data'!$A$2:$A$59,"Yes",'Raw_Data'!$D$2:$D$59,"สื่อสารการตลาด",'Raw_Data'!$E$2:$E$59,"สายสนับสนุนทั่วไป"),"")</x:f>
        <x:v>0</x:v>
      </x:c>
      <x:c r="AI13" s="131" t="n">
        <x:f>IFERROR(100*COUNTIFS('Raw_Data'!$P$2:$P$59,"&gt;=1",'Raw_Data'!$P$2:$P$59,"&lt;=2",'Raw_Data'!$A$2:$A$59,"Yes",'Raw_Data'!$D$2:$D$59,"ERและเปล",'Raw_Data'!$E$2:$E$59,"สายสนับสนุนทั่วไป")/COUNTIFS('Raw_Data'!$P$2:$P$59,"&gt;=1",'Raw_Data'!$P$2:$P$59,"&lt;=5",'Raw_Data'!$A$2:$A$59,"Yes",'Raw_Data'!$D$2:$D$59,"ERและเปล",'Raw_Data'!$E$2:$E$59,"สายสนับสนุนทั่วไป"),"")</x:f>
        <x:v>66.66666666666667</x:v>
      </x:c>
      <x:c r="AJ13" s="131" t="n">
        <x:f>IFERROR(100*COUNTIFS('Raw_Data'!$P$2:$P$59,"&gt;=1",'Raw_Data'!$P$2:$P$59,"&lt;=2",'Raw_Data'!$A$2:$A$59,"Yes",'Raw_Data'!$D$2:$D$59,"HR",'Raw_Data'!$E$2:$E$59,"สายสนับสนุนทั่วไป")/COUNTIFS('Raw_Data'!$P$2:$P$59,"&gt;=1",'Raw_Data'!$P$2:$P$59,"&lt;=5",'Raw_Data'!$A$2:$A$59,"Yes",'Raw_Data'!$D$2:$D$59,"HR",'Raw_Data'!$E$2:$E$59,"สายสนับสนุนทั่วไป"),"")</x:f>
        <x:v>0</x:v>
      </x:c>
      <x:c r="AK13" s="131" t="n">
        <x:f>IFERROR(100*COUNTIFS('Raw_Data'!$P$2:$P$59,"&gt;=1",'Raw_Data'!$P$2:$P$59,"&lt;=2",'Raw_Data'!$A$2:$A$59,"Yes",'Raw_Data'!$D$2:$D$59,"ICU",'Raw_Data'!$E$2:$E$59,"สายสนับสนุนทั่วไป")/COUNTIFS('Raw_Data'!$P$2:$P$59,"&gt;=1",'Raw_Data'!$P$2:$P$59,"&lt;=5",'Raw_Data'!$A$2:$A$59,"Yes",'Raw_Data'!$D$2:$D$59,"ICU",'Raw_Data'!$E$2:$E$59,"สายสนับสนุนทั่วไป"),"")</x:f>
        <x:v>0</x:v>
      </x:c>
      <x:c r="AL13" s="131" t="n">
        <x:f>IFERROR(100*COUNTIFS('Raw_Data'!$P$2:$P$59,"&gt;=1",'Raw_Data'!$P$2:$P$59,"&lt;=2",'Raw_Data'!$A$2:$A$59,"Yes",'Raw_Data'!$D$2:$D$59,"IPD",'Raw_Data'!$E$2:$E$59,"สายสนับสนุนทั่วไป")/COUNTIFS('Raw_Data'!$P$2:$P$59,"&gt;=1",'Raw_Data'!$P$2:$P$59,"&lt;=5",'Raw_Data'!$A$2:$A$59,"Yes",'Raw_Data'!$D$2:$D$59,"IPD",'Raw_Data'!$E$2:$E$59,"สายสนับสนุนทั่วไป"),"")</x:f>
        <x:v>0</x:v>
      </x:c>
      <x:c r="AM13" s="131" t="n">
        <x:f>IFERROR(100*COUNTIFS('Raw_Data'!$P$2:$P$59,"&gt;=1",'Raw_Data'!$P$2:$P$59,"&lt;=2",'Raw_Data'!$A$2:$A$59,"Yes",'Raw_Data'!$D$2:$D$59,"IT",'Raw_Data'!$E$2:$E$59,"สายสนับสนุนทั่วไป")/COUNTIFS('Raw_Data'!$P$2:$P$59,"&gt;=1",'Raw_Data'!$P$2:$P$59,"&lt;=5",'Raw_Data'!$A$2:$A$59,"Yes",'Raw_Data'!$D$2:$D$59,"IT",'Raw_Data'!$E$2:$E$59,"สายสนับสนุนทั่วไป"),"")</x:f>
        <x:v>0</x:v>
      </x:c>
      <x:c r="AN13" s="131" t="n">
        <x:f>IFERROR(100*COUNTIFS('Raw_Data'!$P$2:$P$59,"&gt;=1",'Raw_Data'!$P$2:$P$59,"&lt;=2",'Raw_Data'!$A$2:$A$59,"Yes",'Raw_Data'!$D$2:$D$59,"ผู้ป่วยสัมพันธ์",'Raw_Data'!$E$2:$E$59,"สายสนับสนุนทางการแพทย์")/COUNTIFS('Raw_Data'!$P$2:$P$59,"&gt;=1",'Raw_Data'!$P$2:$P$59,"&lt;=5",'Raw_Data'!$A$2:$A$59,"Yes",'Raw_Data'!$D$2:$D$59,"ผู้ป่วยสัมพันธ์",'Raw_Data'!$E$2:$E$59,"สายสนับสนุนทางการแพทย์"),"")</x:f>
        <x:v>66.66666666666667</x:v>
      </x:c>
      <x:c r="AO13" s="131" t="n">
        <x:f>IFERROR(100*COUNTIFS('Raw_Data'!$P$2:$P$59,"&gt;=1",'Raw_Data'!$P$2:$P$59,"&lt;=2",'Raw_Data'!$A$2:$A$59,"Yes",'Raw_Data'!$D$2:$D$59,"ฝ่ายการพยาบาล",'Raw_Data'!$E$2:$E$59,"สายสนับสนุนทางการแพทย์")/COUNTIFS('Raw_Data'!$P$2:$P$59,"&gt;=1",'Raw_Data'!$P$2:$P$59,"&lt;=5",'Raw_Data'!$A$2:$A$59,"Yes",'Raw_Data'!$D$2:$D$59,"ฝ่ายการพยาบาล",'Raw_Data'!$E$2:$E$59,"สายสนับสนุนทางการแพทย์"),"")</x:f>
        <x:v>100</x:v>
      </x:c>
      <x:c r="AP13" s="131" t="n">
        <x:f>IFERROR(100*COUNTIFS('Raw_Data'!$P$2:$P$59,"&gt;=1",'Raw_Data'!$P$2:$P$59,"&lt;=2",'Raw_Data'!$A$2:$A$59,"Yes",'Raw_Data'!$D$2:$D$59,"โภชนาการ",'Raw_Data'!$E$2:$E$59,"สายสนับสนุนทางการแพทย์")/COUNTIFS('Raw_Data'!$P$2:$P$59,"&gt;=1",'Raw_Data'!$P$2:$P$59,"&lt;=5",'Raw_Data'!$A$2:$A$59,"Yes",'Raw_Data'!$D$2:$D$59,"โภชนาการ",'Raw_Data'!$E$2:$E$59,"สายสนับสนุนทางการแพทย์"),"")</x:f>
        <x:v>100</x:v>
      </x:c>
      <x:c r="AQ13" s="131" t="n">
        <x:f>IFERROR(100*COUNTIFS('Raw_Data'!$P$2:$P$59,"&gt;=1",'Raw_Data'!$P$2:$P$59,"&lt;=2",'Raw_Data'!$A$2:$A$59,"Yes",'Raw_Data'!$D$2:$D$59,"ห้องยา",'Raw_Data'!$E$2:$E$59,"สายสนับสนุนทางการแพทย์")/COUNTIFS('Raw_Data'!$P$2:$P$59,"&gt;=1",'Raw_Data'!$P$2:$P$59,"&lt;=5",'Raw_Data'!$A$2:$A$59,"Yes",'Raw_Data'!$D$2:$D$59,"ห้องยา",'Raw_Data'!$E$2:$E$59,"สายสนับสนุนทางการแพทย์"),"")</x:f>
        <x:v>33.333333333333336</x:v>
      </x:c>
      <x:c r="AR13" s="131" t="n">
        <x:f>IFERROR(100*COUNTIFS('Raw_Data'!$P$2:$P$59,"&gt;=1",'Raw_Data'!$P$2:$P$59,"&lt;=2",'Raw_Data'!$A$2:$A$59,"Yes",'Raw_Data'!$D$2:$D$59,"ห้องแลป",'Raw_Data'!$E$2:$E$59,"สายสนับสนุนทางการแพทย์")/COUNTIFS('Raw_Data'!$P$2:$P$59,"&gt;=1",'Raw_Data'!$P$2:$P$59,"&lt;=5",'Raw_Data'!$A$2:$A$59,"Yes",'Raw_Data'!$D$2:$D$59,"ห้องแลป",'Raw_Data'!$E$2:$E$59,"สายสนับสนุนทางการแพทย์"),"")</x:f>
        <x:v>50</x:v>
      </x:c>
      <x:c r="AS13" s="131" t="n">
        <x:f>IFERROR(100*COUNTIFS('Raw_Data'!$P$2:$P$59,"&gt;=1",'Raw_Data'!$P$2:$P$59,"&lt;=2",'Raw_Data'!$A$2:$A$59,"Yes",'Raw_Data'!$D$2:$D$59,"ห้องเอ็กซเรย์",'Raw_Data'!$E$2:$E$59,"สายสนับสนุนทางการแพทย์")/COUNTIFS('Raw_Data'!$P$2:$P$59,"&gt;=1",'Raw_Data'!$P$2:$P$59,"&lt;=5",'Raw_Data'!$A$2:$A$59,"Yes",'Raw_Data'!$D$2:$D$59,"ห้องเอ็กซเรย์",'Raw_Data'!$E$2:$E$59,"สายสนับสนุนทางการแพทย์"),"")</x:f>
        <x:v>66.66666666666667</x:v>
      </x:c>
      <x:c r="AT13" s="131" t="n">
        <x:f>IFERROR(100*COUNTIFS('Raw_Data'!$P$2:$P$59,"&gt;=1",'Raw_Data'!$P$2:$P$59,"&lt;=2",'Raw_Data'!$A$2:$A$59,"Yes",'Raw_Data'!$D$2:$D$59,"ERและเปล",'Raw_Data'!$E$2:$E$59,"สายสนับสนุนทางการแพทย์")/COUNTIFS('Raw_Data'!$P$2:$P$59,"&gt;=1",'Raw_Data'!$P$2:$P$59,"&lt;=5",'Raw_Data'!$A$2:$A$59,"Yes",'Raw_Data'!$D$2:$D$59,"ERและเปล",'Raw_Data'!$E$2:$E$59,"สายสนับสนุนทางการแพทย์"),"")</x:f>
        <x:v>0</x:v>
      </x:c>
      <x:c r="AU13" s="131" t="n">
        <x:f>IFERROR(100*COUNTIFS('Raw_Data'!$P$2:$P$59,"&gt;=1",'Raw_Data'!$P$2:$P$59,"&lt;=2",'Raw_Data'!$A$2:$A$59,"Yes",'Raw_Data'!$D$2:$D$59,"ICU",'Raw_Data'!$E$2:$E$59,"สายสนับสนุนทางการแพทย์")/COUNTIFS('Raw_Data'!$P$2:$P$59,"&gt;=1",'Raw_Data'!$P$2:$P$59,"&lt;=5",'Raw_Data'!$A$2:$A$59,"Yes",'Raw_Data'!$D$2:$D$59,"ICU",'Raw_Data'!$E$2:$E$59,"สายสนับสนุนทางการแพทย์"),"")</x:f>
        <x:v>100</x:v>
      </x:c>
      <x:c r="AV13" s="131" t="n">
        <x:f>IFERROR(100*COUNTIFS('Raw_Data'!$P$2:$P$59,"&gt;=1",'Raw_Data'!$P$2:$P$59,"&lt;=2",'Raw_Data'!$A$2:$A$59,"Yes",'Raw_Data'!$D$2:$D$59,"IPD",'Raw_Data'!$E$2:$E$59,"สายสนับสนุนทางการแพทย์")/COUNTIFS('Raw_Data'!$P$2:$P$59,"&gt;=1",'Raw_Data'!$P$2:$P$59,"&lt;=5",'Raw_Data'!$A$2:$A$59,"Yes",'Raw_Data'!$D$2:$D$59,"IPD",'Raw_Data'!$E$2:$E$59,"สายสนับสนุนทางการแพทย์"),"")</x:f>
        <x:v>50</x:v>
      </x:c>
      <x:c r="AW13" s="131" t="n">
        <x:f>IFERROR(100*COUNTIFS('Raw_Data'!$P$2:$P$59,"&gt;=1",'Raw_Data'!$P$2:$P$59,"&lt;=2",'Raw_Data'!$A$2:$A$59,"Yes",'Raw_Data'!$D$2:$D$59,"IT",'Raw_Data'!$E$2:$E$59,"สายสนับสนุนทางการแพทย์")/COUNTIFS('Raw_Data'!$P$2:$P$59,"&gt;=1",'Raw_Data'!$P$2:$P$59,"&lt;=5",'Raw_Data'!$A$2:$A$59,"Yes",'Raw_Data'!$D$2:$D$59,"IT",'Raw_Data'!$E$2:$E$59,"สายสนับสนุนทางการแพทย์"),"")</x:f>
        <x:v>100</x:v>
      </x:c>
    </x:row>
    <x:row r="14" ht="42" customHeight="1">
      <x:c r="A14" s="123" t="str">
        <x:v>4. การตอบสนองต่อความคลาดเคลื่อน</x:v>
      </x:c>
      <x:c r="B14" s="124" t="str">
        <x:v>A6. ในหน่วยงานที่ท่านทำงานอยู่ บุคลากรรู้สึกว่าความผิดพลาดคลาดเคลื่อนที่อาจเกิดขึ้นในการทำงานจะถูกนำมากล่าวโทษกับตัวบุคคล</x:v>
      </x:c>
      <x:c r="C14" s="131" t="n">
        <x:f>IFERROR(100*COUNTIFS('Raw_Data'!$Q$2:$Q$59,"&gt;=1",'Raw_Data'!$Q$2:$Q$59,"&lt;=2",'Raw_Data'!$A$2:$A$59,"Yes")/COUNTIFS('Raw_Data'!$Q$2:$Q$59,"&gt;=1",'Raw_Data'!$Q$2:$Q$59,"&lt;=5",'Raw_Data'!$A$2:$A$59,"Yes"),"")</x:f>
        <x:v>32.758620689655174</x:v>
      </x:c>
      <x:c r="D14" s="131" t="n">
        <x:f>IFERROR(100*COUNTIFS('Raw_Data'!$Q$2:$Q$59,"&gt;=1",'Raw_Data'!$Q$2:$Q$59,"&lt;=2",'Raw_Data'!$A$2:$A$59,"Yes",'Raw_Data'!$D$2:$D$59,"การเงิน")/COUNTIFS('Raw_Data'!$Q$2:$Q$59,"&gt;=1",'Raw_Data'!$Q$2:$Q$59,"&lt;=5",'Raw_Data'!$A$2:$A$59,"Yes",'Raw_Data'!$D$2:$D$59,"การเงิน"),"")</x:f>
        <x:v>33.333333333333336</x:v>
      </x:c>
      <x:c r="E14" s="131" t="n">
        <x:f>IFERROR(100*COUNTIFS('Raw_Data'!$Q$2:$Q$59,"&gt;=1",'Raw_Data'!$Q$2:$Q$59,"&lt;=2",'Raw_Data'!$A$2:$A$59,"Yes",'Raw_Data'!$D$2:$D$59,"เคหรักษ์")/COUNTIFS('Raw_Data'!$Q$2:$Q$59,"&gt;=1",'Raw_Data'!$Q$2:$Q$59,"&lt;=5",'Raw_Data'!$A$2:$A$59,"Yes",'Raw_Data'!$D$2:$D$59,"เคหรักษ์"),"")</x:f>
        <x:v>0</x:v>
      </x:c>
      <x:c r="F14" s="131" t="n">
        <x:f>IFERROR(100*COUNTIFS('Raw_Data'!$Q$2:$Q$59,"&gt;=1",'Raw_Data'!$Q$2:$Q$59,"&lt;=2",'Raw_Data'!$A$2:$A$59,"Yes",'Raw_Data'!$D$2:$D$59,"จ่ายกลาง")/COUNTIFS('Raw_Data'!$Q$2:$Q$59,"&gt;=1",'Raw_Data'!$Q$2:$Q$59,"&lt;=5",'Raw_Data'!$A$2:$A$59,"Yes",'Raw_Data'!$D$2:$D$59,"จ่ายกลาง"),"")</x:f>
        <x:v>0</x:v>
      </x:c>
      <x:c r="G14" s="131" t="n">
        <x:f>IFERROR(100*COUNTIFS('Raw_Data'!$Q$2:$Q$59,"&gt;=1",'Raw_Data'!$Q$2:$Q$59,"&lt;=2",'Raw_Data'!$A$2:$A$59,"Yes",'Raw_Data'!$D$2:$D$59,"ช่างและสนาม")/COUNTIFS('Raw_Data'!$Q$2:$Q$59,"&gt;=1",'Raw_Data'!$Q$2:$Q$59,"&lt;=5",'Raw_Data'!$A$2:$A$59,"Yes",'Raw_Data'!$D$2:$D$59,"ช่างและสนาม"),"")</x:f>
        <x:v>25</x:v>
      </x:c>
      <x:c r="H14" s="131" t="n">
        <x:f>IFERROR(100*COUNTIFS('Raw_Data'!$Q$2:$Q$59,"&gt;=1",'Raw_Data'!$Q$2:$Q$59,"&lt;=2",'Raw_Data'!$A$2:$A$59,"Yes",'Raw_Data'!$D$2:$D$59,"ผู้ป่วยสัมพันธ์")/COUNTIFS('Raw_Data'!$Q$2:$Q$59,"&gt;=1",'Raw_Data'!$Q$2:$Q$59,"&lt;=5",'Raw_Data'!$A$2:$A$59,"Yes",'Raw_Data'!$D$2:$D$59,"ผู้ป่วยสัมพันธ์"),"")</x:f>
        <x:v>50</x:v>
      </x:c>
      <x:c r="I14" s="131" t="n">
        <x:f>IFERROR(100*COUNTIFS('Raw_Data'!$Q$2:$Q$59,"&gt;=1",'Raw_Data'!$Q$2:$Q$59,"&lt;=2",'Raw_Data'!$A$2:$A$59,"Yes",'Raw_Data'!$D$2:$D$59,"ฝ่ายการพยาบาล")/COUNTIFS('Raw_Data'!$Q$2:$Q$59,"&gt;=1",'Raw_Data'!$Q$2:$Q$59,"&lt;=5",'Raw_Data'!$A$2:$A$59,"Yes",'Raw_Data'!$D$2:$D$59,"ฝ่ายการพยาบาล"),"")</x:f>
        <x:v>50</x:v>
      </x:c>
      <x:c r="J14" s="131" t="n">
        <x:f>IFERROR(100*COUNTIFS('Raw_Data'!$Q$2:$Q$59,"&gt;=1",'Raw_Data'!$Q$2:$Q$59,"&lt;=2",'Raw_Data'!$A$2:$A$59,"Yes",'Raw_Data'!$D$2:$D$59,"โภชนาการ")/COUNTIFS('Raw_Data'!$Q$2:$Q$59,"&gt;=1",'Raw_Data'!$Q$2:$Q$59,"&lt;=5",'Raw_Data'!$A$2:$A$59,"Yes",'Raw_Data'!$D$2:$D$59,"โภชนาการ"),"")</x:f>
        <x:v>100</x:v>
      </x:c>
      <x:c r="K14" s="131" t="n">
        <x:f>IFERROR(100*COUNTIFS('Raw_Data'!$Q$2:$Q$59,"&gt;=1",'Raw_Data'!$Q$2:$Q$59,"&lt;=2",'Raw_Data'!$A$2:$A$59,"Yes",'Raw_Data'!$D$2:$D$59,"ยานพาหนะ")/COUNTIFS('Raw_Data'!$Q$2:$Q$59,"&gt;=1",'Raw_Data'!$Q$2:$Q$59,"&lt;=5",'Raw_Data'!$A$2:$A$59,"Yes",'Raw_Data'!$D$2:$D$59,"ยานพาหนะ"),"")</x:f>
        <x:v>0</x:v>
      </x:c>
      <x:c r="L14" s="131" t="n">
        <x:f>IFERROR(100*COUNTIFS('Raw_Data'!$Q$2:$Q$59,"&gt;=1",'Raw_Data'!$Q$2:$Q$59,"&lt;=2",'Raw_Data'!$A$2:$A$59,"Yes",'Raw_Data'!$D$2:$D$59,"สื่อสารการตลาด")/COUNTIFS('Raw_Data'!$Q$2:$Q$59,"&gt;=1",'Raw_Data'!$Q$2:$Q$59,"&lt;=5",'Raw_Data'!$A$2:$A$59,"Yes",'Raw_Data'!$D$2:$D$59,"สื่อสารการตลาด"),"")</x:f>
        <x:v>0</x:v>
      </x:c>
      <x:c r="M14" s="131" t="n">
        <x:f>IFERROR(100*COUNTIFS('Raw_Data'!$Q$2:$Q$59,"&gt;=1",'Raw_Data'!$Q$2:$Q$59,"&lt;=2",'Raw_Data'!$A$2:$A$59,"Yes",'Raw_Data'!$D$2:$D$59,"ห้องยา")/COUNTIFS('Raw_Data'!$Q$2:$Q$59,"&gt;=1",'Raw_Data'!$Q$2:$Q$59,"&lt;=5",'Raw_Data'!$A$2:$A$59,"Yes",'Raw_Data'!$D$2:$D$59,"ห้องยา"),"")</x:f>
        <x:v>16.666666666666668</x:v>
      </x:c>
      <x:c r="N14" s="131" t="n">
        <x:f>IFERROR(100*COUNTIFS('Raw_Data'!$Q$2:$Q$59,"&gt;=1",'Raw_Data'!$Q$2:$Q$59,"&lt;=2",'Raw_Data'!$A$2:$A$59,"Yes",'Raw_Data'!$D$2:$D$59,"ห้องแลป")/COUNTIFS('Raw_Data'!$Q$2:$Q$59,"&gt;=1",'Raw_Data'!$Q$2:$Q$59,"&lt;=5",'Raw_Data'!$A$2:$A$59,"Yes",'Raw_Data'!$D$2:$D$59,"ห้องแลป"),"")</x:f>
        <x:v>100</x:v>
      </x:c>
      <x:c r="O14" s="131" t="n">
        <x:f>IFERROR(100*COUNTIFS('Raw_Data'!$Q$2:$Q$59,"&gt;=1",'Raw_Data'!$Q$2:$Q$59,"&lt;=2",'Raw_Data'!$A$2:$A$59,"Yes",'Raw_Data'!$D$2:$D$59,"ห้องเอ็กซเรย์")/COUNTIFS('Raw_Data'!$Q$2:$Q$59,"&gt;=1",'Raw_Data'!$Q$2:$Q$59,"&lt;=5",'Raw_Data'!$A$2:$A$59,"Yes",'Raw_Data'!$D$2:$D$59,"ห้องเอ็กซเรย์"),"")</x:f>
        <x:v>100</x:v>
      </x:c>
      <x:c r="P14" s="131" t="n">
        <x:f>IFERROR(100*COUNTIFS('Raw_Data'!$Q$2:$Q$59,"&gt;=1",'Raw_Data'!$Q$2:$Q$59,"&lt;=2",'Raw_Data'!$A$2:$A$59,"Yes",'Raw_Data'!$D$2:$D$59,"ERและเปล")/COUNTIFS('Raw_Data'!$Q$2:$Q$59,"&gt;=1",'Raw_Data'!$Q$2:$Q$59,"&lt;=5",'Raw_Data'!$A$2:$A$59,"Yes",'Raw_Data'!$D$2:$D$59,"ERและเปล"),"")</x:f>
        <x:v>18.181818181818183</x:v>
      </x:c>
      <x:c r="Q14" s="131" t="n">
        <x:f>IFERROR(100*COUNTIFS('Raw_Data'!$Q$2:$Q$59,"&gt;=1",'Raw_Data'!$Q$2:$Q$59,"&lt;=2",'Raw_Data'!$A$2:$A$59,"Yes",'Raw_Data'!$D$2:$D$59,"HR")/COUNTIFS('Raw_Data'!$Q$2:$Q$59,"&gt;=1",'Raw_Data'!$Q$2:$Q$59,"&lt;=5",'Raw_Data'!$A$2:$A$59,"Yes",'Raw_Data'!$D$2:$D$59,"HR"),"")</x:f>
        <x:v>0</x:v>
      </x:c>
      <x:c r="R14" s="131" t="n">
        <x:f>IFERROR(100*COUNTIFS('Raw_Data'!$Q$2:$Q$59,"&gt;=1",'Raw_Data'!$Q$2:$Q$59,"&lt;=2",'Raw_Data'!$A$2:$A$59,"Yes",'Raw_Data'!$D$2:$D$59,"ICU")/COUNTIFS('Raw_Data'!$Q$2:$Q$59,"&gt;=1",'Raw_Data'!$Q$2:$Q$59,"&lt;=5",'Raw_Data'!$A$2:$A$59,"Yes",'Raw_Data'!$D$2:$D$59,"ICU"),"")</x:f>
        <x:v>50</x:v>
      </x:c>
      <x:c r="S14" s="131" t="n">
        <x:f>IFERROR(100*COUNTIFS('Raw_Data'!$Q$2:$Q$59,"&gt;=1",'Raw_Data'!$Q$2:$Q$59,"&lt;=2",'Raw_Data'!$A$2:$A$59,"Yes",'Raw_Data'!$D$2:$D$59,"IPD")/COUNTIFS('Raw_Data'!$Q$2:$Q$59,"&gt;=1",'Raw_Data'!$Q$2:$Q$59,"&lt;=5",'Raw_Data'!$A$2:$A$59,"Yes",'Raw_Data'!$D$2:$D$59,"IPD"),"")</x:f>
        <x:v>33.333333333333336</x:v>
      </x:c>
      <x:c r="T14" s="131" t="n">
        <x:f>IFERROR(100*COUNTIFS('Raw_Data'!$Q$2:$Q$59,"&gt;=1",'Raw_Data'!$Q$2:$Q$59,"&lt;=2",'Raw_Data'!$A$2:$A$59,"Yes",'Raw_Data'!$D$2:$D$59,"IT")/COUNTIFS('Raw_Data'!$Q$2:$Q$59,"&gt;=1",'Raw_Data'!$Q$2:$Q$59,"&lt;=5",'Raw_Data'!$A$2:$A$59,"Yes",'Raw_Data'!$D$2:$D$59,"IT"),"")</x:f>
        <x:v>0</x:v>
      </x:c>
      <x:c r="U14" s="131" t="n">
        <x:f>IFERROR(100*COUNTIFS('Raw_Data'!$Q$2:$Q$59,"&gt;=1",'Raw_Data'!$Q$2:$Q$59,"&lt;=2",'Raw_Data'!$A$2:$A$59,"Yes",'Raw_Data'!$D$2:$D$59,"OR")/COUNTIFS('Raw_Data'!$Q$2:$Q$59,"&gt;=1",'Raw_Data'!$Q$2:$Q$59,"&lt;=5",'Raw_Data'!$A$2:$A$59,"Yes",'Raw_Data'!$D$2:$D$59,"OR"),"")</x:f>
        <x:v>25</x:v>
      </x:c>
      <x:c r="V14" s="131" t="n">
        <x:f>IFERROR(100*COUNTIFS('Raw_Data'!$Q$2:$Q$59,"&gt;=1",'Raw_Data'!$Q$2:$Q$59,"&lt;=2",'Raw_Data'!$A$2:$A$59,"Yes",'Raw_Data'!$D$2:$D$59,"IPD",'Raw_Data'!$E$2:$E$59,"ผู้บริหาร")/COUNTIFS('Raw_Data'!$Q$2:$Q$59,"&gt;=1",'Raw_Data'!$Q$2:$Q$59,"&lt;=5",'Raw_Data'!$A$2:$A$59,"Yes",'Raw_Data'!$D$2:$D$59,"IPD",'Raw_Data'!$E$2:$E$59,"ผู้บริหาร"),"")</x:f>
        <x:v>0</x:v>
      </x:c>
      <x:c r="W14" s="131" t="n">
        <x:f>IFERROR(100*COUNTIFS('Raw_Data'!$Q$2:$Q$59,"&gt;=1",'Raw_Data'!$Q$2:$Q$59,"&lt;=2",'Raw_Data'!$A$2:$A$59,"Yes",'Raw_Data'!$D$2:$D$59,"ฝ่ายการพยาบาล",'Raw_Data'!$E$2:$E$59,"สายวิชาชีพสาธารณสุข")/COUNTIFS('Raw_Data'!$Q$2:$Q$59,"&gt;=1",'Raw_Data'!$Q$2:$Q$59,"&lt;=5",'Raw_Data'!$A$2:$A$59,"Yes",'Raw_Data'!$D$2:$D$59,"ฝ่ายการพยาบาล",'Raw_Data'!$E$2:$E$59,"สายวิชาชีพสาธารณสุข"),"")</x:f>
        <x:v>0</x:v>
      </x:c>
      <x:c r="X14" s="131" t="n">
        <x:f>IFERROR(100*COUNTIFS('Raw_Data'!$Q$2:$Q$59,"&gt;=1",'Raw_Data'!$Q$2:$Q$59,"&lt;=2",'Raw_Data'!$A$2:$A$59,"Yes",'Raw_Data'!$D$2:$D$59,"ERและเปล",'Raw_Data'!$E$2:$E$59,"สายวิชาชีพสาธารณสุข")/COUNTIFS('Raw_Data'!$Q$2:$Q$59,"&gt;=1",'Raw_Data'!$Q$2:$Q$59,"&lt;=5",'Raw_Data'!$A$2:$A$59,"Yes",'Raw_Data'!$D$2:$D$59,"ERและเปล",'Raw_Data'!$E$2:$E$59,"สายวิชาชีพสาธารณสุข"),"")</x:f>
        <x:v>14.285714285714286</x:v>
      </x:c>
      <x:c r="Y14" s="131" t="n">
        <x:f>IFERROR(100*COUNTIFS('Raw_Data'!$Q$2:$Q$59,"&gt;=1",'Raw_Data'!$Q$2:$Q$59,"&lt;=2",'Raw_Data'!$A$2:$A$59,"Yes",'Raw_Data'!$D$2:$D$59,"ICU",'Raw_Data'!$E$2:$E$59,"สายวิชาชีพสาธารณสุข")/COUNTIFS('Raw_Data'!$Q$2:$Q$59,"&gt;=1",'Raw_Data'!$Q$2:$Q$59,"&lt;=5",'Raw_Data'!$A$2:$A$59,"Yes",'Raw_Data'!$D$2:$D$59,"ICU",'Raw_Data'!$E$2:$E$59,"สายวิชาชีพสาธารณสุข"),"")</x:f>
        <x:v>100</x:v>
      </x:c>
      <x:c r="Z14" s="131" t="n">
        <x:f>IFERROR(100*COUNTIFS('Raw_Data'!$Q$2:$Q$59,"&gt;=1",'Raw_Data'!$Q$2:$Q$59,"&lt;=2",'Raw_Data'!$A$2:$A$59,"Yes",'Raw_Data'!$D$2:$D$59,"IPD",'Raw_Data'!$E$2:$E$59,"สายวิชาชีพสาธารณสุข")/COUNTIFS('Raw_Data'!$Q$2:$Q$59,"&gt;=1",'Raw_Data'!$Q$2:$Q$59,"&lt;=5",'Raw_Data'!$A$2:$A$59,"Yes",'Raw_Data'!$D$2:$D$59,"IPD",'Raw_Data'!$E$2:$E$59,"สายวิชาชีพสาธารณสุข"),"")</x:f>
        <x:v>100</x:v>
      </x:c>
      <x:c r="AA14" s="131" t="n">
        <x:f>IFERROR(100*COUNTIFS('Raw_Data'!$Q$2:$Q$59,"&gt;=1",'Raw_Data'!$Q$2:$Q$59,"&lt;=2",'Raw_Data'!$A$2:$A$59,"Yes",'Raw_Data'!$D$2:$D$59,"OR",'Raw_Data'!$E$2:$E$59,"สายวิชาชีพสาธารณสุข")/COUNTIFS('Raw_Data'!$Q$2:$Q$59,"&gt;=1",'Raw_Data'!$Q$2:$Q$59,"&lt;=5",'Raw_Data'!$A$2:$A$59,"Yes",'Raw_Data'!$D$2:$D$59,"OR",'Raw_Data'!$E$2:$E$59,"สายวิชาชีพสาธารณสุข"),"")</x:f>
        <x:v>25</x:v>
      </x:c>
      <x:c r="AB14" s="131" t="n">
        <x:f>IFERROR(100*COUNTIFS('Raw_Data'!$Q$2:$Q$59,"&gt;=1",'Raw_Data'!$Q$2:$Q$59,"&lt;=2",'Raw_Data'!$A$2:$A$59,"Yes",'Raw_Data'!$D$2:$D$59,"การเงิน",'Raw_Data'!$E$2:$E$59,"สายสนับสนุนทั่วไป")/COUNTIFS('Raw_Data'!$Q$2:$Q$59,"&gt;=1",'Raw_Data'!$Q$2:$Q$59,"&lt;=5",'Raw_Data'!$A$2:$A$59,"Yes",'Raw_Data'!$D$2:$D$59,"การเงิน",'Raw_Data'!$E$2:$E$59,"สายสนับสนุนทั่วไป"),"")</x:f>
        <x:v>33.333333333333336</x:v>
      </x:c>
      <x:c r="AC14" s="131" t="n">
        <x:f>IFERROR(100*COUNTIFS('Raw_Data'!$Q$2:$Q$59,"&gt;=1",'Raw_Data'!$Q$2:$Q$59,"&lt;=2",'Raw_Data'!$A$2:$A$59,"Yes",'Raw_Data'!$D$2:$D$59,"เคหรักษ์",'Raw_Data'!$E$2:$E$59,"สายสนับสนุนทั่วไป")/COUNTIFS('Raw_Data'!$Q$2:$Q$59,"&gt;=1",'Raw_Data'!$Q$2:$Q$59,"&lt;=5",'Raw_Data'!$A$2:$A$59,"Yes",'Raw_Data'!$D$2:$D$59,"เคหรักษ์",'Raw_Data'!$E$2:$E$59,"สายสนับสนุนทั่วไป"),"")</x:f>
        <x:v>0</x:v>
      </x:c>
      <x:c r="AD14" s="131" t="n">
        <x:f>IFERROR(100*COUNTIFS('Raw_Data'!$Q$2:$Q$59,"&gt;=1",'Raw_Data'!$Q$2:$Q$59,"&lt;=2",'Raw_Data'!$A$2:$A$59,"Yes",'Raw_Data'!$D$2:$D$59,"จ่ายกลาง",'Raw_Data'!$E$2:$E$59,"สายสนับสนุนทั่วไป")/COUNTIFS('Raw_Data'!$Q$2:$Q$59,"&gt;=1",'Raw_Data'!$Q$2:$Q$59,"&lt;=5",'Raw_Data'!$A$2:$A$59,"Yes",'Raw_Data'!$D$2:$D$59,"จ่ายกลาง",'Raw_Data'!$E$2:$E$59,"สายสนับสนุนทั่วไป"),"")</x:f>
        <x:v>0</x:v>
      </x:c>
      <x:c r="AE14" s="131" t="n">
        <x:f>IFERROR(100*COUNTIFS('Raw_Data'!$Q$2:$Q$59,"&gt;=1",'Raw_Data'!$Q$2:$Q$59,"&lt;=2",'Raw_Data'!$A$2:$A$59,"Yes",'Raw_Data'!$D$2:$D$59,"ช่างและสนาม",'Raw_Data'!$E$2:$E$59,"สายสนับสนุนทั่วไป")/COUNTIFS('Raw_Data'!$Q$2:$Q$59,"&gt;=1",'Raw_Data'!$Q$2:$Q$59,"&lt;=5",'Raw_Data'!$A$2:$A$59,"Yes",'Raw_Data'!$D$2:$D$59,"ช่างและสนาม",'Raw_Data'!$E$2:$E$59,"สายสนับสนุนทั่วไป"),"")</x:f>
        <x:v>25</x:v>
      </x:c>
      <x:c r="AF14" s="131" t="n">
        <x:f>IFERROR(100*COUNTIFS('Raw_Data'!$Q$2:$Q$59,"&gt;=1",'Raw_Data'!$Q$2:$Q$59,"&lt;=2",'Raw_Data'!$A$2:$A$59,"Yes",'Raw_Data'!$D$2:$D$59,"ผู้ป่วยสัมพันธ์",'Raw_Data'!$E$2:$E$59,"สายสนับสนุนทั่วไป")/COUNTIFS('Raw_Data'!$Q$2:$Q$59,"&gt;=1",'Raw_Data'!$Q$2:$Q$59,"&lt;=5",'Raw_Data'!$A$2:$A$59,"Yes",'Raw_Data'!$D$2:$D$59,"ผู้ป่วยสัมพันธ์",'Raw_Data'!$E$2:$E$59,"สายสนับสนุนทั่วไป"),"")</x:f>
        <x:v>0</x:v>
      </x:c>
      <x:c r="AG14" s="131" t="n">
        <x:f>IFERROR(100*COUNTIFS('Raw_Data'!$Q$2:$Q$59,"&gt;=1",'Raw_Data'!$Q$2:$Q$59,"&lt;=2",'Raw_Data'!$A$2:$A$59,"Yes",'Raw_Data'!$D$2:$D$59,"ยานพาหนะ",'Raw_Data'!$E$2:$E$59,"สายสนับสนุนทั่วไป")/COUNTIFS('Raw_Data'!$Q$2:$Q$59,"&gt;=1",'Raw_Data'!$Q$2:$Q$59,"&lt;=5",'Raw_Data'!$A$2:$A$59,"Yes",'Raw_Data'!$D$2:$D$59,"ยานพาหนะ",'Raw_Data'!$E$2:$E$59,"สายสนับสนุนทั่วไป"),"")</x:f>
        <x:v>0</x:v>
      </x:c>
      <x:c r="AH14" s="131" t="n">
        <x:f>IFERROR(100*COUNTIFS('Raw_Data'!$Q$2:$Q$59,"&gt;=1",'Raw_Data'!$Q$2:$Q$59,"&lt;=2",'Raw_Data'!$A$2:$A$59,"Yes",'Raw_Data'!$D$2:$D$59,"สื่อสารการตลาด",'Raw_Data'!$E$2:$E$59,"สายสนับสนุนทั่วไป")/COUNTIFS('Raw_Data'!$Q$2:$Q$59,"&gt;=1",'Raw_Data'!$Q$2:$Q$59,"&lt;=5",'Raw_Data'!$A$2:$A$59,"Yes",'Raw_Data'!$D$2:$D$59,"สื่อสารการตลาด",'Raw_Data'!$E$2:$E$59,"สายสนับสนุนทั่วไป"),"")</x:f>
        <x:v>0</x:v>
      </x:c>
      <x:c r="AI14" s="131" t="n">
        <x:f>IFERROR(100*COUNTIFS('Raw_Data'!$Q$2:$Q$59,"&gt;=1",'Raw_Data'!$Q$2:$Q$59,"&lt;=2",'Raw_Data'!$A$2:$A$59,"Yes",'Raw_Data'!$D$2:$D$59,"ERและเปล",'Raw_Data'!$E$2:$E$59,"สายสนับสนุนทั่วไป")/COUNTIFS('Raw_Data'!$Q$2:$Q$59,"&gt;=1",'Raw_Data'!$Q$2:$Q$59,"&lt;=5",'Raw_Data'!$A$2:$A$59,"Yes",'Raw_Data'!$D$2:$D$59,"ERและเปล",'Raw_Data'!$E$2:$E$59,"สายสนับสนุนทั่วไป"),"")</x:f>
        <x:v>33.333333333333336</x:v>
      </x:c>
      <x:c r="AJ14" s="131" t="n">
        <x:f>IFERROR(100*COUNTIFS('Raw_Data'!$Q$2:$Q$59,"&gt;=1",'Raw_Data'!$Q$2:$Q$59,"&lt;=2",'Raw_Data'!$A$2:$A$59,"Yes",'Raw_Data'!$D$2:$D$59,"HR",'Raw_Data'!$E$2:$E$59,"สายสนับสนุนทั่วไป")/COUNTIFS('Raw_Data'!$Q$2:$Q$59,"&gt;=1",'Raw_Data'!$Q$2:$Q$59,"&lt;=5",'Raw_Data'!$A$2:$A$59,"Yes",'Raw_Data'!$D$2:$D$59,"HR",'Raw_Data'!$E$2:$E$59,"สายสนับสนุนทั่วไป"),"")</x:f>
        <x:v>0</x:v>
      </x:c>
      <x:c r="AK14" s="131" t="n">
        <x:f>IFERROR(100*COUNTIFS('Raw_Data'!$Q$2:$Q$59,"&gt;=1",'Raw_Data'!$Q$2:$Q$59,"&lt;=2",'Raw_Data'!$A$2:$A$59,"Yes",'Raw_Data'!$D$2:$D$59,"ICU",'Raw_Data'!$E$2:$E$59,"สายสนับสนุนทั่วไป")/COUNTIFS('Raw_Data'!$Q$2:$Q$59,"&gt;=1",'Raw_Data'!$Q$2:$Q$59,"&lt;=5",'Raw_Data'!$A$2:$A$59,"Yes",'Raw_Data'!$D$2:$D$59,"ICU",'Raw_Data'!$E$2:$E$59,"สายสนับสนุนทั่วไป"),"")</x:f>
        <x:v>0</x:v>
      </x:c>
      <x:c r="AL14" s="131" t="n">
        <x:f>IFERROR(100*COUNTIFS('Raw_Data'!$Q$2:$Q$59,"&gt;=1",'Raw_Data'!$Q$2:$Q$59,"&lt;=2",'Raw_Data'!$A$2:$A$59,"Yes",'Raw_Data'!$D$2:$D$59,"IPD",'Raw_Data'!$E$2:$E$59,"สายสนับสนุนทั่วไป")/COUNTIFS('Raw_Data'!$Q$2:$Q$59,"&gt;=1",'Raw_Data'!$Q$2:$Q$59,"&lt;=5",'Raw_Data'!$A$2:$A$59,"Yes",'Raw_Data'!$D$2:$D$59,"IPD",'Raw_Data'!$E$2:$E$59,"สายสนับสนุนทั่วไป"),"")</x:f>
        <x:v>0</x:v>
      </x:c>
      <x:c r="AM14" s="131" t="n">
        <x:f>IFERROR(100*COUNTIFS('Raw_Data'!$Q$2:$Q$59,"&gt;=1",'Raw_Data'!$Q$2:$Q$59,"&lt;=2",'Raw_Data'!$A$2:$A$59,"Yes",'Raw_Data'!$D$2:$D$59,"IT",'Raw_Data'!$E$2:$E$59,"สายสนับสนุนทั่วไป")/COUNTIFS('Raw_Data'!$Q$2:$Q$59,"&gt;=1",'Raw_Data'!$Q$2:$Q$59,"&lt;=5",'Raw_Data'!$A$2:$A$59,"Yes",'Raw_Data'!$D$2:$D$59,"IT",'Raw_Data'!$E$2:$E$59,"สายสนับสนุนทั่วไป"),"")</x:f>
        <x:v>0</x:v>
      </x:c>
      <x:c r="AN14" s="131" t="n">
        <x:f>IFERROR(100*COUNTIFS('Raw_Data'!$Q$2:$Q$59,"&gt;=1",'Raw_Data'!$Q$2:$Q$59,"&lt;=2",'Raw_Data'!$A$2:$A$59,"Yes",'Raw_Data'!$D$2:$D$59,"ผู้ป่วยสัมพันธ์",'Raw_Data'!$E$2:$E$59,"สายสนับสนุนทางการแพทย์")/COUNTIFS('Raw_Data'!$Q$2:$Q$59,"&gt;=1",'Raw_Data'!$Q$2:$Q$59,"&lt;=5",'Raw_Data'!$A$2:$A$59,"Yes",'Raw_Data'!$D$2:$D$59,"ผู้ป่วยสัมพันธ์",'Raw_Data'!$E$2:$E$59,"สายสนับสนุนทางการแพทย์"),"")</x:f>
        <x:v>66.66666666666667</x:v>
      </x:c>
      <x:c r="AO14" s="131" t="n">
        <x:f>IFERROR(100*COUNTIFS('Raw_Data'!$Q$2:$Q$59,"&gt;=1",'Raw_Data'!$Q$2:$Q$59,"&lt;=2",'Raw_Data'!$A$2:$A$59,"Yes",'Raw_Data'!$D$2:$D$59,"ฝ่ายการพยาบาล",'Raw_Data'!$E$2:$E$59,"สายสนับสนุนทางการแพทย์")/COUNTIFS('Raw_Data'!$Q$2:$Q$59,"&gt;=1",'Raw_Data'!$Q$2:$Q$59,"&lt;=5",'Raw_Data'!$A$2:$A$59,"Yes",'Raw_Data'!$D$2:$D$59,"ฝ่ายการพยาบาล",'Raw_Data'!$E$2:$E$59,"สายสนับสนุนทางการแพทย์"),"")</x:f>
        <x:v>100</x:v>
      </x:c>
      <x:c r="AP14" s="131" t="n">
        <x:f>IFERROR(100*COUNTIFS('Raw_Data'!$Q$2:$Q$59,"&gt;=1",'Raw_Data'!$Q$2:$Q$59,"&lt;=2",'Raw_Data'!$A$2:$A$59,"Yes",'Raw_Data'!$D$2:$D$59,"โภชนาการ",'Raw_Data'!$E$2:$E$59,"สายสนับสนุนทางการแพทย์")/COUNTIFS('Raw_Data'!$Q$2:$Q$59,"&gt;=1",'Raw_Data'!$Q$2:$Q$59,"&lt;=5",'Raw_Data'!$A$2:$A$59,"Yes",'Raw_Data'!$D$2:$D$59,"โภชนาการ",'Raw_Data'!$E$2:$E$59,"สายสนับสนุนทางการแพทย์"),"")</x:f>
        <x:v>100</x:v>
      </x:c>
      <x:c r="AQ14" s="131" t="n">
        <x:f>IFERROR(100*COUNTIFS('Raw_Data'!$Q$2:$Q$59,"&gt;=1",'Raw_Data'!$Q$2:$Q$59,"&lt;=2",'Raw_Data'!$A$2:$A$59,"Yes",'Raw_Data'!$D$2:$D$59,"ห้องยา",'Raw_Data'!$E$2:$E$59,"สายสนับสนุนทางการแพทย์")/COUNTIFS('Raw_Data'!$Q$2:$Q$59,"&gt;=1",'Raw_Data'!$Q$2:$Q$59,"&lt;=5",'Raw_Data'!$A$2:$A$59,"Yes",'Raw_Data'!$D$2:$D$59,"ห้องยา",'Raw_Data'!$E$2:$E$59,"สายสนับสนุนทางการแพทย์"),"")</x:f>
        <x:v>16.666666666666668</x:v>
      </x:c>
      <x:c r="AR14" s="131" t="n">
        <x:f>IFERROR(100*COUNTIFS('Raw_Data'!$Q$2:$Q$59,"&gt;=1",'Raw_Data'!$Q$2:$Q$59,"&lt;=2",'Raw_Data'!$A$2:$A$59,"Yes",'Raw_Data'!$D$2:$D$59,"ห้องแลป",'Raw_Data'!$E$2:$E$59,"สายสนับสนุนทางการแพทย์")/COUNTIFS('Raw_Data'!$Q$2:$Q$59,"&gt;=1",'Raw_Data'!$Q$2:$Q$59,"&lt;=5",'Raw_Data'!$A$2:$A$59,"Yes",'Raw_Data'!$D$2:$D$59,"ห้องแลป",'Raw_Data'!$E$2:$E$59,"สายสนับสนุนทางการแพทย์"),"")</x:f>
        <x:v>100</x:v>
      </x:c>
      <x:c r="AS14" s="131" t="n">
        <x:f>IFERROR(100*COUNTIFS('Raw_Data'!$Q$2:$Q$59,"&gt;=1",'Raw_Data'!$Q$2:$Q$59,"&lt;=2",'Raw_Data'!$A$2:$A$59,"Yes",'Raw_Data'!$D$2:$D$59,"ห้องเอ็กซเรย์",'Raw_Data'!$E$2:$E$59,"สายสนับสนุนทางการแพทย์")/COUNTIFS('Raw_Data'!$Q$2:$Q$59,"&gt;=1",'Raw_Data'!$Q$2:$Q$59,"&lt;=5",'Raw_Data'!$A$2:$A$59,"Yes",'Raw_Data'!$D$2:$D$59,"ห้องเอ็กซเรย์",'Raw_Data'!$E$2:$E$59,"สายสนับสนุนทางการแพทย์"),"")</x:f>
        <x:v>100</x:v>
      </x:c>
      <x:c r="AT14" s="131" t="n">
        <x:f>IFERROR(100*COUNTIFS('Raw_Data'!$Q$2:$Q$59,"&gt;=1",'Raw_Data'!$Q$2:$Q$59,"&lt;=2",'Raw_Data'!$A$2:$A$59,"Yes",'Raw_Data'!$D$2:$D$59,"ERและเปล",'Raw_Data'!$E$2:$E$59,"สายสนับสนุนทางการแพทย์")/COUNTIFS('Raw_Data'!$Q$2:$Q$59,"&gt;=1",'Raw_Data'!$Q$2:$Q$59,"&lt;=5",'Raw_Data'!$A$2:$A$59,"Yes",'Raw_Data'!$D$2:$D$59,"ERและเปล",'Raw_Data'!$E$2:$E$59,"สายสนับสนุนทางการแพทย์"),"")</x:f>
        <x:v>0</x:v>
      </x:c>
      <x:c r="AU14" s="131" t="n">
        <x:f>IFERROR(100*COUNTIFS('Raw_Data'!$Q$2:$Q$59,"&gt;=1",'Raw_Data'!$Q$2:$Q$59,"&lt;=2",'Raw_Data'!$A$2:$A$59,"Yes",'Raw_Data'!$D$2:$D$59,"ICU",'Raw_Data'!$E$2:$E$59,"สายสนับสนุนทางการแพทย์")/COUNTIFS('Raw_Data'!$Q$2:$Q$59,"&gt;=1",'Raw_Data'!$Q$2:$Q$59,"&lt;=5",'Raw_Data'!$A$2:$A$59,"Yes",'Raw_Data'!$D$2:$D$59,"ICU",'Raw_Data'!$E$2:$E$59,"สายสนับสนุนทางการแพทย์"),"")</x:f>
        <x:v>0</x:v>
      </x:c>
      <x:c r="AV14" s="131" t="n">
        <x:f>IFERROR(100*COUNTIFS('Raw_Data'!$Q$2:$Q$59,"&gt;=1",'Raw_Data'!$Q$2:$Q$59,"&lt;=2",'Raw_Data'!$A$2:$A$59,"Yes",'Raw_Data'!$D$2:$D$59,"IPD",'Raw_Data'!$E$2:$E$59,"สายสนับสนุนทางการแพทย์")/COUNTIFS('Raw_Data'!$Q$2:$Q$59,"&gt;=1",'Raw_Data'!$Q$2:$Q$59,"&lt;=5",'Raw_Data'!$A$2:$A$59,"Yes",'Raw_Data'!$D$2:$D$59,"IPD",'Raw_Data'!$E$2:$E$59,"สายสนับสนุนทางการแพทย์"),"")</x:f>
        <x:v>0</x:v>
      </x:c>
      <x:c r="AW14" s="131" t="n">
        <x:f>IFERROR(100*COUNTIFS('Raw_Data'!$Q$2:$Q$59,"&gt;=1",'Raw_Data'!$Q$2:$Q$59,"&lt;=2",'Raw_Data'!$A$2:$A$59,"Yes",'Raw_Data'!$D$2:$D$59,"IT",'Raw_Data'!$E$2:$E$59,"สายสนับสนุนทางการแพทย์")/COUNTIFS('Raw_Data'!$Q$2:$Q$59,"&gt;=1",'Raw_Data'!$Q$2:$Q$59,"&lt;=5",'Raw_Data'!$A$2:$A$59,"Yes",'Raw_Data'!$D$2:$D$59,"IT",'Raw_Data'!$E$2:$E$59,"สายสนับสนุนทางการแพทย์"),"")</x:f>
        <x:v>0</x:v>
      </x:c>
    </x:row>
    <x:row r="15" ht="42" customHeight="1">
      <x:c r="A15" s="123"/>
      <x:c r="B15" s="124" t="str">
        <x:v>A7. เมื่อมีการรายงานเหตุการณ์หรืออุบัติการณ์ในหน่วยงานที่ท่านทำงานอยู่ มักมีการระบุว่าเป็นความผิดหรือตำหนิตัวบุคคลเสมอ</x:v>
      </x:c>
      <x:c r="C15" s="131" t="n">
        <x:f>IFERROR(100*COUNTIFS('Raw_Data'!$R$2:$R$59,"&gt;=1",'Raw_Data'!$R$2:$R$59,"&lt;=2",'Raw_Data'!$A$2:$A$59,"Yes")/COUNTIFS('Raw_Data'!$R$2:$R$59,"&gt;=1",'Raw_Data'!$R$2:$R$59,"&lt;=5",'Raw_Data'!$A$2:$A$59,"Yes"),"")</x:f>
        <x:v>41.37931034482759</x:v>
      </x:c>
      <x:c r="D15" s="131" t="n">
        <x:f>IFERROR(100*COUNTIFS('Raw_Data'!$R$2:$R$59,"&gt;=1",'Raw_Data'!$R$2:$R$59,"&lt;=2",'Raw_Data'!$A$2:$A$59,"Yes",'Raw_Data'!$D$2:$D$59,"การเงิน")/COUNTIFS('Raw_Data'!$R$2:$R$59,"&gt;=1",'Raw_Data'!$R$2:$R$59,"&lt;=5",'Raw_Data'!$A$2:$A$59,"Yes",'Raw_Data'!$D$2:$D$59,"การเงิน"),"")</x:f>
        <x:v>33.333333333333336</x:v>
      </x:c>
      <x:c r="E15" s="131" t="n">
        <x:f>IFERROR(100*COUNTIFS('Raw_Data'!$R$2:$R$59,"&gt;=1",'Raw_Data'!$R$2:$R$59,"&lt;=2",'Raw_Data'!$A$2:$A$59,"Yes",'Raw_Data'!$D$2:$D$59,"เคหรักษ์")/COUNTIFS('Raw_Data'!$R$2:$R$59,"&gt;=1",'Raw_Data'!$R$2:$R$59,"&lt;=5",'Raw_Data'!$A$2:$A$59,"Yes",'Raw_Data'!$D$2:$D$59,"เคหรักษ์"),"")</x:f>
        <x:v>0</x:v>
      </x:c>
      <x:c r="F15" s="131" t="n">
        <x:f>IFERROR(100*COUNTIFS('Raw_Data'!$R$2:$R$59,"&gt;=1",'Raw_Data'!$R$2:$R$59,"&lt;=2",'Raw_Data'!$A$2:$A$59,"Yes",'Raw_Data'!$D$2:$D$59,"จ่ายกลาง")/COUNTIFS('Raw_Data'!$R$2:$R$59,"&gt;=1",'Raw_Data'!$R$2:$R$59,"&lt;=5",'Raw_Data'!$A$2:$A$59,"Yes",'Raw_Data'!$D$2:$D$59,"จ่ายกลาง"),"")</x:f>
        <x:v>0</x:v>
      </x:c>
      <x:c r="G15" s="131" t="n">
        <x:f>IFERROR(100*COUNTIFS('Raw_Data'!$R$2:$R$59,"&gt;=1",'Raw_Data'!$R$2:$R$59,"&lt;=2",'Raw_Data'!$A$2:$A$59,"Yes",'Raw_Data'!$D$2:$D$59,"ช่างและสนาม")/COUNTIFS('Raw_Data'!$R$2:$R$59,"&gt;=1",'Raw_Data'!$R$2:$R$59,"&lt;=5",'Raw_Data'!$A$2:$A$59,"Yes",'Raw_Data'!$D$2:$D$59,"ช่างและสนาม"),"")</x:f>
        <x:v>50</x:v>
      </x:c>
      <x:c r="H15" s="131" t="n">
        <x:f>IFERROR(100*COUNTIFS('Raw_Data'!$R$2:$R$59,"&gt;=1",'Raw_Data'!$R$2:$R$59,"&lt;=2",'Raw_Data'!$A$2:$A$59,"Yes",'Raw_Data'!$D$2:$D$59,"ผู้ป่วยสัมพันธ์")/COUNTIFS('Raw_Data'!$R$2:$R$59,"&gt;=1",'Raw_Data'!$R$2:$R$59,"&lt;=5",'Raw_Data'!$A$2:$A$59,"Yes",'Raw_Data'!$D$2:$D$59,"ผู้ป่วยสัมพันธ์"),"")</x:f>
        <x:v>50</x:v>
      </x:c>
      <x:c r="I15" s="131" t="n">
        <x:f>IFERROR(100*COUNTIFS('Raw_Data'!$R$2:$R$59,"&gt;=1",'Raw_Data'!$R$2:$R$59,"&lt;=2",'Raw_Data'!$A$2:$A$59,"Yes",'Raw_Data'!$D$2:$D$59,"ฝ่ายการพยาบาล")/COUNTIFS('Raw_Data'!$R$2:$R$59,"&gt;=1",'Raw_Data'!$R$2:$R$59,"&lt;=5",'Raw_Data'!$A$2:$A$59,"Yes",'Raw_Data'!$D$2:$D$59,"ฝ่ายการพยาบาล"),"")</x:f>
        <x:v>50</x:v>
      </x:c>
      <x:c r="J15" s="131" t="n">
        <x:f>IFERROR(100*COUNTIFS('Raw_Data'!$R$2:$R$59,"&gt;=1",'Raw_Data'!$R$2:$R$59,"&lt;=2",'Raw_Data'!$A$2:$A$59,"Yes",'Raw_Data'!$D$2:$D$59,"โภชนาการ")/COUNTIFS('Raw_Data'!$R$2:$R$59,"&gt;=1",'Raw_Data'!$R$2:$R$59,"&lt;=5",'Raw_Data'!$A$2:$A$59,"Yes",'Raw_Data'!$D$2:$D$59,"โภชนาการ"),"")</x:f>
        <x:v>100</x:v>
      </x:c>
      <x:c r="K15" s="131" t="n">
        <x:f>IFERROR(100*COUNTIFS('Raw_Data'!$R$2:$R$59,"&gt;=1",'Raw_Data'!$R$2:$R$59,"&lt;=2",'Raw_Data'!$A$2:$A$59,"Yes",'Raw_Data'!$D$2:$D$59,"ยานพาหนะ")/COUNTIFS('Raw_Data'!$R$2:$R$59,"&gt;=1",'Raw_Data'!$R$2:$R$59,"&lt;=5",'Raw_Data'!$A$2:$A$59,"Yes",'Raw_Data'!$D$2:$D$59,"ยานพาหนะ"),"")</x:f>
        <x:v>0</x:v>
      </x:c>
      <x:c r="L15" s="131" t="n">
        <x:f>IFERROR(100*COUNTIFS('Raw_Data'!$R$2:$R$59,"&gt;=1",'Raw_Data'!$R$2:$R$59,"&lt;=2",'Raw_Data'!$A$2:$A$59,"Yes",'Raw_Data'!$D$2:$D$59,"สื่อสารการตลาด")/COUNTIFS('Raw_Data'!$R$2:$R$59,"&gt;=1",'Raw_Data'!$R$2:$R$59,"&lt;=5",'Raw_Data'!$A$2:$A$59,"Yes",'Raw_Data'!$D$2:$D$59,"สื่อสารการตลาด"),"")</x:f>
        <x:v>100</x:v>
      </x:c>
      <x:c r="M15" s="131" t="n">
        <x:f>IFERROR(100*COUNTIFS('Raw_Data'!$R$2:$R$59,"&gt;=1",'Raw_Data'!$R$2:$R$59,"&lt;=2",'Raw_Data'!$A$2:$A$59,"Yes",'Raw_Data'!$D$2:$D$59,"ห้องยา")/COUNTIFS('Raw_Data'!$R$2:$R$59,"&gt;=1",'Raw_Data'!$R$2:$R$59,"&lt;=5",'Raw_Data'!$A$2:$A$59,"Yes",'Raw_Data'!$D$2:$D$59,"ห้องยา"),"")</x:f>
        <x:v>33.333333333333336</x:v>
      </x:c>
      <x:c r="N15" s="131" t="n">
        <x:f>IFERROR(100*COUNTIFS('Raw_Data'!$R$2:$R$59,"&gt;=1",'Raw_Data'!$R$2:$R$59,"&lt;=2",'Raw_Data'!$A$2:$A$59,"Yes",'Raw_Data'!$D$2:$D$59,"ห้องแลป")/COUNTIFS('Raw_Data'!$R$2:$R$59,"&gt;=1",'Raw_Data'!$R$2:$R$59,"&lt;=5",'Raw_Data'!$A$2:$A$59,"Yes",'Raw_Data'!$D$2:$D$59,"ห้องแลป"),"")</x:f>
        <x:v>50</x:v>
      </x:c>
      <x:c r="O15" s="131" t="n">
        <x:f>IFERROR(100*COUNTIFS('Raw_Data'!$R$2:$R$59,"&gt;=1",'Raw_Data'!$R$2:$R$59,"&lt;=2",'Raw_Data'!$A$2:$A$59,"Yes",'Raw_Data'!$D$2:$D$59,"ห้องเอ็กซเรย์")/COUNTIFS('Raw_Data'!$R$2:$R$59,"&gt;=1",'Raw_Data'!$R$2:$R$59,"&lt;=5",'Raw_Data'!$A$2:$A$59,"Yes",'Raw_Data'!$D$2:$D$59,"ห้องเอ็กซเรย์"),"")</x:f>
        <x:v>66.66666666666667</x:v>
      </x:c>
      <x:c r="P15" s="131" t="n">
        <x:f>IFERROR(100*COUNTIFS('Raw_Data'!$R$2:$R$59,"&gt;=1",'Raw_Data'!$R$2:$R$59,"&lt;=2",'Raw_Data'!$A$2:$A$59,"Yes",'Raw_Data'!$D$2:$D$59,"ERและเปล")/COUNTIFS('Raw_Data'!$R$2:$R$59,"&gt;=1",'Raw_Data'!$R$2:$R$59,"&lt;=5",'Raw_Data'!$A$2:$A$59,"Yes",'Raw_Data'!$D$2:$D$59,"ERและเปล"),"")</x:f>
        <x:v>27.272727272727273</x:v>
      </x:c>
      <x:c r="Q15" s="131" t="n">
        <x:f>IFERROR(100*COUNTIFS('Raw_Data'!$R$2:$R$59,"&gt;=1",'Raw_Data'!$R$2:$R$59,"&lt;=2",'Raw_Data'!$A$2:$A$59,"Yes",'Raw_Data'!$D$2:$D$59,"HR")/COUNTIFS('Raw_Data'!$R$2:$R$59,"&gt;=1",'Raw_Data'!$R$2:$R$59,"&lt;=5",'Raw_Data'!$A$2:$A$59,"Yes",'Raw_Data'!$D$2:$D$59,"HR"),"")</x:f>
        <x:v>0</x:v>
      </x:c>
      <x:c r="R15" s="131" t="n">
        <x:f>IFERROR(100*COUNTIFS('Raw_Data'!$R$2:$R$59,"&gt;=1",'Raw_Data'!$R$2:$R$59,"&lt;=2",'Raw_Data'!$A$2:$A$59,"Yes",'Raw_Data'!$D$2:$D$59,"ICU")/COUNTIFS('Raw_Data'!$R$2:$R$59,"&gt;=1",'Raw_Data'!$R$2:$R$59,"&lt;=5",'Raw_Data'!$A$2:$A$59,"Yes",'Raw_Data'!$D$2:$D$59,"ICU"),"")</x:f>
        <x:v>50</x:v>
      </x:c>
      <x:c r="S15" s="131" t="n">
        <x:f>IFERROR(100*COUNTIFS('Raw_Data'!$R$2:$R$59,"&gt;=1",'Raw_Data'!$R$2:$R$59,"&lt;=2",'Raw_Data'!$A$2:$A$59,"Yes",'Raw_Data'!$D$2:$D$59,"IPD")/COUNTIFS('Raw_Data'!$R$2:$R$59,"&gt;=1",'Raw_Data'!$R$2:$R$59,"&lt;=5",'Raw_Data'!$A$2:$A$59,"Yes",'Raw_Data'!$D$2:$D$59,"IPD"),"")</x:f>
        <x:v>50</x:v>
      </x:c>
      <x:c r="T15" s="131" t="n">
        <x:f>IFERROR(100*COUNTIFS('Raw_Data'!$R$2:$R$59,"&gt;=1",'Raw_Data'!$R$2:$R$59,"&lt;=2",'Raw_Data'!$A$2:$A$59,"Yes",'Raw_Data'!$D$2:$D$59,"IT")/COUNTIFS('Raw_Data'!$R$2:$R$59,"&gt;=1",'Raw_Data'!$R$2:$R$59,"&lt;=5",'Raw_Data'!$A$2:$A$59,"Yes",'Raw_Data'!$D$2:$D$59,"IT"),"")</x:f>
        <x:v>50</x:v>
      </x:c>
      <x:c r="U15" s="131" t="n">
        <x:f>IFERROR(100*COUNTIFS('Raw_Data'!$R$2:$R$59,"&gt;=1",'Raw_Data'!$R$2:$R$59,"&lt;=2",'Raw_Data'!$A$2:$A$59,"Yes",'Raw_Data'!$D$2:$D$59,"OR")/COUNTIFS('Raw_Data'!$R$2:$R$59,"&gt;=1",'Raw_Data'!$R$2:$R$59,"&lt;=5",'Raw_Data'!$A$2:$A$59,"Yes",'Raw_Data'!$D$2:$D$59,"OR"),"")</x:f>
        <x:v>50</x:v>
      </x:c>
      <x:c r="V15" s="131" t="n">
        <x:f>IFERROR(100*COUNTIFS('Raw_Data'!$R$2:$R$59,"&gt;=1",'Raw_Data'!$R$2:$R$59,"&lt;=2",'Raw_Data'!$A$2:$A$59,"Yes",'Raw_Data'!$D$2:$D$59,"IPD",'Raw_Data'!$E$2:$E$59,"ผู้บริหาร")/COUNTIFS('Raw_Data'!$R$2:$R$59,"&gt;=1",'Raw_Data'!$R$2:$R$59,"&lt;=5",'Raw_Data'!$A$2:$A$59,"Yes",'Raw_Data'!$D$2:$D$59,"IPD",'Raw_Data'!$E$2:$E$59,"ผู้บริหาร"),"")</x:f>
        <x:v>0</x:v>
      </x:c>
      <x:c r="W15" s="131" t="n">
        <x:f>IFERROR(100*COUNTIFS('Raw_Data'!$R$2:$R$59,"&gt;=1",'Raw_Data'!$R$2:$R$59,"&lt;=2",'Raw_Data'!$A$2:$A$59,"Yes",'Raw_Data'!$D$2:$D$59,"ฝ่ายการพยาบาล",'Raw_Data'!$E$2:$E$59,"สายวิชาชีพสาธารณสุข")/COUNTIFS('Raw_Data'!$R$2:$R$59,"&gt;=1",'Raw_Data'!$R$2:$R$59,"&lt;=5",'Raw_Data'!$A$2:$A$59,"Yes",'Raw_Data'!$D$2:$D$59,"ฝ่ายการพยาบาล",'Raw_Data'!$E$2:$E$59,"สายวิชาชีพสาธารณสุข"),"")</x:f>
        <x:v>0</x:v>
      </x:c>
      <x:c r="X15" s="131" t="n">
        <x:f>IFERROR(100*COUNTIFS('Raw_Data'!$R$2:$R$59,"&gt;=1",'Raw_Data'!$R$2:$R$59,"&lt;=2",'Raw_Data'!$A$2:$A$59,"Yes",'Raw_Data'!$D$2:$D$59,"ERและเปล",'Raw_Data'!$E$2:$E$59,"สายวิชาชีพสาธารณสุข")/COUNTIFS('Raw_Data'!$R$2:$R$59,"&gt;=1",'Raw_Data'!$R$2:$R$59,"&lt;=5",'Raw_Data'!$A$2:$A$59,"Yes",'Raw_Data'!$D$2:$D$59,"ERและเปล",'Raw_Data'!$E$2:$E$59,"สายวิชาชีพสาธารณสุข"),"")</x:f>
        <x:v>14.285714285714286</x:v>
      </x:c>
      <x:c r="Y15" s="131" t="n">
        <x:f>IFERROR(100*COUNTIFS('Raw_Data'!$R$2:$R$59,"&gt;=1",'Raw_Data'!$R$2:$R$59,"&lt;=2",'Raw_Data'!$A$2:$A$59,"Yes",'Raw_Data'!$D$2:$D$59,"ICU",'Raw_Data'!$E$2:$E$59,"สายวิชาชีพสาธารณสุข")/COUNTIFS('Raw_Data'!$R$2:$R$59,"&gt;=1",'Raw_Data'!$R$2:$R$59,"&lt;=5",'Raw_Data'!$A$2:$A$59,"Yes",'Raw_Data'!$D$2:$D$59,"ICU",'Raw_Data'!$E$2:$E$59,"สายวิชาชีพสาธารณสุข"),"")</x:f>
        <x:v>100</x:v>
      </x:c>
      <x:c r="Z15" s="131" t="n">
        <x:f>IFERROR(100*COUNTIFS('Raw_Data'!$R$2:$R$59,"&gt;=1",'Raw_Data'!$R$2:$R$59,"&lt;=2",'Raw_Data'!$A$2:$A$59,"Yes",'Raw_Data'!$D$2:$D$59,"IPD",'Raw_Data'!$E$2:$E$59,"สายวิชาชีพสาธารณสุข")/COUNTIFS('Raw_Data'!$R$2:$R$59,"&gt;=1",'Raw_Data'!$R$2:$R$59,"&lt;=5",'Raw_Data'!$A$2:$A$59,"Yes",'Raw_Data'!$D$2:$D$59,"IPD",'Raw_Data'!$E$2:$E$59,"สายวิชาชีพสาธารณสุข"),"")</x:f>
        <x:v>100</x:v>
      </x:c>
      <x:c r="AA15" s="131" t="n">
        <x:f>IFERROR(100*COUNTIFS('Raw_Data'!$R$2:$R$59,"&gt;=1",'Raw_Data'!$R$2:$R$59,"&lt;=2",'Raw_Data'!$A$2:$A$59,"Yes",'Raw_Data'!$D$2:$D$59,"OR",'Raw_Data'!$E$2:$E$59,"สายวิชาชีพสาธารณสุข")/COUNTIFS('Raw_Data'!$R$2:$R$59,"&gt;=1",'Raw_Data'!$R$2:$R$59,"&lt;=5",'Raw_Data'!$A$2:$A$59,"Yes",'Raw_Data'!$D$2:$D$59,"OR",'Raw_Data'!$E$2:$E$59,"สายวิชาชีพสาธารณสุข"),"")</x:f>
        <x:v>50</x:v>
      </x:c>
      <x:c r="AB15" s="131" t="n">
        <x:f>IFERROR(100*COUNTIFS('Raw_Data'!$R$2:$R$59,"&gt;=1",'Raw_Data'!$R$2:$R$59,"&lt;=2",'Raw_Data'!$A$2:$A$59,"Yes",'Raw_Data'!$D$2:$D$59,"การเงิน",'Raw_Data'!$E$2:$E$59,"สายสนับสนุนทั่วไป")/COUNTIFS('Raw_Data'!$R$2:$R$59,"&gt;=1",'Raw_Data'!$R$2:$R$59,"&lt;=5",'Raw_Data'!$A$2:$A$59,"Yes",'Raw_Data'!$D$2:$D$59,"การเงิน",'Raw_Data'!$E$2:$E$59,"สายสนับสนุนทั่วไป"),"")</x:f>
        <x:v>33.333333333333336</x:v>
      </x:c>
      <x:c r="AC15" s="131" t="n">
        <x:f>IFERROR(100*COUNTIFS('Raw_Data'!$R$2:$R$59,"&gt;=1",'Raw_Data'!$R$2:$R$59,"&lt;=2",'Raw_Data'!$A$2:$A$59,"Yes",'Raw_Data'!$D$2:$D$59,"เคหรักษ์",'Raw_Data'!$E$2:$E$59,"สายสนับสนุนทั่วไป")/COUNTIFS('Raw_Data'!$R$2:$R$59,"&gt;=1",'Raw_Data'!$R$2:$R$59,"&lt;=5",'Raw_Data'!$A$2:$A$59,"Yes",'Raw_Data'!$D$2:$D$59,"เคหรักษ์",'Raw_Data'!$E$2:$E$59,"สายสนับสนุนทั่วไป"),"")</x:f>
        <x:v>0</x:v>
      </x:c>
      <x:c r="AD15" s="131" t="n">
        <x:f>IFERROR(100*COUNTIFS('Raw_Data'!$R$2:$R$59,"&gt;=1",'Raw_Data'!$R$2:$R$59,"&lt;=2",'Raw_Data'!$A$2:$A$59,"Yes",'Raw_Data'!$D$2:$D$59,"จ่ายกลาง",'Raw_Data'!$E$2:$E$59,"สายสนับสนุนทั่วไป")/COUNTIFS('Raw_Data'!$R$2:$R$59,"&gt;=1",'Raw_Data'!$R$2:$R$59,"&lt;=5",'Raw_Data'!$A$2:$A$59,"Yes",'Raw_Data'!$D$2:$D$59,"จ่ายกลาง",'Raw_Data'!$E$2:$E$59,"สายสนับสนุนทั่วไป"),"")</x:f>
        <x:v>0</x:v>
      </x:c>
      <x:c r="AE15" s="131" t="n">
        <x:f>IFERROR(100*COUNTIFS('Raw_Data'!$R$2:$R$59,"&gt;=1",'Raw_Data'!$R$2:$R$59,"&lt;=2",'Raw_Data'!$A$2:$A$59,"Yes",'Raw_Data'!$D$2:$D$59,"ช่างและสนาม",'Raw_Data'!$E$2:$E$59,"สายสนับสนุนทั่วไป")/COUNTIFS('Raw_Data'!$R$2:$R$59,"&gt;=1",'Raw_Data'!$R$2:$R$59,"&lt;=5",'Raw_Data'!$A$2:$A$59,"Yes",'Raw_Data'!$D$2:$D$59,"ช่างและสนาม",'Raw_Data'!$E$2:$E$59,"สายสนับสนุนทั่วไป"),"")</x:f>
        <x:v>50</x:v>
      </x:c>
      <x:c r="AF15" s="131" t="n">
        <x:f>IFERROR(100*COUNTIFS('Raw_Data'!$R$2:$R$59,"&gt;=1",'Raw_Data'!$R$2:$R$59,"&lt;=2",'Raw_Data'!$A$2:$A$59,"Yes",'Raw_Data'!$D$2:$D$59,"ผู้ป่วยสัมพันธ์",'Raw_Data'!$E$2:$E$59,"สายสนับสนุนทั่วไป")/COUNTIFS('Raw_Data'!$R$2:$R$59,"&gt;=1",'Raw_Data'!$R$2:$R$59,"&lt;=5",'Raw_Data'!$A$2:$A$59,"Yes",'Raw_Data'!$D$2:$D$59,"ผู้ป่วยสัมพันธ์",'Raw_Data'!$E$2:$E$59,"สายสนับสนุนทั่วไป"),"")</x:f>
        <x:v>0</x:v>
      </x:c>
      <x:c r="AG15" s="131" t="n">
        <x:f>IFERROR(100*COUNTIFS('Raw_Data'!$R$2:$R$59,"&gt;=1",'Raw_Data'!$R$2:$R$59,"&lt;=2",'Raw_Data'!$A$2:$A$59,"Yes",'Raw_Data'!$D$2:$D$59,"ยานพาหนะ",'Raw_Data'!$E$2:$E$59,"สายสนับสนุนทั่วไป")/COUNTIFS('Raw_Data'!$R$2:$R$59,"&gt;=1",'Raw_Data'!$R$2:$R$59,"&lt;=5",'Raw_Data'!$A$2:$A$59,"Yes",'Raw_Data'!$D$2:$D$59,"ยานพาหนะ",'Raw_Data'!$E$2:$E$59,"สายสนับสนุนทั่วไป"),"")</x:f>
        <x:v>0</x:v>
      </x:c>
      <x:c r="AH15" s="131" t="n">
        <x:f>IFERROR(100*COUNTIFS('Raw_Data'!$R$2:$R$59,"&gt;=1",'Raw_Data'!$R$2:$R$59,"&lt;=2",'Raw_Data'!$A$2:$A$59,"Yes",'Raw_Data'!$D$2:$D$59,"สื่อสารการตลาด",'Raw_Data'!$E$2:$E$59,"สายสนับสนุนทั่วไป")/COUNTIFS('Raw_Data'!$R$2:$R$59,"&gt;=1",'Raw_Data'!$R$2:$R$59,"&lt;=5",'Raw_Data'!$A$2:$A$59,"Yes",'Raw_Data'!$D$2:$D$59,"สื่อสารการตลาด",'Raw_Data'!$E$2:$E$59,"สายสนับสนุนทั่วไป"),"")</x:f>
        <x:v>100</x:v>
      </x:c>
      <x:c r="AI15" s="131" t="n">
        <x:f>IFERROR(100*COUNTIFS('Raw_Data'!$R$2:$R$59,"&gt;=1",'Raw_Data'!$R$2:$R$59,"&lt;=2",'Raw_Data'!$A$2:$A$59,"Yes",'Raw_Data'!$D$2:$D$59,"ERและเปล",'Raw_Data'!$E$2:$E$59,"สายสนับสนุนทั่วไป")/COUNTIFS('Raw_Data'!$R$2:$R$59,"&gt;=1",'Raw_Data'!$R$2:$R$59,"&lt;=5",'Raw_Data'!$A$2:$A$59,"Yes",'Raw_Data'!$D$2:$D$59,"ERและเปล",'Raw_Data'!$E$2:$E$59,"สายสนับสนุนทั่วไป"),"")</x:f>
        <x:v>33.333333333333336</x:v>
      </x:c>
      <x:c r="AJ15" s="131" t="n">
        <x:f>IFERROR(100*COUNTIFS('Raw_Data'!$R$2:$R$59,"&gt;=1",'Raw_Data'!$R$2:$R$59,"&lt;=2",'Raw_Data'!$A$2:$A$59,"Yes",'Raw_Data'!$D$2:$D$59,"HR",'Raw_Data'!$E$2:$E$59,"สายสนับสนุนทั่วไป")/COUNTIFS('Raw_Data'!$R$2:$R$59,"&gt;=1",'Raw_Data'!$R$2:$R$59,"&lt;=5",'Raw_Data'!$A$2:$A$59,"Yes",'Raw_Data'!$D$2:$D$59,"HR",'Raw_Data'!$E$2:$E$59,"สายสนับสนุนทั่วไป"),"")</x:f>
        <x:v>0</x:v>
      </x:c>
      <x:c r="AK15" s="131" t="n">
        <x:f>IFERROR(100*COUNTIFS('Raw_Data'!$R$2:$R$59,"&gt;=1",'Raw_Data'!$R$2:$R$59,"&lt;=2",'Raw_Data'!$A$2:$A$59,"Yes",'Raw_Data'!$D$2:$D$59,"ICU",'Raw_Data'!$E$2:$E$59,"สายสนับสนุนทั่วไป")/COUNTIFS('Raw_Data'!$R$2:$R$59,"&gt;=1",'Raw_Data'!$R$2:$R$59,"&lt;=5",'Raw_Data'!$A$2:$A$59,"Yes",'Raw_Data'!$D$2:$D$59,"ICU",'Raw_Data'!$E$2:$E$59,"สายสนับสนุนทั่วไป"),"")</x:f>
        <x:v>0</x:v>
      </x:c>
      <x:c r="AL15" s="131" t="n">
        <x:f>IFERROR(100*COUNTIFS('Raw_Data'!$R$2:$R$59,"&gt;=1",'Raw_Data'!$R$2:$R$59,"&lt;=2",'Raw_Data'!$A$2:$A$59,"Yes",'Raw_Data'!$D$2:$D$59,"IPD",'Raw_Data'!$E$2:$E$59,"สายสนับสนุนทั่วไป")/COUNTIFS('Raw_Data'!$R$2:$R$59,"&gt;=1",'Raw_Data'!$R$2:$R$59,"&lt;=5",'Raw_Data'!$A$2:$A$59,"Yes",'Raw_Data'!$D$2:$D$59,"IPD",'Raw_Data'!$E$2:$E$59,"สายสนับสนุนทั่วไป"),"")</x:f>
        <x:v>0</x:v>
      </x:c>
      <x:c r="AM15" s="131" t="n">
        <x:f>IFERROR(100*COUNTIFS('Raw_Data'!$R$2:$R$59,"&gt;=1",'Raw_Data'!$R$2:$R$59,"&lt;=2",'Raw_Data'!$A$2:$A$59,"Yes",'Raw_Data'!$D$2:$D$59,"IT",'Raw_Data'!$E$2:$E$59,"สายสนับสนุนทั่วไป")/COUNTIFS('Raw_Data'!$R$2:$R$59,"&gt;=1",'Raw_Data'!$R$2:$R$59,"&lt;=5",'Raw_Data'!$A$2:$A$59,"Yes",'Raw_Data'!$D$2:$D$59,"IT",'Raw_Data'!$E$2:$E$59,"สายสนับสนุนทั่วไป"),"")</x:f>
        <x:v>100</x:v>
      </x:c>
      <x:c r="AN15" s="131" t="n">
        <x:f>IFERROR(100*COUNTIFS('Raw_Data'!$R$2:$R$59,"&gt;=1",'Raw_Data'!$R$2:$R$59,"&lt;=2",'Raw_Data'!$A$2:$A$59,"Yes",'Raw_Data'!$D$2:$D$59,"ผู้ป่วยสัมพันธ์",'Raw_Data'!$E$2:$E$59,"สายสนับสนุนทางการแพทย์")/COUNTIFS('Raw_Data'!$R$2:$R$59,"&gt;=1",'Raw_Data'!$R$2:$R$59,"&lt;=5",'Raw_Data'!$A$2:$A$59,"Yes",'Raw_Data'!$D$2:$D$59,"ผู้ป่วยสัมพันธ์",'Raw_Data'!$E$2:$E$59,"สายสนับสนุนทางการแพทย์"),"")</x:f>
        <x:v>66.66666666666667</x:v>
      </x:c>
      <x:c r="AO15" s="131" t="n">
        <x:f>IFERROR(100*COUNTIFS('Raw_Data'!$R$2:$R$59,"&gt;=1",'Raw_Data'!$R$2:$R$59,"&lt;=2",'Raw_Data'!$A$2:$A$59,"Yes",'Raw_Data'!$D$2:$D$59,"ฝ่ายการพยาบาล",'Raw_Data'!$E$2:$E$59,"สายสนับสนุนทางการแพทย์")/COUNTIFS('Raw_Data'!$R$2:$R$59,"&gt;=1",'Raw_Data'!$R$2:$R$59,"&lt;=5",'Raw_Data'!$A$2:$A$59,"Yes",'Raw_Data'!$D$2:$D$59,"ฝ่ายการพยาบาล",'Raw_Data'!$E$2:$E$59,"สายสนับสนุนทางการแพทย์"),"")</x:f>
        <x:v>100</x:v>
      </x:c>
      <x:c r="AP15" s="131" t="n">
        <x:f>IFERROR(100*COUNTIFS('Raw_Data'!$R$2:$R$59,"&gt;=1",'Raw_Data'!$R$2:$R$59,"&lt;=2",'Raw_Data'!$A$2:$A$59,"Yes",'Raw_Data'!$D$2:$D$59,"โภชนาการ",'Raw_Data'!$E$2:$E$59,"สายสนับสนุนทางการแพทย์")/COUNTIFS('Raw_Data'!$R$2:$R$59,"&gt;=1",'Raw_Data'!$R$2:$R$59,"&lt;=5",'Raw_Data'!$A$2:$A$59,"Yes",'Raw_Data'!$D$2:$D$59,"โภชนาการ",'Raw_Data'!$E$2:$E$59,"สายสนับสนุนทางการแพทย์"),"")</x:f>
        <x:v>100</x:v>
      </x:c>
      <x:c r="AQ15" s="131" t="n">
        <x:f>IFERROR(100*COUNTIFS('Raw_Data'!$R$2:$R$59,"&gt;=1",'Raw_Data'!$R$2:$R$59,"&lt;=2",'Raw_Data'!$A$2:$A$59,"Yes",'Raw_Data'!$D$2:$D$59,"ห้องยา",'Raw_Data'!$E$2:$E$59,"สายสนับสนุนทางการแพทย์")/COUNTIFS('Raw_Data'!$R$2:$R$59,"&gt;=1",'Raw_Data'!$R$2:$R$59,"&lt;=5",'Raw_Data'!$A$2:$A$59,"Yes",'Raw_Data'!$D$2:$D$59,"ห้องยา",'Raw_Data'!$E$2:$E$59,"สายสนับสนุนทางการแพทย์"),"")</x:f>
        <x:v>33.333333333333336</x:v>
      </x:c>
      <x:c r="AR15" s="131" t="n">
        <x:f>IFERROR(100*COUNTIFS('Raw_Data'!$R$2:$R$59,"&gt;=1",'Raw_Data'!$R$2:$R$59,"&lt;=2",'Raw_Data'!$A$2:$A$59,"Yes",'Raw_Data'!$D$2:$D$59,"ห้องแลป",'Raw_Data'!$E$2:$E$59,"สายสนับสนุนทางการแพทย์")/COUNTIFS('Raw_Data'!$R$2:$R$59,"&gt;=1",'Raw_Data'!$R$2:$R$59,"&lt;=5",'Raw_Data'!$A$2:$A$59,"Yes",'Raw_Data'!$D$2:$D$59,"ห้องแลป",'Raw_Data'!$E$2:$E$59,"สายสนับสนุนทางการแพทย์"),"")</x:f>
        <x:v>50</x:v>
      </x:c>
      <x:c r="AS15" s="131" t="n">
        <x:f>IFERROR(100*COUNTIFS('Raw_Data'!$R$2:$R$59,"&gt;=1",'Raw_Data'!$R$2:$R$59,"&lt;=2",'Raw_Data'!$A$2:$A$59,"Yes",'Raw_Data'!$D$2:$D$59,"ห้องเอ็กซเรย์",'Raw_Data'!$E$2:$E$59,"สายสนับสนุนทางการแพทย์")/COUNTIFS('Raw_Data'!$R$2:$R$59,"&gt;=1",'Raw_Data'!$R$2:$R$59,"&lt;=5",'Raw_Data'!$A$2:$A$59,"Yes",'Raw_Data'!$D$2:$D$59,"ห้องเอ็กซเรย์",'Raw_Data'!$E$2:$E$59,"สายสนับสนุนทางการแพทย์"),"")</x:f>
        <x:v>66.66666666666667</x:v>
      </x:c>
      <x:c r="AT15" s="131" t="n">
        <x:f>IFERROR(100*COUNTIFS('Raw_Data'!$R$2:$R$59,"&gt;=1",'Raw_Data'!$R$2:$R$59,"&lt;=2",'Raw_Data'!$A$2:$A$59,"Yes",'Raw_Data'!$D$2:$D$59,"ERและเปล",'Raw_Data'!$E$2:$E$59,"สายสนับสนุนทางการแพทย์")/COUNTIFS('Raw_Data'!$R$2:$R$59,"&gt;=1",'Raw_Data'!$R$2:$R$59,"&lt;=5",'Raw_Data'!$A$2:$A$59,"Yes",'Raw_Data'!$D$2:$D$59,"ERและเปล",'Raw_Data'!$E$2:$E$59,"สายสนับสนุนทางการแพทย์"),"")</x:f>
        <x:v>100</x:v>
      </x:c>
      <x:c r="AU15" s="131" t="n">
        <x:f>IFERROR(100*COUNTIFS('Raw_Data'!$R$2:$R$59,"&gt;=1",'Raw_Data'!$R$2:$R$59,"&lt;=2",'Raw_Data'!$A$2:$A$59,"Yes",'Raw_Data'!$D$2:$D$59,"ICU",'Raw_Data'!$E$2:$E$59,"สายสนับสนุนทางการแพทย์")/COUNTIFS('Raw_Data'!$R$2:$R$59,"&gt;=1",'Raw_Data'!$R$2:$R$59,"&lt;=5",'Raw_Data'!$A$2:$A$59,"Yes",'Raw_Data'!$D$2:$D$59,"ICU",'Raw_Data'!$E$2:$E$59,"สายสนับสนุนทางการแพทย์"),"")</x:f>
        <x:v>0</x:v>
      </x:c>
      <x:c r="AV15" s="131" t="n">
        <x:f>IFERROR(100*COUNTIFS('Raw_Data'!$R$2:$R$59,"&gt;=1",'Raw_Data'!$R$2:$R$59,"&lt;=2",'Raw_Data'!$A$2:$A$59,"Yes",'Raw_Data'!$D$2:$D$59,"IPD",'Raw_Data'!$E$2:$E$59,"สายสนับสนุนทางการแพทย์")/COUNTIFS('Raw_Data'!$R$2:$R$59,"&gt;=1",'Raw_Data'!$R$2:$R$59,"&lt;=5",'Raw_Data'!$A$2:$A$59,"Yes",'Raw_Data'!$D$2:$D$59,"IPD",'Raw_Data'!$E$2:$E$59,"สายสนับสนุนทางการแพทย์"),"")</x:f>
        <x:v>50</x:v>
      </x:c>
      <x:c r="AW15" s="131" t="n">
        <x:f>IFERROR(100*COUNTIFS('Raw_Data'!$R$2:$R$59,"&gt;=1",'Raw_Data'!$R$2:$R$59,"&lt;=2",'Raw_Data'!$A$2:$A$59,"Yes",'Raw_Data'!$D$2:$D$59,"IT",'Raw_Data'!$E$2:$E$59,"สายสนับสนุนทางการแพทย์")/COUNTIFS('Raw_Data'!$R$2:$R$59,"&gt;=1",'Raw_Data'!$R$2:$R$59,"&lt;=5",'Raw_Data'!$A$2:$A$59,"Yes",'Raw_Data'!$D$2:$D$59,"IT",'Raw_Data'!$E$2:$E$59,"สายสนับสนุนทางการแพทย์"),"")</x:f>
        <x:v>0</x:v>
      </x:c>
    </x:row>
    <x:row r="16" ht="42" customHeight="1">
      <x:c r="A16" s="123"/>
      <x:c r="B16" s="124" t="str">
        <x:v>A10. เมื่อบุคลากรทำงานผิดพลาดหรือคลาดเคลื่อน หน่วยงานที่ท่านทำงานอยู่จะมุ่งเน้นที่การเรียนรู้มากกว่าการกล่าวโทษตัวบุคคล</x:v>
      </x:c>
      <x:c r="C16" s="131" t="n">
        <x:f>IFERROR(100*COUNTIFS('Raw_Data'!$S$2:$S$59,"&gt;=4",'Raw_Data'!$S$2:$S$59,"&lt;=5",'Raw_Data'!$A$2:$A$59,"Yes")/COUNTIFS('Raw_Data'!$S$2:$S$59,"&gt;=1",'Raw_Data'!$S$2:$S$59,"&lt;=5",'Raw_Data'!$A$2:$A$59,"Yes"),"")</x:f>
        <x:v>39.6551724137931</x:v>
      </x:c>
      <x:c r="D16" s="131" t="n">
        <x:f>IFERROR(100*COUNTIFS('Raw_Data'!$S$2:$S$59,"&gt;=4",'Raw_Data'!$S$2:$S$59,"&lt;=5",'Raw_Data'!$A$2:$A$59,"Yes",'Raw_Data'!$D$2:$D$59,"การเงิน")/COUNTIFS('Raw_Data'!$S$2:$S$59,"&gt;=1",'Raw_Data'!$S$2:$S$59,"&lt;=5",'Raw_Data'!$A$2:$A$59,"Yes",'Raw_Data'!$D$2:$D$59,"การเงิน"),"")</x:f>
        <x:v>33.333333333333336</x:v>
      </x:c>
      <x:c r="E16" s="131" t="n">
        <x:f>IFERROR(100*COUNTIFS('Raw_Data'!$S$2:$S$59,"&gt;=4",'Raw_Data'!$S$2:$S$59,"&lt;=5",'Raw_Data'!$A$2:$A$59,"Yes",'Raw_Data'!$D$2:$D$59,"เคหรักษ์")/COUNTIFS('Raw_Data'!$S$2:$S$59,"&gt;=1",'Raw_Data'!$S$2:$S$59,"&lt;=5",'Raw_Data'!$A$2:$A$59,"Yes",'Raw_Data'!$D$2:$D$59,"เคหรักษ์"),"")</x:f>
        <x:v>0</x:v>
      </x:c>
      <x:c r="F16" s="131" t="n">
        <x:f>IFERROR(100*COUNTIFS('Raw_Data'!$S$2:$S$59,"&gt;=4",'Raw_Data'!$S$2:$S$59,"&lt;=5",'Raw_Data'!$A$2:$A$59,"Yes",'Raw_Data'!$D$2:$D$59,"จ่ายกลาง")/COUNTIFS('Raw_Data'!$S$2:$S$59,"&gt;=1",'Raw_Data'!$S$2:$S$59,"&lt;=5",'Raw_Data'!$A$2:$A$59,"Yes",'Raw_Data'!$D$2:$D$59,"จ่ายกลาง"),"")</x:f>
        <x:v>0</x:v>
      </x:c>
      <x:c r="G16" s="131" t="n">
        <x:f>IFERROR(100*COUNTIFS('Raw_Data'!$S$2:$S$59,"&gt;=4",'Raw_Data'!$S$2:$S$59,"&lt;=5",'Raw_Data'!$A$2:$A$59,"Yes",'Raw_Data'!$D$2:$D$59,"ช่างและสนาม")/COUNTIFS('Raw_Data'!$S$2:$S$59,"&gt;=1",'Raw_Data'!$S$2:$S$59,"&lt;=5",'Raw_Data'!$A$2:$A$59,"Yes",'Raw_Data'!$D$2:$D$59,"ช่างและสนาม"),"")</x:f>
        <x:v>75</x:v>
      </x:c>
      <x:c r="H16" s="131" t="n">
        <x:f>IFERROR(100*COUNTIFS('Raw_Data'!$S$2:$S$59,"&gt;=4",'Raw_Data'!$S$2:$S$59,"&lt;=5",'Raw_Data'!$A$2:$A$59,"Yes",'Raw_Data'!$D$2:$D$59,"ผู้ป่วยสัมพันธ์")/COUNTIFS('Raw_Data'!$S$2:$S$59,"&gt;=1",'Raw_Data'!$S$2:$S$59,"&lt;=5",'Raw_Data'!$A$2:$A$59,"Yes",'Raw_Data'!$D$2:$D$59,"ผู้ป่วยสัมพันธ์"),"")</x:f>
        <x:v>50</x:v>
      </x:c>
      <x:c r="I16" s="131" t="n">
        <x:f>IFERROR(100*COUNTIFS('Raw_Data'!$S$2:$S$59,"&gt;=4",'Raw_Data'!$S$2:$S$59,"&lt;=5",'Raw_Data'!$A$2:$A$59,"Yes",'Raw_Data'!$D$2:$D$59,"ฝ่ายการพยาบาล")/COUNTIFS('Raw_Data'!$S$2:$S$59,"&gt;=1",'Raw_Data'!$S$2:$S$59,"&lt;=5",'Raw_Data'!$A$2:$A$59,"Yes",'Raw_Data'!$D$2:$D$59,"ฝ่ายการพยาบาล"),"")</x:f>
        <x:v>50</x:v>
      </x:c>
      <x:c r="J16" s="131" t="n">
        <x:f>IFERROR(100*COUNTIFS('Raw_Data'!$S$2:$S$59,"&gt;=4",'Raw_Data'!$S$2:$S$59,"&lt;=5",'Raw_Data'!$A$2:$A$59,"Yes",'Raw_Data'!$D$2:$D$59,"โภชนาการ")/COUNTIFS('Raw_Data'!$S$2:$S$59,"&gt;=1",'Raw_Data'!$S$2:$S$59,"&lt;=5",'Raw_Data'!$A$2:$A$59,"Yes",'Raw_Data'!$D$2:$D$59,"โภชนาการ"),"")</x:f>
        <x:v>100</x:v>
      </x:c>
      <x:c r="K16" s="131" t="n">
        <x:f>IFERROR(100*COUNTIFS('Raw_Data'!$S$2:$S$59,"&gt;=4",'Raw_Data'!$S$2:$S$59,"&lt;=5",'Raw_Data'!$A$2:$A$59,"Yes",'Raw_Data'!$D$2:$D$59,"ยานพาหนะ")/COUNTIFS('Raw_Data'!$S$2:$S$59,"&gt;=1",'Raw_Data'!$S$2:$S$59,"&lt;=5",'Raw_Data'!$A$2:$A$59,"Yes",'Raw_Data'!$D$2:$D$59,"ยานพาหนะ"),"")</x:f>
        <x:v>100</x:v>
      </x:c>
      <x:c r="L16" s="131" t="n">
        <x:f>IFERROR(100*COUNTIFS('Raw_Data'!$S$2:$S$59,"&gt;=4",'Raw_Data'!$S$2:$S$59,"&lt;=5",'Raw_Data'!$A$2:$A$59,"Yes",'Raw_Data'!$D$2:$D$59,"สื่อสารการตลาด")/COUNTIFS('Raw_Data'!$S$2:$S$59,"&gt;=1",'Raw_Data'!$S$2:$S$59,"&lt;=5",'Raw_Data'!$A$2:$A$59,"Yes",'Raw_Data'!$D$2:$D$59,"สื่อสารการตลาด"),"")</x:f>
        <x:v>0</x:v>
      </x:c>
      <x:c r="M16" s="131" t="n">
        <x:f>IFERROR(100*COUNTIFS('Raw_Data'!$S$2:$S$59,"&gt;=4",'Raw_Data'!$S$2:$S$59,"&lt;=5",'Raw_Data'!$A$2:$A$59,"Yes",'Raw_Data'!$D$2:$D$59,"ห้องยา")/COUNTIFS('Raw_Data'!$S$2:$S$59,"&gt;=1",'Raw_Data'!$S$2:$S$59,"&lt;=5",'Raw_Data'!$A$2:$A$59,"Yes",'Raw_Data'!$D$2:$D$59,"ห้องยา"),"")</x:f>
        <x:v>33.333333333333336</x:v>
      </x:c>
      <x:c r="N16" s="131" t="n">
        <x:f>IFERROR(100*COUNTIFS('Raw_Data'!$S$2:$S$59,"&gt;=4",'Raw_Data'!$S$2:$S$59,"&lt;=5",'Raw_Data'!$A$2:$A$59,"Yes",'Raw_Data'!$D$2:$D$59,"ห้องแลป")/COUNTIFS('Raw_Data'!$S$2:$S$59,"&gt;=1",'Raw_Data'!$S$2:$S$59,"&lt;=5",'Raw_Data'!$A$2:$A$59,"Yes",'Raw_Data'!$D$2:$D$59,"ห้องแลป"),"")</x:f>
        <x:v>100</x:v>
      </x:c>
      <x:c r="O16" s="131" t="n">
        <x:f>IFERROR(100*COUNTIFS('Raw_Data'!$S$2:$S$59,"&gt;=4",'Raw_Data'!$S$2:$S$59,"&lt;=5",'Raw_Data'!$A$2:$A$59,"Yes",'Raw_Data'!$D$2:$D$59,"ห้องเอ็กซเรย์")/COUNTIFS('Raw_Data'!$S$2:$S$59,"&gt;=1",'Raw_Data'!$S$2:$S$59,"&lt;=5",'Raw_Data'!$A$2:$A$59,"Yes",'Raw_Data'!$D$2:$D$59,"ห้องเอ็กซเรย์"),"")</x:f>
        <x:v>66.66666666666667</x:v>
      </x:c>
      <x:c r="P16" s="131" t="n">
        <x:f>IFERROR(100*COUNTIFS('Raw_Data'!$S$2:$S$59,"&gt;=4",'Raw_Data'!$S$2:$S$59,"&lt;=5",'Raw_Data'!$A$2:$A$59,"Yes",'Raw_Data'!$D$2:$D$59,"ERและเปล")/COUNTIFS('Raw_Data'!$S$2:$S$59,"&gt;=1",'Raw_Data'!$S$2:$S$59,"&lt;=5",'Raw_Data'!$A$2:$A$59,"Yes",'Raw_Data'!$D$2:$D$59,"ERและเปล"),"")</x:f>
        <x:v>9.090909090909092</x:v>
      </x:c>
      <x:c r="Q16" s="131" t="n">
        <x:f>IFERROR(100*COUNTIFS('Raw_Data'!$S$2:$S$59,"&gt;=4",'Raw_Data'!$S$2:$S$59,"&lt;=5",'Raw_Data'!$A$2:$A$59,"Yes",'Raw_Data'!$D$2:$D$59,"HR")/COUNTIFS('Raw_Data'!$S$2:$S$59,"&gt;=1",'Raw_Data'!$S$2:$S$59,"&lt;=5",'Raw_Data'!$A$2:$A$59,"Yes",'Raw_Data'!$D$2:$D$59,"HR"),"")</x:f>
        <x:v>0</x:v>
      </x:c>
      <x:c r="R16" s="131" t="n">
        <x:f>IFERROR(100*COUNTIFS('Raw_Data'!$S$2:$S$59,"&gt;=4",'Raw_Data'!$S$2:$S$59,"&lt;=5",'Raw_Data'!$A$2:$A$59,"Yes",'Raw_Data'!$D$2:$D$59,"ICU")/COUNTIFS('Raw_Data'!$S$2:$S$59,"&gt;=1",'Raw_Data'!$S$2:$S$59,"&lt;=5",'Raw_Data'!$A$2:$A$59,"Yes",'Raw_Data'!$D$2:$D$59,"ICU"),"")</x:f>
        <x:v>50</x:v>
      </x:c>
      <x:c r="S16" s="131" t="n">
        <x:f>IFERROR(100*COUNTIFS('Raw_Data'!$S$2:$S$59,"&gt;=4",'Raw_Data'!$S$2:$S$59,"&lt;=5",'Raw_Data'!$A$2:$A$59,"Yes",'Raw_Data'!$D$2:$D$59,"IPD")/COUNTIFS('Raw_Data'!$S$2:$S$59,"&gt;=1",'Raw_Data'!$S$2:$S$59,"&lt;=5",'Raw_Data'!$A$2:$A$59,"Yes",'Raw_Data'!$D$2:$D$59,"IPD"),"")</x:f>
        <x:v>66.66666666666667</x:v>
      </x:c>
      <x:c r="T16" s="131" t="n">
        <x:f>IFERROR(100*COUNTIFS('Raw_Data'!$S$2:$S$59,"&gt;=4",'Raw_Data'!$S$2:$S$59,"&lt;=5",'Raw_Data'!$A$2:$A$59,"Yes",'Raw_Data'!$D$2:$D$59,"IT")/COUNTIFS('Raw_Data'!$S$2:$S$59,"&gt;=1",'Raw_Data'!$S$2:$S$59,"&lt;=5",'Raw_Data'!$A$2:$A$59,"Yes",'Raw_Data'!$D$2:$D$59,"IT"),"")</x:f>
        <x:v>50</x:v>
      </x:c>
      <x:c r="U16" s="131" t="n">
        <x:f>IFERROR(100*COUNTIFS('Raw_Data'!$S$2:$S$59,"&gt;=4",'Raw_Data'!$S$2:$S$59,"&lt;=5",'Raw_Data'!$A$2:$A$59,"Yes",'Raw_Data'!$D$2:$D$59,"OR")/COUNTIFS('Raw_Data'!$S$2:$S$59,"&gt;=1",'Raw_Data'!$S$2:$S$59,"&lt;=5",'Raw_Data'!$A$2:$A$59,"Yes",'Raw_Data'!$D$2:$D$59,"OR"),"")</x:f>
        <x:v>0</x:v>
      </x:c>
      <x:c r="V16" s="131" t="n">
        <x:f>IFERROR(100*COUNTIFS('Raw_Data'!$S$2:$S$59,"&gt;=4",'Raw_Data'!$S$2:$S$59,"&lt;=5",'Raw_Data'!$A$2:$A$59,"Yes",'Raw_Data'!$D$2:$D$59,"IPD",'Raw_Data'!$E$2:$E$59,"ผู้บริหาร")/COUNTIFS('Raw_Data'!$S$2:$S$59,"&gt;=1",'Raw_Data'!$S$2:$S$59,"&lt;=5",'Raw_Data'!$A$2:$A$59,"Yes",'Raw_Data'!$D$2:$D$59,"IPD",'Raw_Data'!$E$2:$E$59,"ผู้บริหาร"),"")</x:f>
        <x:v>100</x:v>
      </x:c>
      <x:c r="W16" s="131" t="n">
        <x:f>IFERROR(100*COUNTIFS('Raw_Data'!$S$2:$S$59,"&gt;=4",'Raw_Data'!$S$2:$S$59,"&lt;=5",'Raw_Data'!$A$2:$A$59,"Yes",'Raw_Data'!$D$2:$D$59,"ฝ่ายการพยาบาล",'Raw_Data'!$E$2:$E$59,"สายวิชาชีพสาธารณสุข")/COUNTIFS('Raw_Data'!$S$2:$S$59,"&gt;=1",'Raw_Data'!$S$2:$S$59,"&lt;=5",'Raw_Data'!$A$2:$A$59,"Yes",'Raw_Data'!$D$2:$D$59,"ฝ่ายการพยาบาล",'Raw_Data'!$E$2:$E$59,"สายวิชาชีพสาธารณสุข"),"")</x:f>
        <x:v>0</x:v>
      </x:c>
      <x:c r="X16" s="131" t="n">
        <x:f>IFERROR(100*COUNTIFS('Raw_Data'!$S$2:$S$59,"&gt;=4",'Raw_Data'!$S$2:$S$59,"&lt;=5",'Raw_Data'!$A$2:$A$59,"Yes",'Raw_Data'!$D$2:$D$59,"ERและเปล",'Raw_Data'!$E$2:$E$59,"สายวิชาชีพสาธารณสุข")/COUNTIFS('Raw_Data'!$S$2:$S$59,"&gt;=1",'Raw_Data'!$S$2:$S$59,"&lt;=5",'Raw_Data'!$A$2:$A$59,"Yes",'Raw_Data'!$D$2:$D$59,"ERและเปล",'Raw_Data'!$E$2:$E$59,"สายวิชาชีพสาธารณสุข"),"")</x:f>
        <x:v>0</x:v>
      </x:c>
      <x:c r="Y16" s="131" t="n">
        <x:f>IFERROR(100*COUNTIFS('Raw_Data'!$S$2:$S$59,"&gt;=4",'Raw_Data'!$S$2:$S$59,"&lt;=5",'Raw_Data'!$A$2:$A$59,"Yes",'Raw_Data'!$D$2:$D$59,"ICU",'Raw_Data'!$E$2:$E$59,"สายวิชาชีพสาธารณสุข")/COUNTIFS('Raw_Data'!$S$2:$S$59,"&gt;=1",'Raw_Data'!$S$2:$S$59,"&lt;=5",'Raw_Data'!$A$2:$A$59,"Yes",'Raw_Data'!$D$2:$D$59,"ICU",'Raw_Data'!$E$2:$E$59,"สายวิชาชีพสาธารณสุข"),"")</x:f>
        <x:v>50</x:v>
      </x:c>
      <x:c r="Z16" s="131" t="n">
        <x:f>IFERROR(100*COUNTIFS('Raw_Data'!$S$2:$S$59,"&gt;=4",'Raw_Data'!$S$2:$S$59,"&lt;=5",'Raw_Data'!$A$2:$A$59,"Yes",'Raw_Data'!$D$2:$D$59,"IPD",'Raw_Data'!$E$2:$E$59,"สายวิชาชีพสาธารณสุข")/COUNTIFS('Raw_Data'!$S$2:$S$59,"&gt;=1",'Raw_Data'!$S$2:$S$59,"&lt;=5",'Raw_Data'!$A$2:$A$59,"Yes",'Raw_Data'!$D$2:$D$59,"IPD",'Raw_Data'!$E$2:$E$59,"สายวิชาชีพสาธารณสุข"),"")</x:f>
        <x:v>100</x:v>
      </x:c>
      <x:c r="AA16" s="131" t="n">
        <x:f>IFERROR(100*COUNTIFS('Raw_Data'!$S$2:$S$59,"&gt;=4",'Raw_Data'!$S$2:$S$59,"&lt;=5",'Raw_Data'!$A$2:$A$59,"Yes",'Raw_Data'!$D$2:$D$59,"OR",'Raw_Data'!$E$2:$E$59,"สายวิชาชีพสาธารณสุข")/COUNTIFS('Raw_Data'!$S$2:$S$59,"&gt;=1",'Raw_Data'!$S$2:$S$59,"&lt;=5",'Raw_Data'!$A$2:$A$59,"Yes",'Raw_Data'!$D$2:$D$59,"OR",'Raw_Data'!$E$2:$E$59,"สายวิชาชีพสาธารณสุข"),"")</x:f>
        <x:v>0</x:v>
      </x:c>
      <x:c r="AB16" s="131" t="n">
        <x:f>IFERROR(100*COUNTIFS('Raw_Data'!$S$2:$S$59,"&gt;=4",'Raw_Data'!$S$2:$S$59,"&lt;=5",'Raw_Data'!$A$2:$A$59,"Yes",'Raw_Data'!$D$2:$D$59,"การเงิน",'Raw_Data'!$E$2:$E$59,"สายสนับสนุนทั่วไป")/COUNTIFS('Raw_Data'!$S$2:$S$59,"&gt;=1",'Raw_Data'!$S$2:$S$59,"&lt;=5",'Raw_Data'!$A$2:$A$59,"Yes",'Raw_Data'!$D$2:$D$59,"การเงิน",'Raw_Data'!$E$2:$E$59,"สายสนับสนุนทั่วไป"),"")</x:f>
        <x:v>33.333333333333336</x:v>
      </x:c>
      <x:c r="AC16" s="131" t="n">
        <x:f>IFERROR(100*COUNTIFS('Raw_Data'!$S$2:$S$59,"&gt;=4",'Raw_Data'!$S$2:$S$59,"&lt;=5",'Raw_Data'!$A$2:$A$59,"Yes",'Raw_Data'!$D$2:$D$59,"เคหรักษ์",'Raw_Data'!$E$2:$E$59,"สายสนับสนุนทั่วไป")/COUNTIFS('Raw_Data'!$S$2:$S$59,"&gt;=1",'Raw_Data'!$S$2:$S$59,"&lt;=5",'Raw_Data'!$A$2:$A$59,"Yes",'Raw_Data'!$D$2:$D$59,"เคหรักษ์",'Raw_Data'!$E$2:$E$59,"สายสนับสนุนทั่วไป"),"")</x:f>
        <x:v>0</x:v>
      </x:c>
      <x:c r="AD16" s="131" t="n">
        <x:f>IFERROR(100*COUNTIFS('Raw_Data'!$S$2:$S$59,"&gt;=4",'Raw_Data'!$S$2:$S$59,"&lt;=5",'Raw_Data'!$A$2:$A$59,"Yes",'Raw_Data'!$D$2:$D$59,"จ่ายกลาง",'Raw_Data'!$E$2:$E$59,"สายสนับสนุนทั่วไป")/COUNTIFS('Raw_Data'!$S$2:$S$59,"&gt;=1",'Raw_Data'!$S$2:$S$59,"&lt;=5",'Raw_Data'!$A$2:$A$59,"Yes",'Raw_Data'!$D$2:$D$59,"จ่ายกลาง",'Raw_Data'!$E$2:$E$59,"สายสนับสนุนทั่วไป"),"")</x:f>
        <x:v>0</x:v>
      </x:c>
      <x:c r="AE16" s="131" t="n">
        <x:f>IFERROR(100*COUNTIFS('Raw_Data'!$S$2:$S$59,"&gt;=4",'Raw_Data'!$S$2:$S$59,"&lt;=5",'Raw_Data'!$A$2:$A$59,"Yes",'Raw_Data'!$D$2:$D$59,"ช่างและสนาม",'Raw_Data'!$E$2:$E$59,"สายสนับสนุนทั่วไป")/COUNTIFS('Raw_Data'!$S$2:$S$59,"&gt;=1",'Raw_Data'!$S$2:$S$59,"&lt;=5",'Raw_Data'!$A$2:$A$59,"Yes",'Raw_Data'!$D$2:$D$59,"ช่างและสนาม",'Raw_Data'!$E$2:$E$59,"สายสนับสนุนทั่วไป"),"")</x:f>
        <x:v>75</x:v>
      </x:c>
      <x:c r="AF16" s="131" t="n">
        <x:f>IFERROR(100*COUNTIFS('Raw_Data'!$S$2:$S$59,"&gt;=4",'Raw_Data'!$S$2:$S$59,"&lt;=5",'Raw_Data'!$A$2:$A$59,"Yes",'Raw_Data'!$D$2:$D$59,"ผู้ป่วยสัมพันธ์",'Raw_Data'!$E$2:$E$59,"สายสนับสนุนทั่วไป")/COUNTIFS('Raw_Data'!$S$2:$S$59,"&gt;=1",'Raw_Data'!$S$2:$S$59,"&lt;=5",'Raw_Data'!$A$2:$A$59,"Yes",'Raw_Data'!$D$2:$D$59,"ผู้ป่วยสัมพันธ์",'Raw_Data'!$E$2:$E$59,"สายสนับสนุนทั่วไป"),"")</x:f>
        <x:v>0</x:v>
      </x:c>
      <x:c r="AG16" s="131" t="n">
        <x:f>IFERROR(100*COUNTIFS('Raw_Data'!$S$2:$S$59,"&gt;=4",'Raw_Data'!$S$2:$S$59,"&lt;=5",'Raw_Data'!$A$2:$A$59,"Yes",'Raw_Data'!$D$2:$D$59,"ยานพาหนะ",'Raw_Data'!$E$2:$E$59,"สายสนับสนุนทั่วไป")/COUNTIFS('Raw_Data'!$S$2:$S$59,"&gt;=1",'Raw_Data'!$S$2:$S$59,"&lt;=5",'Raw_Data'!$A$2:$A$59,"Yes",'Raw_Data'!$D$2:$D$59,"ยานพาหนะ",'Raw_Data'!$E$2:$E$59,"สายสนับสนุนทั่วไป"),"")</x:f>
        <x:v>100</x:v>
      </x:c>
      <x:c r="AH16" s="131" t="n">
        <x:f>IFERROR(100*COUNTIFS('Raw_Data'!$S$2:$S$59,"&gt;=4",'Raw_Data'!$S$2:$S$59,"&lt;=5",'Raw_Data'!$A$2:$A$59,"Yes",'Raw_Data'!$D$2:$D$59,"สื่อสารการตลาด",'Raw_Data'!$E$2:$E$59,"สายสนับสนุนทั่วไป")/COUNTIFS('Raw_Data'!$S$2:$S$59,"&gt;=1",'Raw_Data'!$S$2:$S$59,"&lt;=5",'Raw_Data'!$A$2:$A$59,"Yes",'Raw_Data'!$D$2:$D$59,"สื่อสารการตลาด",'Raw_Data'!$E$2:$E$59,"สายสนับสนุนทั่วไป"),"")</x:f>
        <x:v>0</x:v>
      </x:c>
      <x:c r="AI16" s="131" t="n">
        <x:f>IFERROR(100*COUNTIFS('Raw_Data'!$S$2:$S$59,"&gt;=4",'Raw_Data'!$S$2:$S$59,"&lt;=5",'Raw_Data'!$A$2:$A$59,"Yes",'Raw_Data'!$D$2:$D$59,"ERและเปล",'Raw_Data'!$E$2:$E$59,"สายสนับสนุนทั่วไป")/COUNTIFS('Raw_Data'!$S$2:$S$59,"&gt;=1",'Raw_Data'!$S$2:$S$59,"&lt;=5",'Raw_Data'!$A$2:$A$59,"Yes",'Raw_Data'!$D$2:$D$59,"ERและเปล",'Raw_Data'!$E$2:$E$59,"สายสนับสนุนทั่วไป"),"")</x:f>
        <x:v>0</x:v>
      </x:c>
      <x:c r="AJ16" s="131" t="n">
        <x:f>IFERROR(100*COUNTIFS('Raw_Data'!$S$2:$S$59,"&gt;=4",'Raw_Data'!$S$2:$S$59,"&lt;=5",'Raw_Data'!$A$2:$A$59,"Yes",'Raw_Data'!$D$2:$D$59,"HR",'Raw_Data'!$E$2:$E$59,"สายสนับสนุนทั่วไป")/COUNTIFS('Raw_Data'!$S$2:$S$59,"&gt;=1",'Raw_Data'!$S$2:$S$59,"&lt;=5",'Raw_Data'!$A$2:$A$59,"Yes",'Raw_Data'!$D$2:$D$59,"HR",'Raw_Data'!$E$2:$E$59,"สายสนับสนุนทั่วไป"),"")</x:f>
        <x:v>0</x:v>
      </x:c>
      <x:c r="AK16" s="131" t="n">
        <x:f>IFERROR(100*COUNTIFS('Raw_Data'!$S$2:$S$59,"&gt;=4",'Raw_Data'!$S$2:$S$59,"&lt;=5",'Raw_Data'!$A$2:$A$59,"Yes",'Raw_Data'!$D$2:$D$59,"ICU",'Raw_Data'!$E$2:$E$59,"สายสนับสนุนทั่วไป")/COUNTIFS('Raw_Data'!$S$2:$S$59,"&gt;=1",'Raw_Data'!$S$2:$S$59,"&lt;=5",'Raw_Data'!$A$2:$A$59,"Yes",'Raw_Data'!$D$2:$D$59,"ICU",'Raw_Data'!$E$2:$E$59,"สายสนับสนุนทั่วไป"),"")</x:f>
        <x:v>0</x:v>
      </x:c>
      <x:c r="AL16" s="131" t="n">
        <x:f>IFERROR(100*COUNTIFS('Raw_Data'!$S$2:$S$59,"&gt;=4",'Raw_Data'!$S$2:$S$59,"&lt;=5",'Raw_Data'!$A$2:$A$59,"Yes",'Raw_Data'!$D$2:$D$59,"IPD",'Raw_Data'!$E$2:$E$59,"สายสนับสนุนทั่วไป")/COUNTIFS('Raw_Data'!$S$2:$S$59,"&gt;=1",'Raw_Data'!$S$2:$S$59,"&lt;=5",'Raw_Data'!$A$2:$A$59,"Yes",'Raw_Data'!$D$2:$D$59,"IPD",'Raw_Data'!$E$2:$E$59,"สายสนับสนุนทั่วไป"),"")</x:f>
        <x:v>0</x:v>
      </x:c>
      <x:c r="AM16" s="131" t="n">
        <x:f>IFERROR(100*COUNTIFS('Raw_Data'!$S$2:$S$59,"&gt;=4",'Raw_Data'!$S$2:$S$59,"&lt;=5",'Raw_Data'!$A$2:$A$59,"Yes",'Raw_Data'!$D$2:$D$59,"IT",'Raw_Data'!$E$2:$E$59,"สายสนับสนุนทั่วไป")/COUNTIFS('Raw_Data'!$S$2:$S$59,"&gt;=1",'Raw_Data'!$S$2:$S$59,"&lt;=5",'Raw_Data'!$A$2:$A$59,"Yes",'Raw_Data'!$D$2:$D$59,"IT",'Raw_Data'!$E$2:$E$59,"สายสนับสนุนทั่วไป"),"")</x:f>
        <x:v>100</x:v>
      </x:c>
      <x:c r="AN16" s="131" t="n">
        <x:f>IFERROR(100*COUNTIFS('Raw_Data'!$S$2:$S$59,"&gt;=4",'Raw_Data'!$S$2:$S$59,"&lt;=5",'Raw_Data'!$A$2:$A$59,"Yes",'Raw_Data'!$D$2:$D$59,"ผู้ป่วยสัมพันธ์",'Raw_Data'!$E$2:$E$59,"สายสนับสนุนทางการแพทย์")/COUNTIFS('Raw_Data'!$S$2:$S$59,"&gt;=1",'Raw_Data'!$S$2:$S$59,"&lt;=5",'Raw_Data'!$A$2:$A$59,"Yes",'Raw_Data'!$D$2:$D$59,"ผู้ป่วยสัมพันธ์",'Raw_Data'!$E$2:$E$59,"สายสนับสนุนทางการแพทย์"),"")</x:f>
        <x:v>66.66666666666667</x:v>
      </x:c>
      <x:c r="AO16" s="131" t="n">
        <x:f>IFERROR(100*COUNTIFS('Raw_Data'!$S$2:$S$59,"&gt;=4",'Raw_Data'!$S$2:$S$59,"&lt;=5",'Raw_Data'!$A$2:$A$59,"Yes",'Raw_Data'!$D$2:$D$59,"ฝ่ายการพยาบาล",'Raw_Data'!$E$2:$E$59,"สายสนับสนุนทางการแพทย์")/COUNTIFS('Raw_Data'!$S$2:$S$59,"&gt;=1",'Raw_Data'!$S$2:$S$59,"&lt;=5",'Raw_Data'!$A$2:$A$59,"Yes",'Raw_Data'!$D$2:$D$59,"ฝ่ายการพยาบาล",'Raw_Data'!$E$2:$E$59,"สายสนับสนุนทางการแพทย์"),"")</x:f>
        <x:v>100</x:v>
      </x:c>
      <x:c r="AP16" s="131" t="n">
        <x:f>IFERROR(100*COUNTIFS('Raw_Data'!$S$2:$S$59,"&gt;=4",'Raw_Data'!$S$2:$S$59,"&lt;=5",'Raw_Data'!$A$2:$A$59,"Yes",'Raw_Data'!$D$2:$D$59,"โภชนาการ",'Raw_Data'!$E$2:$E$59,"สายสนับสนุนทางการแพทย์")/COUNTIFS('Raw_Data'!$S$2:$S$59,"&gt;=1",'Raw_Data'!$S$2:$S$59,"&lt;=5",'Raw_Data'!$A$2:$A$59,"Yes",'Raw_Data'!$D$2:$D$59,"โภชนาการ",'Raw_Data'!$E$2:$E$59,"สายสนับสนุนทางการแพทย์"),"")</x:f>
        <x:v>100</x:v>
      </x:c>
      <x:c r="AQ16" s="131" t="n">
        <x:f>IFERROR(100*COUNTIFS('Raw_Data'!$S$2:$S$59,"&gt;=4",'Raw_Data'!$S$2:$S$59,"&lt;=5",'Raw_Data'!$A$2:$A$59,"Yes",'Raw_Data'!$D$2:$D$59,"ห้องยา",'Raw_Data'!$E$2:$E$59,"สายสนับสนุนทางการแพทย์")/COUNTIFS('Raw_Data'!$S$2:$S$59,"&gt;=1",'Raw_Data'!$S$2:$S$59,"&lt;=5",'Raw_Data'!$A$2:$A$59,"Yes",'Raw_Data'!$D$2:$D$59,"ห้องยา",'Raw_Data'!$E$2:$E$59,"สายสนับสนุนทางการแพทย์"),"")</x:f>
        <x:v>33.333333333333336</x:v>
      </x:c>
      <x:c r="AR16" s="131" t="n">
        <x:f>IFERROR(100*COUNTIFS('Raw_Data'!$S$2:$S$59,"&gt;=4",'Raw_Data'!$S$2:$S$59,"&lt;=5",'Raw_Data'!$A$2:$A$59,"Yes",'Raw_Data'!$D$2:$D$59,"ห้องแลป",'Raw_Data'!$E$2:$E$59,"สายสนับสนุนทางการแพทย์")/COUNTIFS('Raw_Data'!$S$2:$S$59,"&gt;=1",'Raw_Data'!$S$2:$S$59,"&lt;=5",'Raw_Data'!$A$2:$A$59,"Yes",'Raw_Data'!$D$2:$D$59,"ห้องแลป",'Raw_Data'!$E$2:$E$59,"สายสนับสนุนทางการแพทย์"),"")</x:f>
        <x:v>100</x:v>
      </x:c>
      <x:c r="AS16" s="131" t="n">
        <x:f>IFERROR(100*COUNTIFS('Raw_Data'!$S$2:$S$59,"&gt;=4",'Raw_Data'!$S$2:$S$59,"&lt;=5",'Raw_Data'!$A$2:$A$59,"Yes",'Raw_Data'!$D$2:$D$59,"ห้องเอ็กซเรย์",'Raw_Data'!$E$2:$E$59,"สายสนับสนุนทางการแพทย์")/COUNTIFS('Raw_Data'!$S$2:$S$59,"&gt;=1",'Raw_Data'!$S$2:$S$59,"&lt;=5",'Raw_Data'!$A$2:$A$59,"Yes",'Raw_Data'!$D$2:$D$59,"ห้องเอ็กซเรย์",'Raw_Data'!$E$2:$E$59,"สายสนับสนุนทางการแพทย์"),"")</x:f>
        <x:v>66.66666666666667</x:v>
      </x:c>
      <x:c r="AT16" s="131" t="n">
        <x:f>IFERROR(100*COUNTIFS('Raw_Data'!$S$2:$S$59,"&gt;=4",'Raw_Data'!$S$2:$S$59,"&lt;=5",'Raw_Data'!$A$2:$A$59,"Yes",'Raw_Data'!$D$2:$D$59,"ERและเปล",'Raw_Data'!$E$2:$E$59,"สายสนับสนุนทางการแพทย์")/COUNTIFS('Raw_Data'!$S$2:$S$59,"&gt;=1",'Raw_Data'!$S$2:$S$59,"&lt;=5",'Raw_Data'!$A$2:$A$59,"Yes",'Raw_Data'!$D$2:$D$59,"ERและเปล",'Raw_Data'!$E$2:$E$59,"สายสนับสนุนทางการแพทย์"),"")</x:f>
        <x:v>100</x:v>
      </x:c>
      <x:c r="AU16" s="131" t="n">
        <x:f>IFERROR(100*COUNTIFS('Raw_Data'!$S$2:$S$59,"&gt;=4",'Raw_Data'!$S$2:$S$59,"&lt;=5",'Raw_Data'!$A$2:$A$59,"Yes",'Raw_Data'!$D$2:$D$59,"ICU",'Raw_Data'!$E$2:$E$59,"สายสนับสนุนทางการแพทย์")/COUNTIFS('Raw_Data'!$S$2:$S$59,"&gt;=1",'Raw_Data'!$S$2:$S$59,"&lt;=5",'Raw_Data'!$A$2:$A$59,"Yes",'Raw_Data'!$D$2:$D$59,"ICU",'Raw_Data'!$E$2:$E$59,"สายสนับสนุนทางการแพทย์"),"")</x:f>
        <x:v>100</x:v>
      </x:c>
      <x:c r="AV16" s="131" t="n">
        <x:f>IFERROR(100*COUNTIFS('Raw_Data'!$S$2:$S$59,"&gt;=4",'Raw_Data'!$S$2:$S$59,"&lt;=5",'Raw_Data'!$A$2:$A$59,"Yes",'Raw_Data'!$D$2:$D$59,"IPD",'Raw_Data'!$E$2:$E$59,"สายสนับสนุนทางการแพทย์")/COUNTIFS('Raw_Data'!$S$2:$S$59,"&gt;=1",'Raw_Data'!$S$2:$S$59,"&lt;=5",'Raw_Data'!$A$2:$A$59,"Yes",'Raw_Data'!$D$2:$D$59,"IPD",'Raw_Data'!$E$2:$E$59,"สายสนับสนุนทางการแพทย์"),"")</x:f>
        <x:v>50</x:v>
      </x:c>
      <x:c r="AW16" s="131" t="n">
        <x:f>IFERROR(100*COUNTIFS('Raw_Data'!$S$2:$S$59,"&gt;=4",'Raw_Data'!$S$2:$S$59,"&lt;=5",'Raw_Data'!$A$2:$A$59,"Yes",'Raw_Data'!$D$2:$D$59,"IT",'Raw_Data'!$E$2:$E$59,"สายสนับสนุนทางการแพทย์")/COUNTIFS('Raw_Data'!$S$2:$S$59,"&gt;=1",'Raw_Data'!$S$2:$S$59,"&lt;=5",'Raw_Data'!$A$2:$A$59,"Yes",'Raw_Data'!$D$2:$D$59,"IT",'Raw_Data'!$E$2:$E$59,"สายสนับสนุนทางการแพทย์"),"")</x:f>
        <x:v>0</x:v>
      </x:c>
    </x:row>
    <x:row r="17" ht="42" customHeight="1">
      <x:c r="A17" s="123"/>
      <x:c r="B17" s="124" t="str">
        <x:v>A13. 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x:v>
      </x:c>
      <x:c r="C17" s="131" t="n">
        <x:f>IFERROR(100*COUNTIFS('Raw_Data'!$T$2:$T$59,"&gt;=1",'Raw_Data'!$T$2:$T$59,"&lt;=2",'Raw_Data'!$A$2:$A$59,"Yes")/COUNTIFS('Raw_Data'!$T$2:$T$59,"&gt;=1",'Raw_Data'!$T$2:$T$59,"&lt;=5",'Raw_Data'!$A$2:$A$59,"Yes"),"")</x:f>
        <x:v>63.793103448275865</x:v>
      </x:c>
      <x:c r="D17" s="131" t="n">
        <x:f>IFERROR(100*COUNTIFS('Raw_Data'!$T$2:$T$59,"&gt;=1",'Raw_Data'!$T$2:$T$59,"&lt;=2",'Raw_Data'!$A$2:$A$59,"Yes",'Raw_Data'!$D$2:$D$59,"การเงิน")/COUNTIFS('Raw_Data'!$T$2:$T$59,"&gt;=1",'Raw_Data'!$T$2:$T$59,"&lt;=5",'Raw_Data'!$A$2:$A$59,"Yes",'Raw_Data'!$D$2:$D$59,"การเงิน"),"")</x:f>
        <x:v>33.333333333333336</x:v>
      </x:c>
      <x:c r="E17" s="131" t="n">
        <x:f>IFERROR(100*COUNTIFS('Raw_Data'!$T$2:$T$59,"&gt;=1",'Raw_Data'!$T$2:$T$59,"&lt;=2",'Raw_Data'!$A$2:$A$59,"Yes",'Raw_Data'!$D$2:$D$59,"เคหรักษ์")/COUNTIFS('Raw_Data'!$T$2:$T$59,"&gt;=1",'Raw_Data'!$T$2:$T$59,"&lt;=5",'Raw_Data'!$A$2:$A$59,"Yes",'Raw_Data'!$D$2:$D$59,"เคหรักษ์"),"")</x:f>
        <x:v>0</x:v>
      </x:c>
      <x:c r="F17" s="131" t="n">
        <x:f>IFERROR(100*COUNTIFS('Raw_Data'!$T$2:$T$59,"&gt;=1",'Raw_Data'!$T$2:$T$59,"&lt;=2",'Raw_Data'!$A$2:$A$59,"Yes",'Raw_Data'!$D$2:$D$59,"จ่ายกลาง")/COUNTIFS('Raw_Data'!$T$2:$T$59,"&gt;=1",'Raw_Data'!$T$2:$T$59,"&lt;=5",'Raw_Data'!$A$2:$A$59,"Yes",'Raw_Data'!$D$2:$D$59,"จ่ายกลาง"),"")</x:f>
        <x:v>0</x:v>
      </x:c>
      <x:c r="G17" s="131" t="n">
        <x:f>IFERROR(100*COUNTIFS('Raw_Data'!$T$2:$T$59,"&gt;=1",'Raw_Data'!$T$2:$T$59,"&lt;=2",'Raw_Data'!$A$2:$A$59,"Yes",'Raw_Data'!$D$2:$D$59,"ช่างและสนาม")/COUNTIFS('Raw_Data'!$T$2:$T$59,"&gt;=1",'Raw_Data'!$T$2:$T$59,"&lt;=5",'Raw_Data'!$A$2:$A$59,"Yes",'Raw_Data'!$D$2:$D$59,"ช่างและสนาม"),"")</x:f>
        <x:v>50</x:v>
      </x:c>
      <x:c r="H17" s="131" t="n">
        <x:f>IFERROR(100*COUNTIFS('Raw_Data'!$T$2:$T$59,"&gt;=1",'Raw_Data'!$T$2:$T$59,"&lt;=2",'Raw_Data'!$A$2:$A$59,"Yes",'Raw_Data'!$D$2:$D$59,"ผู้ป่วยสัมพันธ์")/COUNTIFS('Raw_Data'!$T$2:$T$59,"&gt;=1",'Raw_Data'!$T$2:$T$59,"&lt;=5",'Raw_Data'!$A$2:$A$59,"Yes",'Raw_Data'!$D$2:$D$59,"ผู้ป่วยสัมพันธ์"),"")</x:f>
        <x:v>75</x:v>
      </x:c>
      <x:c r="I17" s="131" t="n">
        <x:f>IFERROR(100*COUNTIFS('Raw_Data'!$T$2:$T$59,"&gt;=1",'Raw_Data'!$T$2:$T$59,"&lt;=2",'Raw_Data'!$A$2:$A$59,"Yes",'Raw_Data'!$D$2:$D$59,"ฝ่ายการพยาบาล")/COUNTIFS('Raw_Data'!$T$2:$T$59,"&gt;=1",'Raw_Data'!$T$2:$T$59,"&lt;=5",'Raw_Data'!$A$2:$A$59,"Yes",'Raw_Data'!$D$2:$D$59,"ฝ่ายการพยาบาล"),"")</x:f>
        <x:v>50</x:v>
      </x:c>
      <x:c r="J17" s="131" t="n">
        <x:f>IFERROR(100*COUNTIFS('Raw_Data'!$T$2:$T$59,"&gt;=1",'Raw_Data'!$T$2:$T$59,"&lt;=2",'Raw_Data'!$A$2:$A$59,"Yes",'Raw_Data'!$D$2:$D$59,"โภชนาการ")/COUNTIFS('Raw_Data'!$T$2:$T$59,"&gt;=1",'Raw_Data'!$T$2:$T$59,"&lt;=5",'Raw_Data'!$A$2:$A$59,"Yes",'Raw_Data'!$D$2:$D$59,"โภชนาการ"),"")</x:f>
        <x:v>100</x:v>
      </x:c>
      <x:c r="K17" s="131" t="n">
        <x:f>IFERROR(100*COUNTIFS('Raw_Data'!$T$2:$T$59,"&gt;=1",'Raw_Data'!$T$2:$T$59,"&lt;=2",'Raw_Data'!$A$2:$A$59,"Yes",'Raw_Data'!$D$2:$D$59,"ยานพาหนะ")/COUNTIFS('Raw_Data'!$T$2:$T$59,"&gt;=1",'Raw_Data'!$T$2:$T$59,"&lt;=5",'Raw_Data'!$A$2:$A$59,"Yes",'Raw_Data'!$D$2:$D$59,"ยานพาหนะ"),"")</x:f>
        <x:v>100</x:v>
      </x:c>
      <x:c r="L17" s="131" t="n">
        <x:f>IFERROR(100*COUNTIFS('Raw_Data'!$T$2:$T$59,"&gt;=1",'Raw_Data'!$T$2:$T$59,"&lt;=2",'Raw_Data'!$A$2:$A$59,"Yes",'Raw_Data'!$D$2:$D$59,"สื่อสารการตลาด")/COUNTIFS('Raw_Data'!$T$2:$T$59,"&gt;=1",'Raw_Data'!$T$2:$T$59,"&lt;=5",'Raw_Data'!$A$2:$A$59,"Yes",'Raw_Data'!$D$2:$D$59,"สื่อสารการตลาด"),"")</x:f>
        <x:v>100</x:v>
      </x:c>
      <x:c r="M17" s="131" t="n">
        <x:f>IFERROR(100*COUNTIFS('Raw_Data'!$T$2:$T$59,"&gt;=1",'Raw_Data'!$T$2:$T$59,"&lt;=2",'Raw_Data'!$A$2:$A$59,"Yes",'Raw_Data'!$D$2:$D$59,"ห้องยา")/COUNTIFS('Raw_Data'!$T$2:$T$59,"&gt;=1",'Raw_Data'!$T$2:$T$59,"&lt;=5",'Raw_Data'!$A$2:$A$59,"Yes",'Raw_Data'!$D$2:$D$59,"ห้องยา"),"")</x:f>
        <x:v>66.66666666666667</x:v>
      </x:c>
      <x:c r="N17" s="131" t="n">
        <x:f>IFERROR(100*COUNTIFS('Raw_Data'!$T$2:$T$59,"&gt;=1",'Raw_Data'!$T$2:$T$59,"&lt;=2",'Raw_Data'!$A$2:$A$59,"Yes",'Raw_Data'!$D$2:$D$59,"ห้องแลป")/COUNTIFS('Raw_Data'!$T$2:$T$59,"&gt;=1",'Raw_Data'!$T$2:$T$59,"&lt;=5",'Raw_Data'!$A$2:$A$59,"Yes",'Raw_Data'!$D$2:$D$59,"ห้องแลป"),"")</x:f>
        <x:v>100</x:v>
      </x:c>
      <x:c r="O17" s="131" t="n">
        <x:f>IFERROR(100*COUNTIFS('Raw_Data'!$T$2:$T$59,"&gt;=1",'Raw_Data'!$T$2:$T$59,"&lt;=2",'Raw_Data'!$A$2:$A$59,"Yes",'Raw_Data'!$D$2:$D$59,"ห้องเอ็กซเรย์")/COUNTIFS('Raw_Data'!$T$2:$T$59,"&gt;=1",'Raw_Data'!$T$2:$T$59,"&lt;=5",'Raw_Data'!$A$2:$A$59,"Yes",'Raw_Data'!$D$2:$D$59,"ห้องเอ็กซเรย์"),"")</x:f>
        <x:v>100</x:v>
      </x:c>
      <x:c r="P17" s="131" t="n">
        <x:f>IFERROR(100*COUNTIFS('Raw_Data'!$T$2:$T$59,"&gt;=1",'Raw_Data'!$T$2:$T$59,"&lt;=2",'Raw_Data'!$A$2:$A$59,"Yes",'Raw_Data'!$D$2:$D$59,"ERและเปล")/COUNTIFS('Raw_Data'!$T$2:$T$59,"&gt;=1",'Raw_Data'!$T$2:$T$59,"&lt;=5",'Raw_Data'!$A$2:$A$59,"Yes",'Raw_Data'!$D$2:$D$59,"ERและเปล"),"")</x:f>
        <x:v>81.81818181818181</x:v>
      </x:c>
      <x:c r="Q17" s="131" t="n">
        <x:f>IFERROR(100*COUNTIFS('Raw_Data'!$T$2:$T$59,"&gt;=1",'Raw_Data'!$T$2:$T$59,"&lt;=2",'Raw_Data'!$A$2:$A$59,"Yes",'Raw_Data'!$D$2:$D$59,"HR")/COUNTIFS('Raw_Data'!$T$2:$T$59,"&gt;=1",'Raw_Data'!$T$2:$T$59,"&lt;=5",'Raw_Data'!$A$2:$A$59,"Yes",'Raw_Data'!$D$2:$D$59,"HR"),"")</x:f>
        <x:v>100</x:v>
      </x:c>
      <x:c r="R17" s="131" t="n">
        <x:f>IFERROR(100*COUNTIFS('Raw_Data'!$T$2:$T$59,"&gt;=1",'Raw_Data'!$T$2:$T$59,"&lt;=2",'Raw_Data'!$A$2:$A$59,"Yes",'Raw_Data'!$D$2:$D$59,"ICU")/COUNTIFS('Raw_Data'!$T$2:$T$59,"&gt;=1",'Raw_Data'!$T$2:$T$59,"&lt;=5",'Raw_Data'!$A$2:$A$59,"Yes",'Raw_Data'!$D$2:$D$59,"ICU"),"")</x:f>
        <x:v>50</x:v>
      </x:c>
      <x:c r="S17" s="131" t="n">
        <x:f>IFERROR(100*COUNTIFS('Raw_Data'!$T$2:$T$59,"&gt;=1",'Raw_Data'!$T$2:$T$59,"&lt;=2",'Raw_Data'!$A$2:$A$59,"Yes",'Raw_Data'!$D$2:$D$59,"IPD")/COUNTIFS('Raw_Data'!$T$2:$T$59,"&gt;=1",'Raw_Data'!$T$2:$T$59,"&lt;=5",'Raw_Data'!$A$2:$A$59,"Yes",'Raw_Data'!$D$2:$D$59,"IPD"),"")</x:f>
        <x:v>33.333333333333336</x:v>
      </x:c>
      <x:c r="T17" s="131" t="n">
        <x:f>IFERROR(100*COUNTIFS('Raw_Data'!$T$2:$T$59,"&gt;=1",'Raw_Data'!$T$2:$T$59,"&lt;=2",'Raw_Data'!$A$2:$A$59,"Yes",'Raw_Data'!$D$2:$D$59,"IT")/COUNTIFS('Raw_Data'!$T$2:$T$59,"&gt;=1",'Raw_Data'!$T$2:$T$59,"&lt;=5",'Raw_Data'!$A$2:$A$59,"Yes",'Raw_Data'!$D$2:$D$59,"IT"),"")</x:f>
        <x:v>100</x:v>
      </x:c>
      <x:c r="U17" s="131" t="n">
        <x:f>IFERROR(100*COUNTIFS('Raw_Data'!$T$2:$T$59,"&gt;=1",'Raw_Data'!$T$2:$T$59,"&lt;=2",'Raw_Data'!$A$2:$A$59,"Yes",'Raw_Data'!$D$2:$D$59,"OR")/COUNTIFS('Raw_Data'!$T$2:$T$59,"&gt;=1",'Raw_Data'!$T$2:$T$59,"&lt;=5",'Raw_Data'!$A$2:$A$59,"Yes",'Raw_Data'!$D$2:$D$59,"OR"),"")</x:f>
        <x:v>50</x:v>
      </x:c>
      <x:c r="V17" s="131" t="n">
        <x:f>IFERROR(100*COUNTIFS('Raw_Data'!$T$2:$T$59,"&gt;=1",'Raw_Data'!$T$2:$T$59,"&lt;=2",'Raw_Data'!$A$2:$A$59,"Yes",'Raw_Data'!$D$2:$D$59,"IPD",'Raw_Data'!$E$2:$E$59,"ผู้บริหาร")/COUNTIFS('Raw_Data'!$T$2:$T$59,"&gt;=1",'Raw_Data'!$T$2:$T$59,"&lt;=5",'Raw_Data'!$A$2:$A$59,"Yes",'Raw_Data'!$D$2:$D$59,"IPD",'Raw_Data'!$E$2:$E$59,"ผู้บริหาร"),"")</x:f>
        <x:v>0</x:v>
      </x:c>
      <x:c r="W17" s="131" t="n">
        <x:f>IFERROR(100*COUNTIFS('Raw_Data'!$T$2:$T$59,"&gt;=1",'Raw_Data'!$T$2:$T$59,"&lt;=2",'Raw_Data'!$A$2:$A$59,"Yes",'Raw_Data'!$D$2:$D$59,"ฝ่ายการพยาบาล",'Raw_Data'!$E$2:$E$59,"สายวิชาชีพสาธารณสุข")/COUNTIFS('Raw_Data'!$T$2:$T$59,"&gt;=1",'Raw_Data'!$T$2:$T$59,"&lt;=5",'Raw_Data'!$A$2:$A$59,"Yes",'Raw_Data'!$D$2:$D$59,"ฝ่ายการพยาบาล",'Raw_Data'!$E$2:$E$59,"สายวิชาชีพสาธารณสุข"),"")</x:f>
        <x:v>0</x:v>
      </x:c>
      <x:c r="X17" s="131" t="n">
        <x:f>IFERROR(100*COUNTIFS('Raw_Data'!$T$2:$T$59,"&gt;=1",'Raw_Data'!$T$2:$T$59,"&lt;=2",'Raw_Data'!$A$2:$A$59,"Yes",'Raw_Data'!$D$2:$D$59,"ERและเปล",'Raw_Data'!$E$2:$E$59,"สายวิชาชีพสาธารณสุข")/COUNTIFS('Raw_Data'!$T$2:$T$59,"&gt;=1",'Raw_Data'!$T$2:$T$59,"&lt;=5",'Raw_Data'!$A$2:$A$59,"Yes",'Raw_Data'!$D$2:$D$59,"ERและเปล",'Raw_Data'!$E$2:$E$59,"สายวิชาชีพสาธารณสุข"),"")</x:f>
        <x:v>71.42857142857143</x:v>
      </x:c>
      <x:c r="Y17" s="131" t="n">
        <x:f>IFERROR(100*COUNTIFS('Raw_Data'!$T$2:$T$59,"&gt;=1",'Raw_Data'!$T$2:$T$59,"&lt;=2",'Raw_Data'!$A$2:$A$59,"Yes",'Raw_Data'!$D$2:$D$59,"ICU",'Raw_Data'!$E$2:$E$59,"สายวิชาชีพสาธารณสุข")/COUNTIFS('Raw_Data'!$T$2:$T$59,"&gt;=1",'Raw_Data'!$T$2:$T$59,"&lt;=5",'Raw_Data'!$A$2:$A$59,"Yes",'Raw_Data'!$D$2:$D$59,"ICU",'Raw_Data'!$E$2:$E$59,"สายวิชาชีพสาธารณสุข"),"")</x:f>
        <x:v>50</x:v>
      </x:c>
      <x:c r="Z17" s="131" t="n">
        <x:f>IFERROR(100*COUNTIFS('Raw_Data'!$T$2:$T$59,"&gt;=1",'Raw_Data'!$T$2:$T$59,"&lt;=2",'Raw_Data'!$A$2:$A$59,"Yes",'Raw_Data'!$D$2:$D$59,"IPD",'Raw_Data'!$E$2:$E$59,"สายวิชาชีพสาธารณสุข")/COUNTIFS('Raw_Data'!$T$2:$T$59,"&gt;=1",'Raw_Data'!$T$2:$T$59,"&lt;=5",'Raw_Data'!$A$2:$A$59,"Yes",'Raw_Data'!$D$2:$D$59,"IPD",'Raw_Data'!$E$2:$E$59,"สายวิชาชีพสาธารณสุข"),"")</x:f>
        <x:v>100</x:v>
      </x:c>
      <x:c r="AA17" s="131" t="n">
        <x:f>IFERROR(100*COUNTIFS('Raw_Data'!$T$2:$T$59,"&gt;=1",'Raw_Data'!$T$2:$T$59,"&lt;=2",'Raw_Data'!$A$2:$A$59,"Yes",'Raw_Data'!$D$2:$D$59,"OR",'Raw_Data'!$E$2:$E$59,"สายวิชาชีพสาธารณสุข")/COUNTIFS('Raw_Data'!$T$2:$T$59,"&gt;=1",'Raw_Data'!$T$2:$T$59,"&lt;=5",'Raw_Data'!$A$2:$A$59,"Yes",'Raw_Data'!$D$2:$D$59,"OR",'Raw_Data'!$E$2:$E$59,"สายวิชาชีพสาธารณสุข"),"")</x:f>
        <x:v>50</x:v>
      </x:c>
      <x:c r="AB17" s="131" t="n">
        <x:f>IFERROR(100*COUNTIFS('Raw_Data'!$T$2:$T$59,"&gt;=1",'Raw_Data'!$T$2:$T$59,"&lt;=2",'Raw_Data'!$A$2:$A$59,"Yes",'Raw_Data'!$D$2:$D$59,"การเงิน",'Raw_Data'!$E$2:$E$59,"สายสนับสนุนทั่วไป")/COUNTIFS('Raw_Data'!$T$2:$T$59,"&gt;=1",'Raw_Data'!$T$2:$T$59,"&lt;=5",'Raw_Data'!$A$2:$A$59,"Yes",'Raw_Data'!$D$2:$D$59,"การเงิน",'Raw_Data'!$E$2:$E$59,"สายสนับสนุนทั่วไป"),"")</x:f>
        <x:v>33.333333333333336</x:v>
      </x:c>
      <x:c r="AC17" s="131" t="n">
        <x:f>IFERROR(100*COUNTIFS('Raw_Data'!$T$2:$T$59,"&gt;=1",'Raw_Data'!$T$2:$T$59,"&lt;=2",'Raw_Data'!$A$2:$A$59,"Yes",'Raw_Data'!$D$2:$D$59,"เคหรักษ์",'Raw_Data'!$E$2:$E$59,"สายสนับสนุนทั่วไป")/COUNTIFS('Raw_Data'!$T$2:$T$59,"&gt;=1",'Raw_Data'!$T$2:$T$59,"&lt;=5",'Raw_Data'!$A$2:$A$59,"Yes",'Raw_Data'!$D$2:$D$59,"เคหรักษ์",'Raw_Data'!$E$2:$E$59,"สายสนับสนุนทั่วไป"),"")</x:f>
        <x:v>0</x:v>
      </x:c>
      <x:c r="AD17" s="131" t="n">
        <x:f>IFERROR(100*COUNTIFS('Raw_Data'!$T$2:$T$59,"&gt;=1",'Raw_Data'!$T$2:$T$59,"&lt;=2",'Raw_Data'!$A$2:$A$59,"Yes",'Raw_Data'!$D$2:$D$59,"จ่ายกลาง",'Raw_Data'!$E$2:$E$59,"สายสนับสนุนทั่วไป")/COUNTIFS('Raw_Data'!$T$2:$T$59,"&gt;=1",'Raw_Data'!$T$2:$T$59,"&lt;=5",'Raw_Data'!$A$2:$A$59,"Yes",'Raw_Data'!$D$2:$D$59,"จ่ายกลาง",'Raw_Data'!$E$2:$E$59,"สายสนับสนุนทั่วไป"),"")</x:f>
        <x:v>0</x:v>
      </x:c>
      <x:c r="AE17" s="131" t="n">
        <x:f>IFERROR(100*COUNTIFS('Raw_Data'!$T$2:$T$59,"&gt;=1",'Raw_Data'!$T$2:$T$59,"&lt;=2",'Raw_Data'!$A$2:$A$59,"Yes",'Raw_Data'!$D$2:$D$59,"ช่างและสนาม",'Raw_Data'!$E$2:$E$59,"สายสนับสนุนทั่วไป")/COUNTIFS('Raw_Data'!$T$2:$T$59,"&gt;=1",'Raw_Data'!$T$2:$T$59,"&lt;=5",'Raw_Data'!$A$2:$A$59,"Yes",'Raw_Data'!$D$2:$D$59,"ช่างและสนาม",'Raw_Data'!$E$2:$E$59,"สายสนับสนุนทั่วไป"),"")</x:f>
        <x:v>50</x:v>
      </x:c>
      <x:c r="AF17" s="131" t="n">
        <x:f>IFERROR(100*COUNTIFS('Raw_Data'!$T$2:$T$59,"&gt;=1",'Raw_Data'!$T$2:$T$59,"&lt;=2",'Raw_Data'!$A$2:$A$59,"Yes",'Raw_Data'!$D$2:$D$59,"ผู้ป่วยสัมพันธ์",'Raw_Data'!$E$2:$E$59,"สายสนับสนุนทั่วไป")/COUNTIFS('Raw_Data'!$T$2:$T$59,"&gt;=1",'Raw_Data'!$T$2:$T$59,"&lt;=5",'Raw_Data'!$A$2:$A$59,"Yes",'Raw_Data'!$D$2:$D$59,"ผู้ป่วยสัมพันธ์",'Raw_Data'!$E$2:$E$59,"สายสนับสนุนทั่วไป"),"")</x:f>
        <x:v>0</x:v>
      </x:c>
      <x:c r="AG17" s="131" t="n">
        <x:f>IFERROR(100*COUNTIFS('Raw_Data'!$T$2:$T$59,"&gt;=1",'Raw_Data'!$T$2:$T$59,"&lt;=2",'Raw_Data'!$A$2:$A$59,"Yes",'Raw_Data'!$D$2:$D$59,"ยานพาหนะ",'Raw_Data'!$E$2:$E$59,"สายสนับสนุนทั่วไป")/COUNTIFS('Raw_Data'!$T$2:$T$59,"&gt;=1",'Raw_Data'!$T$2:$T$59,"&lt;=5",'Raw_Data'!$A$2:$A$59,"Yes",'Raw_Data'!$D$2:$D$59,"ยานพาหนะ",'Raw_Data'!$E$2:$E$59,"สายสนับสนุนทั่วไป"),"")</x:f>
        <x:v>100</x:v>
      </x:c>
      <x:c r="AH17" s="131" t="n">
        <x:f>IFERROR(100*COUNTIFS('Raw_Data'!$T$2:$T$59,"&gt;=1",'Raw_Data'!$T$2:$T$59,"&lt;=2",'Raw_Data'!$A$2:$A$59,"Yes",'Raw_Data'!$D$2:$D$59,"สื่อสารการตลาด",'Raw_Data'!$E$2:$E$59,"สายสนับสนุนทั่วไป")/COUNTIFS('Raw_Data'!$T$2:$T$59,"&gt;=1",'Raw_Data'!$T$2:$T$59,"&lt;=5",'Raw_Data'!$A$2:$A$59,"Yes",'Raw_Data'!$D$2:$D$59,"สื่อสารการตลาด",'Raw_Data'!$E$2:$E$59,"สายสนับสนุนทั่วไป"),"")</x:f>
        <x:v>100</x:v>
      </x:c>
      <x:c r="AI17" s="131" t="n">
        <x:f>IFERROR(100*COUNTIFS('Raw_Data'!$T$2:$T$59,"&gt;=1",'Raw_Data'!$T$2:$T$59,"&lt;=2",'Raw_Data'!$A$2:$A$59,"Yes",'Raw_Data'!$D$2:$D$59,"ERและเปล",'Raw_Data'!$E$2:$E$59,"สายสนับสนุนทั่วไป")/COUNTIFS('Raw_Data'!$T$2:$T$59,"&gt;=1",'Raw_Data'!$T$2:$T$59,"&lt;=5",'Raw_Data'!$A$2:$A$59,"Yes",'Raw_Data'!$D$2:$D$59,"ERและเปล",'Raw_Data'!$E$2:$E$59,"สายสนับสนุนทั่วไป"),"")</x:f>
        <x:v>100</x:v>
      </x:c>
      <x:c r="AJ17" s="131" t="n">
        <x:f>IFERROR(100*COUNTIFS('Raw_Data'!$T$2:$T$59,"&gt;=1",'Raw_Data'!$T$2:$T$59,"&lt;=2",'Raw_Data'!$A$2:$A$59,"Yes",'Raw_Data'!$D$2:$D$59,"HR",'Raw_Data'!$E$2:$E$59,"สายสนับสนุนทั่วไป")/COUNTIFS('Raw_Data'!$T$2:$T$59,"&gt;=1",'Raw_Data'!$T$2:$T$59,"&lt;=5",'Raw_Data'!$A$2:$A$59,"Yes",'Raw_Data'!$D$2:$D$59,"HR",'Raw_Data'!$E$2:$E$59,"สายสนับสนุนทั่วไป"),"")</x:f>
        <x:v>100</x:v>
      </x:c>
      <x:c r="AK17" s="131" t="n">
        <x:f>IFERROR(100*COUNTIFS('Raw_Data'!$T$2:$T$59,"&gt;=1",'Raw_Data'!$T$2:$T$59,"&lt;=2",'Raw_Data'!$A$2:$A$59,"Yes",'Raw_Data'!$D$2:$D$59,"ICU",'Raw_Data'!$E$2:$E$59,"สายสนับสนุนทั่วไป")/COUNTIFS('Raw_Data'!$T$2:$T$59,"&gt;=1",'Raw_Data'!$T$2:$T$59,"&lt;=5",'Raw_Data'!$A$2:$A$59,"Yes",'Raw_Data'!$D$2:$D$59,"ICU",'Raw_Data'!$E$2:$E$59,"สายสนับสนุนทั่วไป"),"")</x:f>
        <x:v>0</x:v>
      </x:c>
      <x:c r="AL17" s="131" t="n">
        <x:f>IFERROR(100*COUNTIFS('Raw_Data'!$T$2:$T$59,"&gt;=1",'Raw_Data'!$T$2:$T$59,"&lt;=2",'Raw_Data'!$A$2:$A$59,"Yes",'Raw_Data'!$D$2:$D$59,"IPD",'Raw_Data'!$E$2:$E$59,"สายสนับสนุนทั่วไป")/COUNTIFS('Raw_Data'!$T$2:$T$59,"&gt;=1",'Raw_Data'!$T$2:$T$59,"&lt;=5",'Raw_Data'!$A$2:$A$59,"Yes",'Raw_Data'!$D$2:$D$59,"IPD",'Raw_Data'!$E$2:$E$59,"สายสนับสนุนทั่วไป"),"")</x:f>
        <x:v>0</x:v>
      </x:c>
      <x:c r="AM17" s="131" t="n">
        <x:f>IFERROR(100*COUNTIFS('Raw_Data'!$T$2:$T$59,"&gt;=1",'Raw_Data'!$T$2:$T$59,"&lt;=2",'Raw_Data'!$A$2:$A$59,"Yes",'Raw_Data'!$D$2:$D$59,"IT",'Raw_Data'!$E$2:$E$59,"สายสนับสนุนทั่วไป")/COUNTIFS('Raw_Data'!$T$2:$T$59,"&gt;=1",'Raw_Data'!$T$2:$T$59,"&lt;=5",'Raw_Data'!$A$2:$A$59,"Yes",'Raw_Data'!$D$2:$D$59,"IT",'Raw_Data'!$E$2:$E$59,"สายสนับสนุนทั่วไป"),"")</x:f>
        <x:v>100</x:v>
      </x:c>
      <x:c r="AN17" s="131" t="n">
        <x:f>IFERROR(100*COUNTIFS('Raw_Data'!$T$2:$T$59,"&gt;=1",'Raw_Data'!$T$2:$T$59,"&lt;=2",'Raw_Data'!$A$2:$A$59,"Yes",'Raw_Data'!$D$2:$D$59,"ผู้ป่วยสัมพันธ์",'Raw_Data'!$E$2:$E$59,"สายสนับสนุนทางการแพทย์")/COUNTIFS('Raw_Data'!$T$2:$T$59,"&gt;=1",'Raw_Data'!$T$2:$T$59,"&lt;=5",'Raw_Data'!$A$2:$A$59,"Yes",'Raw_Data'!$D$2:$D$59,"ผู้ป่วยสัมพันธ์",'Raw_Data'!$E$2:$E$59,"สายสนับสนุนทางการแพทย์"),"")</x:f>
        <x:v>100</x:v>
      </x:c>
      <x:c r="AO17" s="131" t="n">
        <x:f>IFERROR(100*COUNTIFS('Raw_Data'!$T$2:$T$59,"&gt;=1",'Raw_Data'!$T$2:$T$59,"&lt;=2",'Raw_Data'!$A$2:$A$59,"Yes",'Raw_Data'!$D$2:$D$59,"ฝ่ายการพยาบาล",'Raw_Data'!$E$2:$E$59,"สายสนับสนุนทางการแพทย์")/COUNTIFS('Raw_Data'!$T$2:$T$59,"&gt;=1",'Raw_Data'!$T$2:$T$59,"&lt;=5",'Raw_Data'!$A$2:$A$59,"Yes",'Raw_Data'!$D$2:$D$59,"ฝ่ายการพยาบาล",'Raw_Data'!$E$2:$E$59,"สายสนับสนุนทางการแพทย์"),"")</x:f>
        <x:v>100</x:v>
      </x:c>
      <x:c r="AP17" s="131" t="n">
        <x:f>IFERROR(100*COUNTIFS('Raw_Data'!$T$2:$T$59,"&gt;=1",'Raw_Data'!$T$2:$T$59,"&lt;=2",'Raw_Data'!$A$2:$A$59,"Yes",'Raw_Data'!$D$2:$D$59,"โภชนาการ",'Raw_Data'!$E$2:$E$59,"สายสนับสนุนทางการแพทย์")/COUNTIFS('Raw_Data'!$T$2:$T$59,"&gt;=1",'Raw_Data'!$T$2:$T$59,"&lt;=5",'Raw_Data'!$A$2:$A$59,"Yes",'Raw_Data'!$D$2:$D$59,"โภชนาการ",'Raw_Data'!$E$2:$E$59,"สายสนับสนุนทางการแพทย์"),"")</x:f>
        <x:v>100</x:v>
      </x:c>
      <x:c r="AQ17" s="131" t="n">
        <x:f>IFERROR(100*COUNTIFS('Raw_Data'!$T$2:$T$59,"&gt;=1",'Raw_Data'!$T$2:$T$59,"&lt;=2",'Raw_Data'!$A$2:$A$59,"Yes",'Raw_Data'!$D$2:$D$59,"ห้องยา",'Raw_Data'!$E$2:$E$59,"สายสนับสนุนทางการแพทย์")/COUNTIFS('Raw_Data'!$T$2:$T$59,"&gt;=1",'Raw_Data'!$T$2:$T$59,"&lt;=5",'Raw_Data'!$A$2:$A$59,"Yes",'Raw_Data'!$D$2:$D$59,"ห้องยา",'Raw_Data'!$E$2:$E$59,"สายสนับสนุนทางการแพทย์"),"")</x:f>
        <x:v>66.66666666666667</x:v>
      </x:c>
      <x:c r="AR17" s="131" t="n">
        <x:f>IFERROR(100*COUNTIFS('Raw_Data'!$T$2:$T$59,"&gt;=1",'Raw_Data'!$T$2:$T$59,"&lt;=2",'Raw_Data'!$A$2:$A$59,"Yes",'Raw_Data'!$D$2:$D$59,"ห้องแลป",'Raw_Data'!$E$2:$E$59,"สายสนับสนุนทางการแพทย์")/COUNTIFS('Raw_Data'!$T$2:$T$59,"&gt;=1",'Raw_Data'!$T$2:$T$59,"&lt;=5",'Raw_Data'!$A$2:$A$59,"Yes",'Raw_Data'!$D$2:$D$59,"ห้องแลป",'Raw_Data'!$E$2:$E$59,"สายสนับสนุนทางการแพทย์"),"")</x:f>
        <x:v>100</x:v>
      </x:c>
      <x:c r="AS17" s="131" t="n">
        <x:f>IFERROR(100*COUNTIFS('Raw_Data'!$T$2:$T$59,"&gt;=1",'Raw_Data'!$T$2:$T$59,"&lt;=2",'Raw_Data'!$A$2:$A$59,"Yes",'Raw_Data'!$D$2:$D$59,"ห้องเอ็กซเรย์",'Raw_Data'!$E$2:$E$59,"สายสนับสนุนทางการแพทย์")/COUNTIFS('Raw_Data'!$T$2:$T$59,"&gt;=1",'Raw_Data'!$T$2:$T$59,"&lt;=5",'Raw_Data'!$A$2:$A$59,"Yes",'Raw_Data'!$D$2:$D$59,"ห้องเอ็กซเรย์",'Raw_Data'!$E$2:$E$59,"สายสนับสนุนทางการแพทย์"),"")</x:f>
        <x:v>100</x:v>
      </x:c>
      <x:c r="AT17" s="131" t="n">
        <x:f>IFERROR(100*COUNTIFS('Raw_Data'!$T$2:$T$59,"&gt;=1",'Raw_Data'!$T$2:$T$59,"&lt;=2",'Raw_Data'!$A$2:$A$59,"Yes",'Raw_Data'!$D$2:$D$59,"ERและเปล",'Raw_Data'!$E$2:$E$59,"สายสนับสนุนทางการแพทย์")/COUNTIFS('Raw_Data'!$T$2:$T$59,"&gt;=1",'Raw_Data'!$T$2:$T$59,"&lt;=5",'Raw_Data'!$A$2:$A$59,"Yes",'Raw_Data'!$D$2:$D$59,"ERและเปล",'Raw_Data'!$E$2:$E$59,"สายสนับสนุนทางการแพทย์"),"")</x:f>
        <x:v>100</x:v>
      </x:c>
      <x:c r="AU17" s="131" t="n">
        <x:f>IFERROR(100*COUNTIFS('Raw_Data'!$T$2:$T$59,"&gt;=1",'Raw_Data'!$T$2:$T$59,"&lt;=2",'Raw_Data'!$A$2:$A$59,"Yes",'Raw_Data'!$D$2:$D$59,"ICU",'Raw_Data'!$E$2:$E$59,"สายสนับสนุนทางการแพทย์")/COUNTIFS('Raw_Data'!$T$2:$T$59,"&gt;=1",'Raw_Data'!$T$2:$T$59,"&lt;=5",'Raw_Data'!$A$2:$A$59,"Yes",'Raw_Data'!$D$2:$D$59,"ICU",'Raw_Data'!$E$2:$E$59,"สายสนับสนุนทางการแพทย์"),"")</x:f>
        <x:v>100</x:v>
      </x:c>
      <x:c r="AV17" s="131" t="n">
        <x:f>IFERROR(100*COUNTIFS('Raw_Data'!$T$2:$T$59,"&gt;=1",'Raw_Data'!$T$2:$T$59,"&lt;=2",'Raw_Data'!$A$2:$A$59,"Yes",'Raw_Data'!$D$2:$D$59,"IPD",'Raw_Data'!$E$2:$E$59,"สายสนับสนุนทางการแพทย์")/COUNTIFS('Raw_Data'!$T$2:$T$59,"&gt;=1",'Raw_Data'!$T$2:$T$59,"&lt;=5",'Raw_Data'!$A$2:$A$59,"Yes",'Raw_Data'!$D$2:$D$59,"IPD",'Raw_Data'!$E$2:$E$59,"สายสนับสนุนทางการแพทย์"),"")</x:f>
        <x:v>0</x:v>
      </x:c>
      <x:c r="AW17" s="131" t="n">
        <x:f>IFERROR(100*COUNTIFS('Raw_Data'!$T$2:$T$59,"&gt;=1",'Raw_Data'!$T$2:$T$59,"&lt;=2",'Raw_Data'!$A$2:$A$59,"Yes",'Raw_Data'!$D$2:$D$59,"IT",'Raw_Data'!$E$2:$E$59,"สายสนับสนุนทางการแพทย์")/COUNTIFS('Raw_Data'!$T$2:$T$59,"&gt;=1",'Raw_Data'!$T$2:$T$59,"&lt;=5",'Raw_Data'!$A$2:$A$59,"Yes",'Raw_Data'!$D$2:$D$59,"IT",'Raw_Data'!$E$2:$E$59,"สายสนับสนุนทางการแพทย์"),"")</x:f>
        <x:v>100</x:v>
      </x:c>
    </x:row>
    <x:row r="18" ht="42" customHeight="1">
      <x:c r="A18" s="123" t="str">
        <x:v>5. การสนับสนุนของหัวหน้างาน, ผู้จัดการ หรือทีมนำทางคลินิกในเรื่องความปลอดภัย</x:v>
      </x:c>
      <x:c r="B18" s="124" t="str">
        <x:v>B1. หัวหน้างาน หัวหน้ากลุ่มงาน ผู้จัดการ หัวหน้าทีมการดูแลผู้ป่วย หรือประธานทีมนำทางคลินิกของฉันให้ความสำคัญกับข้อเสนอแนะของบุคลากรและผู้ร่วมงานอย่างจริงจังเพื่อปรับปรุงความปลอดภัยของผู้ป่วย</x:v>
      </x:c>
      <x:c r="C18" s="131" t="n">
        <x:f>IFERROR(100*COUNTIFS('Raw_Data'!$U$2:$U$59,"&gt;=4",'Raw_Data'!$U$2:$U$59,"&lt;=5",'Raw_Data'!$A$2:$A$59,"Yes")/COUNTIFS('Raw_Data'!$U$2:$U$59,"&gt;=1",'Raw_Data'!$U$2:$U$59,"&lt;=5",'Raw_Data'!$A$2:$A$59,"Yes"),"")</x:f>
        <x:v>55.172413793103445</x:v>
      </x:c>
      <x:c r="D18" s="131" t="n">
        <x:f>IFERROR(100*COUNTIFS('Raw_Data'!$U$2:$U$59,"&gt;=4",'Raw_Data'!$U$2:$U$59,"&lt;=5",'Raw_Data'!$A$2:$A$59,"Yes",'Raw_Data'!$D$2:$D$59,"การเงิน")/COUNTIFS('Raw_Data'!$U$2:$U$59,"&gt;=1",'Raw_Data'!$U$2:$U$59,"&lt;=5",'Raw_Data'!$A$2:$A$59,"Yes",'Raw_Data'!$D$2:$D$59,"การเงิน"),"")</x:f>
        <x:v>66.66666666666667</x:v>
      </x:c>
      <x:c r="E18" s="131" t="n">
        <x:f>IFERROR(100*COUNTIFS('Raw_Data'!$U$2:$U$59,"&gt;=4",'Raw_Data'!$U$2:$U$59,"&lt;=5",'Raw_Data'!$A$2:$A$59,"Yes",'Raw_Data'!$D$2:$D$59,"เคหรักษ์")/COUNTIFS('Raw_Data'!$U$2:$U$59,"&gt;=1",'Raw_Data'!$U$2:$U$59,"&lt;=5",'Raw_Data'!$A$2:$A$59,"Yes",'Raw_Data'!$D$2:$D$59,"เคหรักษ์"),"")</x:f>
        <x:v>50</x:v>
      </x:c>
      <x:c r="F18" s="131" t="n">
        <x:f>IFERROR(100*COUNTIFS('Raw_Data'!$U$2:$U$59,"&gt;=4",'Raw_Data'!$U$2:$U$59,"&lt;=5",'Raw_Data'!$A$2:$A$59,"Yes",'Raw_Data'!$D$2:$D$59,"จ่ายกลาง")/COUNTIFS('Raw_Data'!$U$2:$U$59,"&gt;=1",'Raw_Data'!$U$2:$U$59,"&lt;=5",'Raw_Data'!$A$2:$A$59,"Yes",'Raw_Data'!$D$2:$D$59,"จ่ายกลาง"),"")</x:f>
        <x:v>100</x:v>
      </x:c>
      <x:c r="G18" s="131" t="n">
        <x:f>IFERROR(100*COUNTIFS('Raw_Data'!$U$2:$U$59,"&gt;=4",'Raw_Data'!$U$2:$U$59,"&lt;=5",'Raw_Data'!$A$2:$A$59,"Yes",'Raw_Data'!$D$2:$D$59,"ช่างและสนาม")/COUNTIFS('Raw_Data'!$U$2:$U$59,"&gt;=1",'Raw_Data'!$U$2:$U$59,"&lt;=5",'Raw_Data'!$A$2:$A$59,"Yes",'Raw_Data'!$D$2:$D$59,"ช่างและสนาม"),"")</x:f>
        <x:v>75</x:v>
      </x:c>
      <x:c r="H18" s="131" t="n">
        <x:f>IFERROR(100*COUNTIFS('Raw_Data'!$U$2:$U$59,"&gt;=4",'Raw_Data'!$U$2:$U$59,"&lt;=5",'Raw_Data'!$A$2:$A$59,"Yes",'Raw_Data'!$D$2:$D$59,"ผู้ป่วยสัมพันธ์")/COUNTIFS('Raw_Data'!$U$2:$U$59,"&gt;=1",'Raw_Data'!$U$2:$U$59,"&lt;=5",'Raw_Data'!$A$2:$A$59,"Yes",'Raw_Data'!$D$2:$D$59,"ผู้ป่วยสัมพันธ์"),"")</x:f>
        <x:v>25</x:v>
      </x:c>
      <x:c r="I18" s="131" t="n">
        <x:f>IFERROR(100*COUNTIFS('Raw_Data'!$U$2:$U$59,"&gt;=4",'Raw_Data'!$U$2:$U$59,"&lt;=5",'Raw_Data'!$A$2:$A$59,"Yes",'Raw_Data'!$D$2:$D$59,"ฝ่ายการพยาบาล")/COUNTIFS('Raw_Data'!$U$2:$U$59,"&gt;=1",'Raw_Data'!$U$2:$U$59,"&lt;=5",'Raw_Data'!$A$2:$A$59,"Yes",'Raw_Data'!$D$2:$D$59,"ฝ่ายการพยาบาล"),"")</x:f>
        <x:v>50</x:v>
      </x:c>
      <x:c r="J18" s="131" t="n">
        <x:f>IFERROR(100*COUNTIFS('Raw_Data'!$U$2:$U$59,"&gt;=4",'Raw_Data'!$U$2:$U$59,"&lt;=5",'Raw_Data'!$A$2:$A$59,"Yes",'Raw_Data'!$D$2:$D$59,"โภชนาการ")/COUNTIFS('Raw_Data'!$U$2:$U$59,"&gt;=1",'Raw_Data'!$U$2:$U$59,"&lt;=5",'Raw_Data'!$A$2:$A$59,"Yes",'Raw_Data'!$D$2:$D$59,"โภชนาการ"),"")</x:f>
        <x:v>100</x:v>
      </x:c>
      <x:c r="K18" s="131" t="n">
        <x:f>IFERROR(100*COUNTIFS('Raw_Data'!$U$2:$U$59,"&gt;=4",'Raw_Data'!$U$2:$U$59,"&lt;=5",'Raw_Data'!$A$2:$A$59,"Yes",'Raw_Data'!$D$2:$D$59,"ยานพาหนะ")/COUNTIFS('Raw_Data'!$U$2:$U$59,"&gt;=1",'Raw_Data'!$U$2:$U$59,"&lt;=5",'Raw_Data'!$A$2:$A$59,"Yes",'Raw_Data'!$D$2:$D$59,"ยานพาหนะ"),"")</x:f>
        <x:v>100</x:v>
      </x:c>
      <x:c r="L18" s="131" t="n">
        <x:f>IFERROR(100*COUNTIFS('Raw_Data'!$U$2:$U$59,"&gt;=4",'Raw_Data'!$U$2:$U$59,"&lt;=5",'Raw_Data'!$A$2:$A$59,"Yes",'Raw_Data'!$D$2:$D$59,"สื่อสารการตลาด")/COUNTIFS('Raw_Data'!$U$2:$U$59,"&gt;=1",'Raw_Data'!$U$2:$U$59,"&lt;=5",'Raw_Data'!$A$2:$A$59,"Yes",'Raw_Data'!$D$2:$D$59,"สื่อสารการตลาด"),"")</x:f>
        <x:v>0</x:v>
      </x:c>
      <x:c r="M18" s="131" t="n">
        <x:f>IFERROR(100*COUNTIFS('Raw_Data'!$U$2:$U$59,"&gt;=4",'Raw_Data'!$U$2:$U$59,"&lt;=5",'Raw_Data'!$A$2:$A$59,"Yes",'Raw_Data'!$D$2:$D$59,"ห้องยา")/COUNTIFS('Raw_Data'!$U$2:$U$59,"&gt;=1",'Raw_Data'!$U$2:$U$59,"&lt;=5",'Raw_Data'!$A$2:$A$59,"Yes",'Raw_Data'!$D$2:$D$59,"ห้องยา"),"")</x:f>
        <x:v>100</x:v>
      </x:c>
      <x:c r="N18" s="131" t="n">
        <x:f>IFERROR(100*COUNTIFS('Raw_Data'!$U$2:$U$59,"&gt;=4",'Raw_Data'!$U$2:$U$59,"&lt;=5",'Raw_Data'!$A$2:$A$59,"Yes",'Raw_Data'!$D$2:$D$59,"ห้องแลป")/COUNTIFS('Raw_Data'!$U$2:$U$59,"&gt;=1",'Raw_Data'!$U$2:$U$59,"&lt;=5",'Raw_Data'!$A$2:$A$59,"Yes",'Raw_Data'!$D$2:$D$59,"ห้องแลป"),"")</x:f>
        <x:v>0</x:v>
      </x:c>
      <x:c r="O18" s="131" t="n">
        <x:f>IFERROR(100*COUNTIFS('Raw_Data'!$U$2:$U$59,"&gt;=4",'Raw_Data'!$U$2:$U$59,"&lt;=5",'Raw_Data'!$A$2:$A$59,"Yes",'Raw_Data'!$D$2:$D$59,"ห้องเอ็กซเรย์")/COUNTIFS('Raw_Data'!$U$2:$U$59,"&gt;=1",'Raw_Data'!$U$2:$U$59,"&lt;=5",'Raw_Data'!$A$2:$A$59,"Yes",'Raw_Data'!$D$2:$D$59,"ห้องเอ็กซเรย์"),"")</x:f>
        <x:v>66.66666666666667</x:v>
      </x:c>
      <x:c r="P18" s="131" t="n">
        <x:f>IFERROR(100*COUNTIFS('Raw_Data'!$U$2:$U$59,"&gt;=4",'Raw_Data'!$U$2:$U$59,"&lt;=5",'Raw_Data'!$A$2:$A$59,"Yes",'Raw_Data'!$D$2:$D$59,"ERและเปล")/COUNTIFS('Raw_Data'!$U$2:$U$59,"&gt;=1",'Raw_Data'!$U$2:$U$59,"&lt;=5",'Raw_Data'!$A$2:$A$59,"Yes",'Raw_Data'!$D$2:$D$59,"ERและเปล"),"")</x:f>
        <x:v>36.36363636363637</x:v>
      </x:c>
      <x:c r="Q18" s="131" t="n">
        <x:f>IFERROR(100*COUNTIFS('Raw_Data'!$U$2:$U$59,"&gt;=4",'Raw_Data'!$U$2:$U$59,"&lt;=5",'Raw_Data'!$A$2:$A$59,"Yes",'Raw_Data'!$D$2:$D$59,"HR")/COUNTIFS('Raw_Data'!$U$2:$U$59,"&gt;=1",'Raw_Data'!$U$2:$U$59,"&lt;=5",'Raw_Data'!$A$2:$A$59,"Yes",'Raw_Data'!$D$2:$D$59,"HR"),"")</x:f>
        <x:v>100</x:v>
      </x:c>
      <x:c r="R18" s="131" t="n">
        <x:f>IFERROR(100*COUNTIFS('Raw_Data'!$U$2:$U$59,"&gt;=4",'Raw_Data'!$U$2:$U$59,"&lt;=5",'Raw_Data'!$A$2:$A$59,"Yes",'Raw_Data'!$D$2:$D$59,"ICU")/COUNTIFS('Raw_Data'!$U$2:$U$59,"&gt;=1",'Raw_Data'!$U$2:$U$59,"&lt;=5",'Raw_Data'!$A$2:$A$59,"Yes",'Raw_Data'!$D$2:$D$59,"ICU"),"")</x:f>
        <x:v>50</x:v>
      </x:c>
      <x:c r="S18" s="131" t="n">
        <x:f>IFERROR(100*COUNTIFS('Raw_Data'!$U$2:$U$59,"&gt;=4",'Raw_Data'!$U$2:$U$59,"&lt;=5",'Raw_Data'!$A$2:$A$59,"Yes",'Raw_Data'!$D$2:$D$59,"IPD")/COUNTIFS('Raw_Data'!$U$2:$U$59,"&gt;=1",'Raw_Data'!$U$2:$U$59,"&lt;=5",'Raw_Data'!$A$2:$A$59,"Yes",'Raw_Data'!$D$2:$D$59,"IPD"),"")</x:f>
        <x:v>50</x:v>
      </x:c>
      <x:c r="T18" s="131" t="n">
        <x:f>IFERROR(100*COUNTIFS('Raw_Data'!$U$2:$U$59,"&gt;=4",'Raw_Data'!$U$2:$U$59,"&lt;=5",'Raw_Data'!$A$2:$A$59,"Yes",'Raw_Data'!$D$2:$D$59,"IT")/COUNTIFS('Raw_Data'!$U$2:$U$59,"&gt;=1",'Raw_Data'!$U$2:$U$59,"&lt;=5",'Raw_Data'!$A$2:$A$59,"Yes",'Raw_Data'!$D$2:$D$59,"IT"),"")</x:f>
        <x:v>100</x:v>
      </x:c>
      <x:c r="U18" s="131" t="n">
        <x:f>IFERROR(100*COUNTIFS('Raw_Data'!$U$2:$U$59,"&gt;=4",'Raw_Data'!$U$2:$U$59,"&lt;=5",'Raw_Data'!$A$2:$A$59,"Yes",'Raw_Data'!$D$2:$D$59,"OR")/COUNTIFS('Raw_Data'!$U$2:$U$59,"&gt;=1",'Raw_Data'!$U$2:$U$59,"&lt;=5",'Raw_Data'!$A$2:$A$59,"Yes",'Raw_Data'!$D$2:$D$59,"OR"),"")</x:f>
        <x:v>25</x:v>
      </x:c>
      <x:c r="V18" s="131" t="n">
        <x:f>IFERROR(100*COUNTIFS('Raw_Data'!$U$2:$U$59,"&gt;=4",'Raw_Data'!$U$2:$U$59,"&lt;=5",'Raw_Data'!$A$2:$A$59,"Yes",'Raw_Data'!$D$2:$D$59,"IPD",'Raw_Data'!$E$2:$E$59,"ผู้บริหาร")/COUNTIFS('Raw_Data'!$U$2:$U$59,"&gt;=1",'Raw_Data'!$U$2:$U$59,"&lt;=5",'Raw_Data'!$A$2:$A$59,"Yes",'Raw_Data'!$D$2:$D$59,"IPD",'Raw_Data'!$E$2:$E$59,"ผู้บริหาร"),"")</x:f>
        <x:v>100</x:v>
      </x:c>
      <x:c r="W18" s="131" t="n">
        <x:f>IFERROR(100*COUNTIFS('Raw_Data'!$U$2:$U$59,"&gt;=4",'Raw_Data'!$U$2:$U$59,"&lt;=5",'Raw_Data'!$A$2:$A$59,"Yes",'Raw_Data'!$D$2:$D$59,"ฝ่ายการพยาบาล",'Raw_Data'!$E$2:$E$59,"สายวิชาชีพสาธารณสุข")/COUNTIFS('Raw_Data'!$U$2:$U$59,"&gt;=1",'Raw_Data'!$U$2:$U$59,"&lt;=5",'Raw_Data'!$A$2:$A$59,"Yes",'Raw_Data'!$D$2:$D$59,"ฝ่ายการพยาบาล",'Raw_Data'!$E$2:$E$59,"สายวิชาชีพสาธารณสุข"),"")</x:f>
        <x:v>0</x:v>
      </x:c>
      <x:c r="X18" s="131" t="n">
        <x:f>IFERROR(100*COUNTIFS('Raw_Data'!$U$2:$U$59,"&gt;=4",'Raw_Data'!$U$2:$U$59,"&lt;=5",'Raw_Data'!$A$2:$A$59,"Yes",'Raw_Data'!$D$2:$D$59,"ERและเปล",'Raw_Data'!$E$2:$E$59,"สายวิชาชีพสาธารณสุข")/COUNTIFS('Raw_Data'!$U$2:$U$59,"&gt;=1",'Raw_Data'!$U$2:$U$59,"&lt;=5",'Raw_Data'!$A$2:$A$59,"Yes",'Raw_Data'!$D$2:$D$59,"ERและเปล",'Raw_Data'!$E$2:$E$59,"สายวิชาชีพสาธารณสุข"),"")</x:f>
        <x:v>28.571428571428573</x:v>
      </x:c>
      <x:c r="Y18" s="131" t="n">
        <x:f>IFERROR(100*COUNTIFS('Raw_Data'!$U$2:$U$59,"&gt;=4",'Raw_Data'!$U$2:$U$59,"&lt;=5",'Raw_Data'!$A$2:$A$59,"Yes",'Raw_Data'!$D$2:$D$59,"ICU",'Raw_Data'!$E$2:$E$59,"สายวิชาชีพสาธารณสุข")/COUNTIFS('Raw_Data'!$U$2:$U$59,"&gt;=1",'Raw_Data'!$U$2:$U$59,"&lt;=5",'Raw_Data'!$A$2:$A$59,"Yes",'Raw_Data'!$D$2:$D$59,"ICU",'Raw_Data'!$E$2:$E$59,"สายวิชาชีพสาธารณสุข"),"")</x:f>
        <x:v>50</x:v>
      </x:c>
      <x:c r="Z18" s="131" t="n">
        <x:f>IFERROR(100*COUNTIFS('Raw_Data'!$U$2:$U$59,"&gt;=4",'Raw_Data'!$U$2:$U$59,"&lt;=5",'Raw_Data'!$A$2:$A$59,"Yes",'Raw_Data'!$D$2:$D$59,"IPD",'Raw_Data'!$E$2:$E$59,"สายวิชาชีพสาธารณสุข")/COUNTIFS('Raw_Data'!$U$2:$U$59,"&gt;=1",'Raw_Data'!$U$2:$U$59,"&lt;=5",'Raw_Data'!$A$2:$A$59,"Yes",'Raw_Data'!$D$2:$D$59,"IPD",'Raw_Data'!$E$2:$E$59,"สายวิชาชีพสาธารณสุข"),"")</x:f>
        <x:v>100</x:v>
      </x:c>
      <x:c r="AA18" s="131" t="n">
        <x:f>IFERROR(100*COUNTIFS('Raw_Data'!$U$2:$U$59,"&gt;=4",'Raw_Data'!$U$2:$U$59,"&lt;=5",'Raw_Data'!$A$2:$A$59,"Yes",'Raw_Data'!$D$2:$D$59,"OR",'Raw_Data'!$E$2:$E$59,"สายวิชาชีพสาธารณสุข")/COUNTIFS('Raw_Data'!$U$2:$U$59,"&gt;=1",'Raw_Data'!$U$2:$U$59,"&lt;=5",'Raw_Data'!$A$2:$A$59,"Yes",'Raw_Data'!$D$2:$D$59,"OR",'Raw_Data'!$E$2:$E$59,"สายวิชาชีพสาธารณสุข"),"")</x:f>
        <x:v>25</x:v>
      </x:c>
      <x:c r="AB18" s="131" t="n">
        <x:f>IFERROR(100*COUNTIFS('Raw_Data'!$U$2:$U$59,"&gt;=4",'Raw_Data'!$U$2:$U$59,"&lt;=5",'Raw_Data'!$A$2:$A$59,"Yes",'Raw_Data'!$D$2:$D$59,"การเงิน",'Raw_Data'!$E$2:$E$59,"สายสนับสนุนทั่วไป")/COUNTIFS('Raw_Data'!$U$2:$U$59,"&gt;=1",'Raw_Data'!$U$2:$U$59,"&lt;=5",'Raw_Data'!$A$2:$A$59,"Yes",'Raw_Data'!$D$2:$D$59,"การเงิน",'Raw_Data'!$E$2:$E$59,"สายสนับสนุนทั่วไป"),"")</x:f>
        <x:v>66.66666666666667</x:v>
      </x:c>
      <x:c r="AC18" s="131" t="n">
        <x:f>IFERROR(100*COUNTIFS('Raw_Data'!$U$2:$U$59,"&gt;=4",'Raw_Data'!$U$2:$U$59,"&lt;=5",'Raw_Data'!$A$2:$A$59,"Yes",'Raw_Data'!$D$2:$D$59,"เคหรักษ์",'Raw_Data'!$E$2:$E$59,"สายสนับสนุนทั่วไป")/COUNTIFS('Raw_Data'!$U$2:$U$59,"&gt;=1",'Raw_Data'!$U$2:$U$59,"&lt;=5",'Raw_Data'!$A$2:$A$59,"Yes",'Raw_Data'!$D$2:$D$59,"เคหรักษ์",'Raw_Data'!$E$2:$E$59,"สายสนับสนุนทั่วไป"),"")</x:f>
        <x:v>50</x:v>
      </x:c>
      <x:c r="AD18" s="131" t="n">
        <x:f>IFERROR(100*COUNTIFS('Raw_Data'!$U$2:$U$59,"&gt;=4",'Raw_Data'!$U$2:$U$59,"&lt;=5",'Raw_Data'!$A$2:$A$59,"Yes",'Raw_Data'!$D$2:$D$59,"จ่ายกลาง",'Raw_Data'!$E$2:$E$59,"สายสนับสนุนทั่วไป")/COUNTIFS('Raw_Data'!$U$2:$U$59,"&gt;=1",'Raw_Data'!$U$2:$U$59,"&lt;=5",'Raw_Data'!$A$2:$A$59,"Yes",'Raw_Data'!$D$2:$D$59,"จ่ายกลาง",'Raw_Data'!$E$2:$E$59,"สายสนับสนุนทั่วไป"),"")</x:f>
        <x:v>100</x:v>
      </x:c>
      <x:c r="AE18" s="131" t="n">
        <x:f>IFERROR(100*COUNTIFS('Raw_Data'!$U$2:$U$59,"&gt;=4",'Raw_Data'!$U$2:$U$59,"&lt;=5",'Raw_Data'!$A$2:$A$59,"Yes",'Raw_Data'!$D$2:$D$59,"ช่างและสนาม",'Raw_Data'!$E$2:$E$59,"สายสนับสนุนทั่วไป")/COUNTIFS('Raw_Data'!$U$2:$U$59,"&gt;=1",'Raw_Data'!$U$2:$U$59,"&lt;=5",'Raw_Data'!$A$2:$A$59,"Yes",'Raw_Data'!$D$2:$D$59,"ช่างและสนาม",'Raw_Data'!$E$2:$E$59,"สายสนับสนุนทั่วไป"),"")</x:f>
        <x:v>75</x:v>
      </x:c>
      <x:c r="AF18" s="131" t="n">
        <x:f>IFERROR(100*COUNTIFS('Raw_Data'!$U$2:$U$59,"&gt;=4",'Raw_Data'!$U$2:$U$59,"&lt;=5",'Raw_Data'!$A$2:$A$59,"Yes",'Raw_Data'!$D$2:$D$59,"ผู้ป่วยสัมพันธ์",'Raw_Data'!$E$2:$E$59,"สายสนับสนุนทั่วไป")/COUNTIFS('Raw_Data'!$U$2:$U$59,"&gt;=1",'Raw_Data'!$U$2:$U$59,"&lt;=5",'Raw_Data'!$A$2:$A$59,"Yes",'Raw_Data'!$D$2:$D$59,"ผู้ป่วยสัมพันธ์",'Raw_Data'!$E$2:$E$59,"สายสนับสนุนทั่วไป"),"")</x:f>
        <x:v>0</x:v>
      </x:c>
      <x:c r="AG18" s="131" t="n">
        <x:f>IFERROR(100*COUNTIFS('Raw_Data'!$U$2:$U$59,"&gt;=4",'Raw_Data'!$U$2:$U$59,"&lt;=5",'Raw_Data'!$A$2:$A$59,"Yes",'Raw_Data'!$D$2:$D$59,"ยานพาหนะ",'Raw_Data'!$E$2:$E$59,"สายสนับสนุนทั่วไป")/COUNTIFS('Raw_Data'!$U$2:$U$59,"&gt;=1",'Raw_Data'!$U$2:$U$59,"&lt;=5",'Raw_Data'!$A$2:$A$59,"Yes",'Raw_Data'!$D$2:$D$59,"ยานพาหนะ",'Raw_Data'!$E$2:$E$59,"สายสนับสนุนทั่วไป"),"")</x:f>
        <x:v>100</x:v>
      </x:c>
      <x:c r="AH18" s="131" t="n">
        <x:f>IFERROR(100*COUNTIFS('Raw_Data'!$U$2:$U$59,"&gt;=4",'Raw_Data'!$U$2:$U$59,"&lt;=5",'Raw_Data'!$A$2:$A$59,"Yes",'Raw_Data'!$D$2:$D$59,"สื่อสารการตลาด",'Raw_Data'!$E$2:$E$59,"สายสนับสนุนทั่วไป")/COUNTIFS('Raw_Data'!$U$2:$U$59,"&gt;=1",'Raw_Data'!$U$2:$U$59,"&lt;=5",'Raw_Data'!$A$2:$A$59,"Yes",'Raw_Data'!$D$2:$D$59,"สื่อสารการตลาด",'Raw_Data'!$E$2:$E$59,"สายสนับสนุนทั่วไป"),"")</x:f>
        <x:v>0</x:v>
      </x:c>
      <x:c r="AI18" s="131" t="n">
        <x:f>IFERROR(100*COUNTIFS('Raw_Data'!$U$2:$U$59,"&gt;=4",'Raw_Data'!$U$2:$U$59,"&lt;=5",'Raw_Data'!$A$2:$A$59,"Yes",'Raw_Data'!$D$2:$D$59,"ERและเปล",'Raw_Data'!$E$2:$E$59,"สายสนับสนุนทั่วไป")/COUNTIFS('Raw_Data'!$U$2:$U$59,"&gt;=1",'Raw_Data'!$U$2:$U$59,"&lt;=5",'Raw_Data'!$A$2:$A$59,"Yes",'Raw_Data'!$D$2:$D$59,"ERและเปล",'Raw_Data'!$E$2:$E$59,"สายสนับสนุนทั่วไป"),"")</x:f>
        <x:v>66.66666666666667</x:v>
      </x:c>
      <x:c r="AJ18" s="131" t="n">
        <x:f>IFERROR(100*COUNTIFS('Raw_Data'!$U$2:$U$59,"&gt;=4",'Raw_Data'!$U$2:$U$59,"&lt;=5",'Raw_Data'!$A$2:$A$59,"Yes",'Raw_Data'!$D$2:$D$59,"HR",'Raw_Data'!$E$2:$E$59,"สายสนับสนุนทั่วไป")/COUNTIFS('Raw_Data'!$U$2:$U$59,"&gt;=1",'Raw_Data'!$U$2:$U$59,"&lt;=5",'Raw_Data'!$A$2:$A$59,"Yes",'Raw_Data'!$D$2:$D$59,"HR",'Raw_Data'!$E$2:$E$59,"สายสนับสนุนทั่วไป"),"")</x:f>
        <x:v>100</x:v>
      </x:c>
      <x:c r="AK18" s="131" t="n">
        <x:f>IFERROR(100*COUNTIFS('Raw_Data'!$U$2:$U$59,"&gt;=4",'Raw_Data'!$U$2:$U$59,"&lt;=5",'Raw_Data'!$A$2:$A$59,"Yes",'Raw_Data'!$D$2:$D$59,"ICU",'Raw_Data'!$E$2:$E$59,"สายสนับสนุนทั่วไป")/COUNTIFS('Raw_Data'!$U$2:$U$59,"&gt;=1",'Raw_Data'!$U$2:$U$59,"&lt;=5",'Raw_Data'!$A$2:$A$59,"Yes",'Raw_Data'!$D$2:$D$59,"ICU",'Raw_Data'!$E$2:$E$59,"สายสนับสนุนทั่วไป"),"")</x:f>
        <x:v>0</x:v>
      </x:c>
      <x:c r="AL18" s="131" t="n">
        <x:f>IFERROR(100*COUNTIFS('Raw_Data'!$U$2:$U$59,"&gt;=4",'Raw_Data'!$U$2:$U$59,"&lt;=5",'Raw_Data'!$A$2:$A$59,"Yes",'Raw_Data'!$D$2:$D$59,"IPD",'Raw_Data'!$E$2:$E$59,"สายสนับสนุนทั่วไป")/COUNTIFS('Raw_Data'!$U$2:$U$59,"&gt;=1",'Raw_Data'!$U$2:$U$59,"&lt;=5",'Raw_Data'!$A$2:$A$59,"Yes",'Raw_Data'!$D$2:$D$59,"IPD",'Raw_Data'!$E$2:$E$59,"สายสนับสนุนทั่วไป"),"")</x:f>
        <x:v>0</x:v>
      </x:c>
      <x:c r="AM18" s="131" t="n">
        <x:f>IFERROR(100*COUNTIFS('Raw_Data'!$U$2:$U$59,"&gt;=4",'Raw_Data'!$U$2:$U$59,"&lt;=5",'Raw_Data'!$A$2:$A$59,"Yes",'Raw_Data'!$D$2:$D$59,"IT",'Raw_Data'!$E$2:$E$59,"สายสนับสนุนทั่วไป")/COUNTIFS('Raw_Data'!$U$2:$U$59,"&gt;=1",'Raw_Data'!$U$2:$U$59,"&lt;=5",'Raw_Data'!$A$2:$A$59,"Yes",'Raw_Data'!$D$2:$D$59,"IT",'Raw_Data'!$E$2:$E$59,"สายสนับสนุนทั่วไป"),"")</x:f>
        <x:v>100</x:v>
      </x:c>
      <x:c r="AN18" s="131" t="n">
        <x:f>IFERROR(100*COUNTIFS('Raw_Data'!$U$2:$U$59,"&gt;=4",'Raw_Data'!$U$2:$U$59,"&lt;=5",'Raw_Data'!$A$2:$A$59,"Yes",'Raw_Data'!$D$2:$D$59,"ผู้ป่วยสัมพันธ์",'Raw_Data'!$E$2:$E$59,"สายสนับสนุนทางการแพทย์")/COUNTIFS('Raw_Data'!$U$2:$U$59,"&gt;=1",'Raw_Data'!$U$2:$U$59,"&lt;=5",'Raw_Data'!$A$2:$A$59,"Yes",'Raw_Data'!$D$2:$D$59,"ผู้ป่วยสัมพันธ์",'Raw_Data'!$E$2:$E$59,"สายสนับสนุนทางการแพทย์"),"")</x:f>
        <x:v>33.333333333333336</x:v>
      </x:c>
      <x:c r="AO18" s="131" t="n">
        <x:f>IFERROR(100*COUNTIFS('Raw_Data'!$U$2:$U$59,"&gt;=4",'Raw_Data'!$U$2:$U$59,"&lt;=5",'Raw_Data'!$A$2:$A$59,"Yes",'Raw_Data'!$D$2:$D$59,"ฝ่ายการพยาบาล",'Raw_Data'!$E$2:$E$59,"สายสนับสนุนทางการแพทย์")/COUNTIFS('Raw_Data'!$U$2:$U$59,"&gt;=1",'Raw_Data'!$U$2:$U$59,"&lt;=5",'Raw_Data'!$A$2:$A$59,"Yes",'Raw_Data'!$D$2:$D$59,"ฝ่ายการพยาบาล",'Raw_Data'!$E$2:$E$59,"สายสนับสนุนทางการแพทย์"),"")</x:f>
        <x:v>100</x:v>
      </x:c>
      <x:c r="AP18" s="131" t="n">
        <x:f>IFERROR(100*COUNTIFS('Raw_Data'!$U$2:$U$59,"&gt;=4",'Raw_Data'!$U$2:$U$59,"&lt;=5",'Raw_Data'!$A$2:$A$59,"Yes",'Raw_Data'!$D$2:$D$59,"โภชนาการ",'Raw_Data'!$E$2:$E$59,"สายสนับสนุนทางการแพทย์")/COUNTIFS('Raw_Data'!$U$2:$U$59,"&gt;=1",'Raw_Data'!$U$2:$U$59,"&lt;=5",'Raw_Data'!$A$2:$A$59,"Yes",'Raw_Data'!$D$2:$D$59,"โภชนาการ",'Raw_Data'!$E$2:$E$59,"สายสนับสนุนทางการแพทย์"),"")</x:f>
        <x:v>100</x:v>
      </x:c>
      <x:c r="AQ18" s="131" t="n">
        <x:f>IFERROR(100*COUNTIFS('Raw_Data'!$U$2:$U$59,"&gt;=4",'Raw_Data'!$U$2:$U$59,"&lt;=5",'Raw_Data'!$A$2:$A$59,"Yes",'Raw_Data'!$D$2:$D$59,"ห้องยา",'Raw_Data'!$E$2:$E$59,"สายสนับสนุนทางการแพทย์")/COUNTIFS('Raw_Data'!$U$2:$U$59,"&gt;=1",'Raw_Data'!$U$2:$U$59,"&lt;=5",'Raw_Data'!$A$2:$A$59,"Yes",'Raw_Data'!$D$2:$D$59,"ห้องยา",'Raw_Data'!$E$2:$E$59,"สายสนับสนุนทางการแพทย์"),"")</x:f>
        <x:v>100</x:v>
      </x:c>
      <x:c r="AR18" s="131" t="n">
        <x:f>IFERROR(100*COUNTIFS('Raw_Data'!$U$2:$U$59,"&gt;=4",'Raw_Data'!$U$2:$U$59,"&lt;=5",'Raw_Data'!$A$2:$A$59,"Yes",'Raw_Data'!$D$2:$D$59,"ห้องแลป",'Raw_Data'!$E$2:$E$59,"สายสนับสนุนทางการแพทย์")/COUNTIFS('Raw_Data'!$U$2:$U$59,"&gt;=1",'Raw_Data'!$U$2:$U$59,"&lt;=5",'Raw_Data'!$A$2:$A$59,"Yes",'Raw_Data'!$D$2:$D$59,"ห้องแลป",'Raw_Data'!$E$2:$E$59,"สายสนับสนุนทางการแพทย์"),"")</x:f>
        <x:v>0</x:v>
      </x:c>
      <x:c r="AS18" s="131" t="n">
        <x:f>IFERROR(100*COUNTIFS('Raw_Data'!$U$2:$U$59,"&gt;=4",'Raw_Data'!$U$2:$U$59,"&lt;=5",'Raw_Data'!$A$2:$A$59,"Yes",'Raw_Data'!$D$2:$D$59,"ห้องเอ็กซเรย์",'Raw_Data'!$E$2:$E$59,"สายสนับสนุนทางการแพทย์")/COUNTIFS('Raw_Data'!$U$2:$U$59,"&gt;=1",'Raw_Data'!$U$2:$U$59,"&lt;=5",'Raw_Data'!$A$2:$A$59,"Yes",'Raw_Data'!$D$2:$D$59,"ห้องเอ็กซเรย์",'Raw_Data'!$E$2:$E$59,"สายสนับสนุนทางการแพทย์"),"")</x:f>
        <x:v>66.66666666666667</x:v>
      </x:c>
      <x:c r="AT18" s="131" t="n">
        <x:f>IFERROR(100*COUNTIFS('Raw_Data'!$U$2:$U$59,"&gt;=4",'Raw_Data'!$U$2:$U$59,"&lt;=5",'Raw_Data'!$A$2:$A$59,"Yes",'Raw_Data'!$D$2:$D$59,"ERและเปล",'Raw_Data'!$E$2:$E$59,"สายสนับสนุนทางการแพทย์")/COUNTIFS('Raw_Data'!$U$2:$U$59,"&gt;=1",'Raw_Data'!$U$2:$U$59,"&lt;=5",'Raw_Data'!$A$2:$A$59,"Yes",'Raw_Data'!$D$2:$D$59,"ERและเปล",'Raw_Data'!$E$2:$E$59,"สายสนับสนุนทางการแพทย์"),"")</x:f>
        <x:v>0</x:v>
      </x:c>
      <x:c r="AU18" s="131" t="n">
        <x:f>IFERROR(100*COUNTIFS('Raw_Data'!$U$2:$U$59,"&gt;=4",'Raw_Data'!$U$2:$U$59,"&lt;=5",'Raw_Data'!$A$2:$A$59,"Yes",'Raw_Data'!$D$2:$D$59,"ICU",'Raw_Data'!$E$2:$E$59,"สายสนับสนุนทางการแพทย์")/COUNTIFS('Raw_Data'!$U$2:$U$59,"&gt;=1",'Raw_Data'!$U$2:$U$59,"&lt;=5",'Raw_Data'!$A$2:$A$59,"Yes",'Raw_Data'!$D$2:$D$59,"ICU",'Raw_Data'!$E$2:$E$59,"สายสนับสนุนทางการแพทย์"),"")</x:f>
        <x:v>100</x:v>
      </x:c>
      <x:c r="AV18" s="131" t="n">
        <x:f>IFERROR(100*COUNTIFS('Raw_Data'!$U$2:$U$59,"&gt;=4",'Raw_Data'!$U$2:$U$59,"&lt;=5",'Raw_Data'!$A$2:$A$59,"Yes",'Raw_Data'!$D$2:$D$59,"IPD",'Raw_Data'!$E$2:$E$59,"สายสนับสนุนทางการแพทย์")/COUNTIFS('Raw_Data'!$U$2:$U$59,"&gt;=1",'Raw_Data'!$U$2:$U$59,"&lt;=5",'Raw_Data'!$A$2:$A$59,"Yes",'Raw_Data'!$D$2:$D$59,"IPD",'Raw_Data'!$E$2:$E$59,"สายสนับสนุนทางการแพทย์"),"")</x:f>
        <x:v>0</x:v>
      </x:c>
      <x:c r="AW18" s="131" t="n">
        <x:f>IFERROR(100*COUNTIFS('Raw_Data'!$U$2:$U$59,"&gt;=4",'Raw_Data'!$U$2:$U$59,"&lt;=5",'Raw_Data'!$A$2:$A$59,"Yes",'Raw_Data'!$D$2:$D$59,"IT",'Raw_Data'!$E$2:$E$59,"สายสนับสนุนทางการแพทย์")/COUNTIFS('Raw_Data'!$U$2:$U$59,"&gt;=1",'Raw_Data'!$U$2:$U$59,"&lt;=5",'Raw_Data'!$A$2:$A$59,"Yes",'Raw_Data'!$D$2:$D$59,"IT",'Raw_Data'!$E$2:$E$59,"สายสนับสนุนทางการแพทย์"),"")</x:f>
        <x:v>100</x:v>
      </x:c>
    </x:row>
    <x:row r="19" ht="42" customHeight="1">
      <x:c r="A19" s="123"/>
      <x:c r="B19" s="124" t="str">
        <x:v>B2. หัวหน้างาน หัวหน้ากลุ่มงาน ผู้จัดการ หัวหน้าทีมการดูแลผู้ป่วย หรือประธานทีมนำทางคลินิกของฉันต้องการให้เราทำงานเร็วขึ้นในช่วงเวลาที่ภาระงานยุ่งยาก ชุลมุนหรือเร่งรีบ แม้ว่าต้องลัดขั้นตอนหรือกระบวนการ</x:v>
      </x:c>
      <x:c r="C19" s="131" t="n">
        <x:f>IFERROR(100*COUNTIFS('Raw_Data'!$V$2:$V$59,"&gt;=1",'Raw_Data'!$V$2:$V$59,"&lt;=2",'Raw_Data'!$A$2:$A$59,"Yes")/COUNTIFS('Raw_Data'!$V$2:$V$59,"&gt;=1",'Raw_Data'!$V$2:$V$59,"&lt;=5",'Raw_Data'!$A$2:$A$59,"Yes"),"")</x:f>
        <x:v>37.93103448275862</x:v>
      </x:c>
      <x:c r="D19" s="131" t="n">
        <x:f>IFERROR(100*COUNTIFS('Raw_Data'!$V$2:$V$59,"&gt;=1",'Raw_Data'!$V$2:$V$59,"&lt;=2",'Raw_Data'!$A$2:$A$59,"Yes",'Raw_Data'!$D$2:$D$59,"การเงิน")/COUNTIFS('Raw_Data'!$V$2:$V$59,"&gt;=1",'Raw_Data'!$V$2:$V$59,"&lt;=5",'Raw_Data'!$A$2:$A$59,"Yes",'Raw_Data'!$D$2:$D$59,"การเงิน"),"")</x:f>
        <x:v>33.333333333333336</x:v>
      </x:c>
      <x:c r="E19" s="131" t="n">
        <x:f>IFERROR(100*COUNTIFS('Raw_Data'!$V$2:$V$59,"&gt;=1",'Raw_Data'!$V$2:$V$59,"&lt;=2",'Raw_Data'!$A$2:$A$59,"Yes",'Raw_Data'!$D$2:$D$59,"เคหรักษ์")/COUNTIFS('Raw_Data'!$V$2:$V$59,"&gt;=1",'Raw_Data'!$V$2:$V$59,"&lt;=5",'Raw_Data'!$A$2:$A$59,"Yes",'Raw_Data'!$D$2:$D$59,"เคหรักษ์"),"")</x:f>
        <x:v>0</x:v>
      </x:c>
      <x:c r="F19" s="131" t="n">
        <x:f>IFERROR(100*COUNTIFS('Raw_Data'!$V$2:$V$59,"&gt;=1",'Raw_Data'!$V$2:$V$59,"&lt;=2",'Raw_Data'!$A$2:$A$59,"Yes",'Raw_Data'!$D$2:$D$59,"จ่ายกลาง")/COUNTIFS('Raw_Data'!$V$2:$V$59,"&gt;=1",'Raw_Data'!$V$2:$V$59,"&lt;=5",'Raw_Data'!$A$2:$A$59,"Yes",'Raw_Data'!$D$2:$D$59,"จ่ายกลาง"),"")</x:f>
        <x:v>0</x:v>
      </x:c>
      <x:c r="G19" s="131" t="n">
        <x:f>IFERROR(100*COUNTIFS('Raw_Data'!$V$2:$V$59,"&gt;=1",'Raw_Data'!$V$2:$V$59,"&lt;=2",'Raw_Data'!$A$2:$A$59,"Yes",'Raw_Data'!$D$2:$D$59,"ช่างและสนาม")/COUNTIFS('Raw_Data'!$V$2:$V$59,"&gt;=1",'Raw_Data'!$V$2:$V$59,"&lt;=5",'Raw_Data'!$A$2:$A$59,"Yes",'Raw_Data'!$D$2:$D$59,"ช่างและสนาม"),"")</x:f>
        <x:v>50</x:v>
      </x:c>
      <x:c r="H19" s="131" t="n">
        <x:f>IFERROR(100*COUNTIFS('Raw_Data'!$V$2:$V$59,"&gt;=1",'Raw_Data'!$V$2:$V$59,"&lt;=2",'Raw_Data'!$A$2:$A$59,"Yes",'Raw_Data'!$D$2:$D$59,"ผู้ป่วยสัมพันธ์")/COUNTIFS('Raw_Data'!$V$2:$V$59,"&gt;=1",'Raw_Data'!$V$2:$V$59,"&lt;=5",'Raw_Data'!$A$2:$A$59,"Yes",'Raw_Data'!$D$2:$D$59,"ผู้ป่วยสัมพันธ์"),"")</x:f>
        <x:v>75</x:v>
      </x:c>
      <x:c r="I19" s="131" t="n">
        <x:f>IFERROR(100*COUNTIFS('Raw_Data'!$V$2:$V$59,"&gt;=1",'Raw_Data'!$V$2:$V$59,"&lt;=2",'Raw_Data'!$A$2:$A$59,"Yes",'Raw_Data'!$D$2:$D$59,"ฝ่ายการพยาบาล")/COUNTIFS('Raw_Data'!$V$2:$V$59,"&gt;=1",'Raw_Data'!$V$2:$V$59,"&lt;=5",'Raw_Data'!$A$2:$A$59,"Yes",'Raw_Data'!$D$2:$D$59,"ฝ่ายการพยาบาล"),"")</x:f>
        <x:v>100</x:v>
      </x:c>
      <x:c r="J19" s="131" t="n">
        <x:f>IFERROR(100*COUNTIFS('Raw_Data'!$V$2:$V$59,"&gt;=1",'Raw_Data'!$V$2:$V$59,"&lt;=2",'Raw_Data'!$A$2:$A$59,"Yes",'Raw_Data'!$D$2:$D$59,"โภชนาการ")/COUNTIFS('Raw_Data'!$V$2:$V$59,"&gt;=1",'Raw_Data'!$V$2:$V$59,"&lt;=5",'Raw_Data'!$A$2:$A$59,"Yes",'Raw_Data'!$D$2:$D$59,"โภชนาการ"),"")</x:f>
        <x:v>100</x:v>
      </x:c>
      <x:c r="K19" s="131" t="n">
        <x:f>IFERROR(100*COUNTIFS('Raw_Data'!$V$2:$V$59,"&gt;=1",'Raw_Data'!$V$2:$V$59,"&lt;=2",'Raw_Data'!$A$2:$A$59,"Yes",'Raw_Data'!$D$2:$D$59,"ยานพาหนะ")/COUNTIFS('Raw_Data'!$V$2:$V$59,"&gt;=1",'Raw_Data'!$V$2:$V$59,"&lt;=5",'Raw_Data'!$A$2:$A$59,"Yes",'Raw_Data'!$D$2:$D$59,"ยานพาหนะ"),"")</x:f>
        <x:v>0</x:v>
      </x:c>
      <x:c r="L19" s="131" t="n">
        <x:f>IFERROR(100*COUNTIFS('Raw_Data'!$V$2:$V$59,"&gt;=1",'Raw_Data'!$V$2:$V$59,"&lt;=2",'Raw_Data'!$A$2:$A$59,"Yes",'Raw_Data'!$D$2:$D$59,"สื่อสารการตลาด")/COUNTIFS('Raw_Data'!$V$2:$V$59,"&gt;=1",'Raw_Data'!$V$2:$V$59,"&lt;=5",'Raw_Data'!$A$2:$A$59,"Yes",'Raw_Data'!$D$2:$D$59,"สื่อสารการตลาด"),"")</x:f>
        <x:v>0</x:v>
      </x:c>
      <x:c r="M19" s="131" t="n">
        <x:f>IFERROR(100*COUNTIFS('Raw_Data'!$V$2:$V$59,"&gt;=1",'Raw_Data'!$V$2:$V$59,"&lt;=2",'Raw_Data'!$A$2:$A$59,"Yes",'Raw_Data'!$D$2:$D$59,"ห้องยา")/COUNTIFS('Raw_Data'!$V$2:$V$59,"&gt;=1",'Raw_Data'!$V$2:$V$59,"&lt;=5",'Raw_Data'!$A$2:$A$59,"Yes",'Raw_Data'!$D$2:$D$59,"ห้องยา"),"")</x:f>
        <x:v>33.333333333333336</x:v>
      </x:c>
      <x:c r="N19" s="131" t="n">
        <x:f>IFERROR(100*COUNTIFS('Raw_Data'!$V$2:$V$59,"&gt;=1",'Raw_Data'!$V$2:$V$59,"&lt;=2",'Raw_Data'!$A$2:$A$59,"Yes",'Raw_Data'!$D$2:$D$59,"ห้องแลป")/COUNTIFS('Raw_Data'!$V$2:$V$59,"&gt;=1",'Raw_Data'!$V$2:$V$59,"&lt;=5",'Raw_Data'!$A$2:$A$59,"Yes",'Raw_Data'!$D$2:$D$59,"ห้องแลป"),"")</x:f>
        <x:v>50</x:v>
      </x:c>
      <x:c r="O19" s="131" t="n">
        <x:f>IFERROR(100*COUNTIFS('Raw_Data'!$V$2:$V$59,"&gt;=1",'Raw_Data'!$V$2:$V$59,"&lt;=2",'Raw_Data'!$A$2:$A$59,"Yes",'Raw_Data'!$D$2:$D$59,"ห้องเอ็กซเรย์")/COUNTIFS('Raw_Data'!$V$2:$V$59,"&gt;=1",'Raw_Data'!$V$2:$V$59,"&lt;=5",'Raw_Data'!$A$2:$A$59,"Yes",'Raw_Data'!$D$2:$D$59,"ห้องเอ็กซเรย์"),"")</x:f>
        <x:v>66.66666666666667</x:v>
      </x:c>
      <x:c r="P19" s="131" t="n">
        <x:f>IFERROR(100*COUNTIFS('Raw_Data'!$V$2:$V$59,"&gt;=1",'Raw_Data'!$V$2:$V$59,"&lt;=2",'Raw_Data'!$A$2:$A$59,"Yes",'Raw_Data'!$D$2:$D$59,"ERและเปล")/COUNTIFS('Raw_Data'!$V$2:$V$59,"&gt;=1",'Raw_Data'!$V$2:$V$59,"&lt;=5",'Raw_Data'!$A$2:$A$59,"Yes",'Raw_Data'!$D$2:$D$59,"ERและเปล"),"")</x:f>
        <x:v>27.272727272727273</x:v>
      </x:c>
      <x:c r="Q19" s="131" t="n">
        <x:f>IFERROR(100*COUNTIFS('Raw_Data'!$V$2:$V$59,"&gt;=1",'Raw_Data'!$V$2:$V$59,"&lt;=2",'Raw_Data'!$A$2:$A$59,"Yes",'Raw_Data'!$D$2:$D$59,"HR")/COUNTIFS('Raw_Data'!$V$2:$V$59,"&gt;=1",'Raw_Data'!$V$2:$V$59,"&lt;=5",'Raw_Data'!$A$2:$A$59,"Yes",'Raw_Data'!$D$2:$D$59,"HR"),"")</x:f>
        <x:v>100</x:v>
      </x:c>
      <x:c r="R19" s="131" t="n">
        <x:f>IFERROR(100*COUNTIFS('Raw_Data'!$V$2:$V$59,"&gt;=1",'Raw_Data'!$V$2:$V$59,"&lt;=2",'Raw_Data'!$A$2:$A$59,"Yes",'Raw_Data'!$D$2:$D$59,"ICU")/COUNTIFS('Raw_Data'!$V$2:$V$59,"&gt;=1",'Raw_Data'!$V$2:$V$59,"&lt;=5",'Raw_Data'!$A$2:$A$59,"Yes",'Raw_Data'!$D$2:$D$59,"ICU"),"")</x:f>
        <x:v>0</x:v>
      </x:c>
      <x:c r="S19" s="131" t="n">
        <x:f>IFERROR(100*COUNTIFS('Raw_Data'!$V$2:$V$59,"&gt;=1",'Raw_Data'!$V$2:$V$59,"&lt;=2",'Raw_Data'!$A$2:$A$59,"Yes",'Raw_Data'!$D$2:$D$59,"IPD")/COUNTIFS('Raw_Data'!$V$2:$V$59,"&gt;=1",'Raw_Data'!$V$2:$V$59,"&lt;=5",'Raw_Data'!$A$2:$A$59,"Yes",'Raw_Data'!$D$2:$D$59,"IPD"),"")</x:f>
        <x:v>50</x:v>
      </x:c>
      <x:c r="T19" s="131" t="n">
        <x:f>IFERROR(100*COUNTIFS('Raw_Data'!$V$2:$V$59,"&gt;=1",'Raw_Data'!$V$2:$V$59,"&lt;=2",'Raw_Data'!$A$2:$A$59,"Yes",'Raw_Data'!$D$2:$D$59,"IT")/COUNTIFS('Raw_Data'!$V$2:$V$59,"&gt;=1",'Raw_Data'!$V$2:$V$59,"&lt;=5",'Raw_Data'!$A$2:$A$59,"Yes",'Raw_Data'!$D$2:$D$59,"IT"),"")</x:f>
        <x:v>50</x:v>
      </x:c>
      <x:c r="U19" s="131" t="n">
        <x:f>IFERROR(100*COUNTIFS('Raw_Data'!$V$2:$V$59,"&gt;=1",'Raw_Data'!$V$2:$V$59,"&lt;=2",'Raw_Data'!$A$2:$A$59,"Yes",'Raw_Data'!$D$2:$D$59,"OR")/COUNTIFS('Raw_Data'!$V$2:$V$59,"&gt;=1",'Raw_Data'!$V$2:$V$59,"&lt;=5",'Raw_Data'!$A$2:$A$59,"Yes",'Raw_Data'!$D$2:$D$59,"OR"),"")</x:f>
        <x:v>0</x:v>
      </x:c>
      <x:c r="V19" s="131" t="n">
        <x:f>IFERROR(100*COUNTIFS('Raw_Data'!$V$2:$V$59,"&gt;=1",'Raw_Data'!$V$2:$V$59,"&lt;=2",'Raw_Data'!$A$2:$A$59,"Yes",'Raw_Data'!$D$2:$D$59,"IPD",'Raw_Data'!$E$2:$E$59,"ผู้บริหาร")/COUNTIFS('Raw_Data'!$V$2:$V$59,"&gt;=1",'Raw_Data'!$V$2:$V$59,"&lt;=5",'Raw_Data'!$A$2:$A$59,"Yes",'Raw_Data'!$D$2:$D$59,"IPD",'Raw_Data'!$E$2:$E$59,"ผู้บริหาร"),"")</x:f>
        <x:v>100</x:v>
      </x:c>
      <x:c r="W19" s="131" t="n">
        <x:f>IFERROR(100*COUNTIFS('Raw_Data'!$V$2:$V$59,"&gt;=1",'Raw_Data'!$V$2:$V$59,"&lt;=2",'Raw_Data'!$A$2:$A$59,"Yes",'Raw_Data'!$D$2:$D$59,"ฝ่ายการพยาบาล",'Raw_Data'!$E$2:$E$59,"สายวิชาชีพสาธารณสุข")/COUNTIFS('Raw_Data'!$V$2:$V$59,"&gt;=1",'Raw_Data'!$V$2:$V$59,"&lt;=5",'Raw_Data'!$A$2:$A$59,"Yes",'Raw_Data'!$D$2:$D$59,"ฝ่ายการพยาบาล",'Raw_Data'!$E$2:$E$59,"สายวิชาชีพสาธารณสุข"),"")</x:f>
        <x:v>100</x:v>
      </x:c>
      <x:c r="X19" s="131" t="n">
        <x:f>IFERROR(100*COUNTIFS('Raw_Data'!$V$2:$V$59,"&gt;=1",'Raw_Data'!$V$2:$V$59,"&lt;=2",'Raw_Data'!$A$2:$A$59,"Yes",'Raw_Data'!$D$2:$D$59,"ERและเปล",'Raw_Data'!$E$2:$E$59,"สายวิชาชีพสาธารณสุข")/COUNTIFS('Raw_Data'!$V$2:$V$59,"&gt;=1",'Raw_Data'!$V$2:$V$59,"&lt;=5",'Raw_Data'!$A$2:$A$59,"Yes",'Raw_Data'!$D$2:$D$59,"ERและเปล",'Raw_Data'!$E$2:$E$59,"สายวิชาชีพสาธารณสุข"),"")</x:f>
        <x:v>28.571428571428573</x:v>
      </x:c>
      <x:c r="Y19" s="131" t="n">
        <x:f>IFERROR(100*COUNTIFS('Raw_Data'!$V$2:$V$59,"&gt;=1",'Raw_Data'!$V$2:$V$59,"&lt;=2",'Raw_Data'!$A$2:$A$59,"Yes",'Raw_Data'!$D$2:$D$59,"ICU",'Raw_Data'!$E$2:$E$59,"สายวิชาชีพสาธารณสุข")/COUNTIFS('Raw_Data'!$V$2:$V$59,"&gt;=1",'Raw_Data'!$V$2:$V$59,"&lt;=5",'Raw_Data'!$A$2:$A$59,"Yes",'Raw_Data'!$D$2:$D$59,"ICU",'Raw_Data'!$E$2:$E$59,"สายวิชาชีพสาธารณสุข"),"")</x:f>
        <x:v>0</x:v>
      </x:c>
      <x:c r="Z19" s="131" t="n">
        <x:f>IFERROR(100*COUNTIFS('Raw_Data'!$V$2:$V$59,"&gt;=1",'Raw_Data'!$V$2:$V$59,"&lt;=2",'Raw_Data'!$A$2:$A$59,"Yes",'Raw_Data'!$D$2:$D$59,"IPD",'Raw_Data'!$E$2:$E$59,"สายวิชาชีพสาธารณสุข")/COUNTIFS('Raw_Data'!$V$2:$V$59,"&gt;=1",'Raw_Data'!$V$2:$V$59,"&lt;=5",'Raw_Data'!$A$2:$A$59,"Yes",'Raw_Data'!$D$2:$D$59,"IPD",'Raw_Data'!$E$2:$E$59,"สายวิชาชีพสาธารณสุข"),"")</x:f>
        <x:v>100</x:v>
      </x:c>
      <x:c r="AA19" s="131" t="n">
        <x:f>IFERROR(100*COUNTIFS('Raw_Data'!$V$2:$V$59,"&gt;=1",'Raw_Data'!$V$2:$V$59,"&lt;=2",'Raw_Data'!$A$2:$A$59,"Yes",'Raw_Data'!$D$2:$D$59,"OR",'Raw_Data'!$E$2:$E$59,"สายวิชาชีพสาธารณสุข")/COUNTIFS('Raw_Data'!$V$2:$V$59,"&gt;=1",'Raw_Data'!$V$2:$V$59,"&lt;=5",'Raw_Data'!$A$2:$A$59,"Yes",'Raw_Data'!$D$2:$D$59,"OR",'Raw_Data'!$E$2:$E$59,"สายวิชาชีพสาธารณสุข"),"")</x:f>
        <x:v>0</x:v>
      </x:c>
      <x:c r="AB19" s="131" t="n">
        <x:f>IFERROR(100*COUNTIFS('Raw_Data'!$V$2:$V$59,"&gt;=1",'Raw_Data'!$V$2:$V$59,"&lt;=2",'Raw_Data'!$A$2:$A$59,"Yes",'Raw_Data'!$D$2:$D$59,"การเงิน",'Raw_Data'!$E$2:$E$59,"สายสนับสนุนทั่วไป")/COUNTIFS('Raw_Data'!$V$2:$V$59,"&gt;=1",'Raw_Data'!$V$2:$V$59,"&lt;=5",'Raw_Data'!$A$2:$A$59,"Yes",'Raw_Data'!$D$2:$D$59,"การเงิน",'Raw_Data'!$E$2:$E$59,"สายสนับสนุนทั่วไป"),"")</x:f>
        <x:v>33.333333333333336</x:v>
      </x:c>
      <x:c r="AC19" s="131" t="n">
        <x:f>IFERROR(100*COUNTIFS('Raw_Data'!$V$2:$V$59,"&gt;=1",'Raw_Data'!$V$2:$V$59,"&lt;=2",'Raw_Data'!$A$2:$A$59,"Yes",'Raw_Data'!$D$2:$D$59,"เคหรักษ์",'Raw_Data'!$E$2:$E$59,"สายสนับสนุนทั่วไป")/COUNTIFS('Raw_Data'!$V$2:$V$59,"&gt;=1",'Raw_Data'!$V$2:$V$59,"&lt;=5",'Raw_Data'!$A$2:$A$59,"Yes",'Raw_Data'!$D$2:$D$59,"เคหรักษ์",'Raw_Data'!$E$2:$E$59,"สายสนับสนุนทั่วไป"),"")</x:f>
        <x:v>0</x:v>
      </x:c>
      <x:c r="AD19" s="131" t="n">
        <x:f>IFERROR(100*COUNTIFS('Raw_Data'!$V$2:$V$59,"&gt;=1",'Raw_Data'!$V$2:$V$59,"&lt;=2",'Raw_Data'!$A$2:$A$59,"Yes",'Raw_Data'!$D$2:$D$59,"จ่ายกลาง",'Raw_Data'!$E$2:$E$59,"สายสนับสนุนทั่วไป")/COUNTIFS('Raw_Data'!$V$2:$V$59,"&gt;=1",'Raw_Data'!$V$2:$V$59,"&lt;=5",'Raw_Data'!$A$2:$A$59,"Yes",'Raw_Data'!$D$2:$D$59,"จ่ายกลาง",'Raw_Data'!$E$2:$E$59,"สายสนับสนุนทั่วไป"),"")</x:f>
        <x:v>0</x:v>
      </x:c>
      <x:c r="AE19" s="131" t="n">
        <x:f>IFERROR(100*COUNTIFS('Raw_Data'!$V$2:$V$59,"&gt;=1",'Raw_Data'!$V$2:$V$59,"&lt;=2",'Raw_Data'!$A$2:$A$59,"Yes",'Raw_Data'!$D$2:$D$59,"ช่างและสนาม",'Raw_Data'!$E$2:$E$59,"สายสนับสนุนทั่วไป")/COUNTIFS('Raw_Data'!$V$2:$V$59,"&gt;=1",'Raw_Data'!$V$2:$V$59,"&lt;=5",'Raw_Data'!$A$2:$A$59,"Yes",'Raw_Data'!$D$2:$D$59,"ช่างและสนาม",'Raw_Data'!$E$2:$E$59,"สายสนับสนุนทั่วไป"),"")</x:f>
        <x:v>50</x:v>
      </x:c>
      <x:c r="AF19" s="131" t="n">
        <x:f>IFERROR(100*COUNTIFS('Raw_Data'!$V$2:$V$59,"&gt;=1",'Raw_Data'!$V$2:$V$59,"&lt;=2",'Raw_Data'!$A$2:$A$59,"Yes",'Raw_Data'!$D$2:$D$59,"ผู้ป่วยสัมพันธ์",'Raw_Data'!$E$2:$E$59,"สายสนับสนุนทั่วไป")/COUNTIFS('Raw_Data'!$V$2:$V$59,"&gt;=1",'Raw_Data'!$V$2:$V$59,"&lt;=5",'Raw_Data'!$A$2:$A$59,"Yes",'Raw_Data'!$D$2:$D$59,"ผู้ป่วยสัมพันธ์",'Raw_Data'!$E$2:$E$59,"สายสนับสนุนทั่วไป"),"")</x:f>
        <x:v>0</x:v>
      </x:c>
      <x:c r="AG19" s="131" t="n">
        <x:f>IFERROR(100*COUNTIFS('Raw_Data'!$V$2:$V$59,"&gt;=1",'Raw_Data'!$V$2:$V$59,"&lt;=2",'Raw_Data'!$A$2:$A$59,"Yes",'Raw_Data'!$D$2:$D$59,"ยานพาหนะ",'Raw_Data'!$E$2:$E$59,"สายสนับสนุนทั่วไป")/COUNTIFS('Raw_Data'!$V$2:$V$59,"&gt;=1",'Raw_Data'!$V$2:$V$59,"&lt;=5",'Raw_Data'!$A$2:$A$59,"Yes",'Raw_Data'!$D$2:$D$59,"ยานพาหนะ",'Raw_Data'!$E$2:$E$59,"สายสนับสนุนทั่วไป"),"")</x:f>
        <x:v>0</x:v>
      </x:c>
      <x:c r="AH19" s="131" t="n">
        <x:f>IFERROR(100*COUNTIFS('Raw_Data'!$V$2:$V$59,"&gt;=1",'Raw_Data'!$V$2:$V$59,"&lt;=2",'Raw_Data'!$A$2:$A$59,"Yes",'Raw_Data'!$D$2:$D$59,"สื่อสารการตลาด",'Raw_Data'!$E$2:$E$59,"สายสนับสนุนทั่วไป")/COUNTIFS('Raw_Data'!$V$2:$V$59,"&gt;=1",'Raw_Data'!$V$2:$V$59,"&lt;=5",'Raw_Data'!$A$2:$A$59,"Yes",'Raw_Data'!$D$2:$D$59,"สื่อสารการตลาด",'Raw_Data'!$E$2:$E$59,"สายสนับสนุนทั่วไป"),"")</x:f>
        <x:v>0</x:v>
      </x:c>
      <x:c r="AI19" s="131" t="n">
        <x:f>IFERROR(100*COUNTIFS('Raw_Data'!$V$2:$V$59,"&gt;=1",'Raw_Data'!$V$2:$V$59,"&lt;=2",'Raw_Data'!$A$2:$A$59,"Yes",'Raw_Data'!$D$2:$D$59,"ERและเปล",'Raw_Data'!$E$2:$E$59,"สายสนับสนุนทั่วไป")/COUNTIFS('Raw_Data'!$V$2:$V$59,"&gt;=1",'Raw_Data'!$V$2:$V$59,"&lt;=5",'Raw_Data'!$A$2:$A$59,"Yes",'Raw_Data'!$D$2:$D$59,"ERและเปล",'Raw_Data'!$E$2:$E$59,"สายสนับสนุนทั่วไป"),"")</x:f>
        <x:v>33.333333333333336</x:v>
      </x:c>
      <x:c r="AJ19" s="131" t="n">
        <x:f>IFERROR(100*COUNTIFS('Raw_Data'!$V$2:$V$59,"&gt;=1",'Raw_Data'!$V$2:$V$59,"&lt;=2",'Raw_Data'!$A$2:$A$59,"Yes",'Raw_Data'!$D$2:$D$59,"HR",'Raw_Data'!$E$2:$E$59,"สายสนับสนุนทั่วไป")/COUNTIFS('Raw_Data'!$V$2:$V$59,"&gt;=1",'Raw_Data'!$V$2:$V$59,"&lt;=5",'Raw_Data'!$A$2:$A$59,"Yes",'Raw_Data'!$D$2:$D$59,"HR",'Raw_Data'!$E$2:$E$59,"สายสนับสนุนทั่วไป"),"")</x:f>
        <x:v>100</x:v>
      </x:c>
      <x:c r="AK19" s="131" t="n">
        <x:f>IFERROR(100*COUNTIFS('Raw_Data'!$V$2:$V$59,"&gt;=1",'Raw_Data'!$V$2:$V$59,"&lt;=2",'Raw_Data'!$A$2:$A$59,"Yes",'Raw_Data'!$D$2:$D$59,"ICU",'Raw_Data'!$E$2:$E$59,"สายสนับสนุนทั่วไป")/COUNTIFS('Raw_Data'!$V$2:$V$59,"&gt;=1",'Raw_Data'!$V$2:$V$59,"&lt;=5",'Raw_Data'!$A$2:$A$59,"Yes",'Raw_Data'!$D$2:$D$59,"ICU",'Raw_Data'!$E$2:$E$59,"สายสนับสนุนทั่วไป"),"")</x:f>
        <x:v>0</x:v>
      </x:c>
      <x:c r="AL19" s="131" t="n">
        <x:f>IFERROR(100*COUNTIFS('Raw_Data'!$V$2:$V$59,"&gt;=1",'Raw_Data'!$V$2:$V$59,"&lt;=2",'Raw_Data'!$A$2:$A$59,"Yes",'Raw_Data'!$D$2:$D$59,"IPD",'Raw_Data'!$E$2:$E$59,"สายสนับสนุนทั่วไป")/COUNTIFS('Raw_Data'!$V$2:$V$59,"&gt;=1",'Raw_Data'!$V$2:$V$59,"&lt;=5",'Raw_Data'!$A$2:$A$59,"Yes",'Raw_Data'!$D$2:$D$59,"IPD",'Raw_Data'!$E$2:$E$59,"สายสนับสนุนทั่วไป"),"")</x:f>
        <x:v>0</x:v>
      </x:c>
      <x:c r="AM19" s="131" t="n">
        <x:f>IFERROR(100*COUNTIFS('Raw_Data'!$V$2:$V$59,"&gt;=1",'Raw_Data'!$V$2:$V$59,"&lt;=2",'Raw_Data'!$A$2:$A$59,"Yes",'Raw_Data'!$D$2:$D$59,"IT",'Raw_Data'!$E$2:$E$59,"สายสนับสนุนทั่วไป")/COUNTIFS('Raw_Data'!$V$2:$V$59,"&gt;=1",'Raw_Data'!$V$2:$V$59,"&lt;=5",'Raw_Data'!$A$2:$A$59,"Yes",'Raw_Data'!$D$2:$D$59,"IT",'Raw_Data'!$E$2:$E$59,"สายสนับสนุนทั่วไป"),"")</x:f>
        <x:v>100</x:v>
      </x:c>
      <x:c r="AN19" s="131" t="n">
        <x:f>IFERROR(100*COUNTIFS('Raw_Data'!$V$2:$V$59,"&gt;=1",'Raw_Data'!$V$2:$V$59,"&lt;=2",'Raw_Data'!$A$2:$A$59,"Yes",'Raw_Data'!$D$2:$D$59,"ผู้ป่วยสัมพันธ์",'Raw_Data'!$E$2:$E$59,"สายสนับสนุนทางการแพทย์")/COUNTIFS('Raw_Data'!$V$2:$V$59,"&gt;=1",'Raw_Data'!$V$2:$V$59,"&lt;=5",'Raw_Data'!$A$2:$A$59,"Yes",'Raw_Data'!$D$2:$D$59,"ผู้ป่วยสัมพันธ์",'Raw_Data'!$E$2:$E$59,"สายสนับสนุนทางการแพทย์"),"")</x:f>
        <x:v>100</x:v>
      </x:c>
      <x:c r="AO19" s="131" t="n">
        <x:f>IFERROR(100*COUNTIFS('Raw_Data'!$V$2:$V$59,"&gt;=1",'Raw_Data'!$V$2:$V$59,"&lt;=2",'Raw_Data'!$A$2:$A$59,"Yes",'Raw_Data'!$D$2:$D$59,"ฝ่ายการพยาบาล",'Raw_Data'!$E$2:$E$59,"สายสนับสนุนทางการแพทย์")/COUNTIFS('Raw_Data'!$V$2:$V$59,"&gt;=1",'Raw_Data'!$V$2:$V$59,"&lt;=5",'Raw_Data'!$A$2:$A$59,"Yes",'Raw_Data'!$D$2:$D$59,"ฝ่ายการพยาบาล",'Raw_Data'!$E$2:$E$59,"สายสนับสนุนทางการแพทย์"),"")</x:f>
        <x:v>100</x:v>
      </x:c>
      <x:c r="AP19" s="131" t="n">
        <x:f>IFERROR(100*COUNTIFS('Raw_Data'!$V$2:$V$59,"&gt;=1",'Raw_Data'!$V$2:$V$59,"&lt;=2",'Raw_Data'!$A$2:$A$59,"Yes",'Raw_Data'!$D$2:$D$59,"โภชนาการ",'Raw_Data'!$E$2:$E$59,"สายสนับสนุนทางการแพทย์")/COUNTIFS('Raw_Data'!$V$2:$V$59,"&gt;=1",'Raw_Data'!$V$2:$V$59,"&lt;=5",'Raw_Data'!$A$2:$A$59,"Yes",'Raw_Data'!$D$2:$D$59,"โภชนาการ",'Raw_Data'!$E$2:$E$59,"สายสนับสนุนทางการแพทย์"),"")</x:f>
        <x:v>100</x:v>
      </x:c>
      <x:c r="AQ19" s="131" t="n">
        <x:f>IFERROR(100*COUNTIFS('Raw_Data'!$V$2:$V$59,"&gt;=1",'Raw_Data'!$V$2:$V$59,"&lt;=2",'Raw_Data'!$A$2:$A$59,"Yes",'Raw_Data'!$D$2:$D$59,"ห้องยา",'Raw_Data'!$E$2:$E$59,"สายสนับสนุนทางการแพทย์")/COUNTIFS('Raw_Data'!$V$2:$V$59,"&gt;=1",'Raw_Data'!$V$2:$V$59,"&lt;=5",'Raw_Data'!$A$2:$A$59,"Yes",'Raw_Data'!$D$2:$D$59,"ห้องยา",'Raw_Data'!$E$2:$E$59,"สายสนับสนุนทางการแพทย์"),"")</x:f>
        <x:v>33.333333333333336</x:v>
      </x:c>
      <x:c r="AR19" s="131" t="n">
        <x:f>IFERROR(100*COUNTIFS('Raw_Data'!$V$2:$V$59,"&gt;=1",'Raw_Data'!$V$2:$V$59,"&lt;=2",'Raw_Data'!$A$2:$A$59,"Yes",'Raw_Data'!$D$2:$D$59,"ห้องแลป",'Raw_Data'!$E$2:$E$59,"สายสนับสนุนทางการแพทย์")/COUNTIFS('Raw_Data'!$V$2:$V$59,"&gt;=1",'Raw_Data'!$V$2:$V$59,"&lt;=5",'Raw_Data'!$A$2:$A$59,"Yes",'Raw_Data'!$D$2:$D$59,"ห้องแลป",'Raw_Data'!$E$2:$E$59,"สายสนับสนุนทางการแพทย์"),"")</x:f>
        <x:v>50</x:v>
      </x:c>
      <x:c r="AS19" s="131" t="n">
        <x:f>IFERROR(100*COUNTIFS('Raw_Data'!$V$2:$V$59,"&gt;=1",'Raw_Data'!$V$2:$V$59,"&lt;=2",'Raw_Data'!$A$2:$A$59,"Yes",'Raw_Data'!$D$2:$D$59,"ห้องเอ็กซเรย์",'Raw_Data'!$E$2:$E$59,"สายสนับสนุนทางการแพทย์")/COUNTIFS('Raw_Data'!$V$2:$V$59,"&gt;=1",'Raw_Data'!$V$2:$V$59,"&lt;=5",'Raw_Data'!$A$2:$A$59,"Yes",'Raw_Data'!$D$2:$D$59,"ห้องเอ็กซเรย์",'Raw_Data'!$E$2:$E$59,"สายสนับสนุนทางการแพทย์"),"")</x:f>
        <x:v>66.66666666666667</x:v>
      </x:c>
      <x:c r="AT19" s="131" t="n">
        <x:f>IFERROR(100*COUNTIFS('Raw_Data'!$V$2:$V$59,"&gt;=1",'Raw_Data'!$V$2:$V$59,"&lt;=2",'Raw_Data'!$A$2:$A$59,"Yes",'Raw_Data'!$D$2:$D$59,"ERและเปล",'Raw_Data'!$E$2:$E$59,"สายสนับสนุนทางการแพทย์")/COUNTIFS('Raw_Data'!$V$2:$V$59,"&gt;=1",'Raw_Data'!$V$2:$V$59,"&lt;=5",'Raw_Data'!$A$2:$A$59,"Yes",'Raw_Data'!$D$2:$D$59,"ERและเปล",'Raw_Data'!$E$2:$E$59,"สายสนับสนุนทางการแพทย์"),"")</x:f>
        <x:v>0</x:v>
      </x:c>
      <x:c r="AU19" s="131" t="n">
        <x:f>IFERROR(100*COUNTIFS('Raw_Data'!$V$2:$V$59,"&gt;=1",'Raw_Data'!$V$2:$V$59,"&lt;=2",'Raw_Data'!$A$2:$A$59,"Yes",'Raw_Data'!$D$2:$D$59,"ICU",'Raw_Data'!$E$2:$E$59,"สายสนับสนุนทางการแพทย์")/COUNTIFS('Raw_Data'!$V$2:$V$59,"&gt;=1",'Raw_Data'!$V$2:$V$59,"&lt;=5",'Raw_Data'!$A$2:$A$59,"Yes",'Raw_Data'!$D$2:$D$59,"ICU",'Raw_Data'!$E$2:$E$59,"สายสนับสนุนทางการแพทย์"),"")</x:f>
        <x:v>0</x:v>
      </x:c>
      <x:c r="AV19" s="131" t="n">
        <x:f>IFERROR(100*COUNTIFS('Raw_Data'!$V$2:$V$59,"&gt;=1",'Raw_Data'!$V$2:$V$59,"&lt;=2",'Raw_Data'!$A$2:$A$59,"Yes",'Raw_Data'!$D$2:$D$59,"IPD",'Raw_Data'!$E$2:$E$59,"สายสนับสนุนทางการแพทย์")/COUNTIFS('Raw_Data'!$V$2:$V$59,"&gt;=1",'Raw_Data'!$V$2:$V$59,"&lt;=5",'Raw_Data'!$A$2:$A$59,"Yes",'Raw_Data'!$D$2:$D$59,"IPD",'Raw_Data'!$E$2:$E$59,"สายสนับสนุนทางการแพทย์"),"")</x:f>
        <x:v>0</x:v>
      </x:c>
      <x:c r="AW19" s="131" t="n">
        <x:f>IFERROR(100*COUNTIFS('Raw_Data'!$V$2:$V$59,"&gt;=1",'Raw_Data'!$V$2:$V$59,"&lt;=2",'Raw_Data'!$A$2:$A$59,"Yes",'Raw_Data'!$D$2:$D$59,"IT",'Raw_Data'!$E$2:$E$59,"สายสนับสนุนทางการแพทย์")/COUNTIFS('Raw_Data'!$V$2:$V$59,"&gt;=1",'Raw_Data'!$V$2:$V$59,"&lt;=5",'Raw_Data'!$A$2:$A$59,"Yes",'Raw_Data'!$D$2:$D$59,"IT",'Raw_Data'!$E$2:$E$59,"สายสนับสนุนทางการแพทย์"),"")</x:f>
        <x:v>0</x:v>
      </x:c>
    </x:row>
    <x:row r="20" ht="42" customHeight="1">
      <x:c r="A20" s="123"/>
      <x:c r="B20" s="124" t="str">
        <x:v>B3. หัวหน้างาน หัวหน้ากลุ่มงาน ผู้จัดการ หัวหน้าทีมการดูแลผู้ป่วย หรือประธานทีมนำทางคลินิกของฉันมีการดำเนินการเพื่อตอบและแก้ไขความกังวลเรื่องความปลอดภัยของผู้ป่วย/ผู้รับบริการที่ได้รับทราบด้วยความตั้งใจ</x:v>
      </x:c>
      <x:c r="C20" s="131" t="n">
        <x:f>IFERROR(100*COUNTIFS('Raw_Data'!$W$2:$W$59,"&gt;=4",'Raw_Data'!$W$2:$W$59,"&lt;=5",'Raw_Data'!$A$2:$A$59,"Yes")/COUNTIFS('Raw_Data'!$W$2:$W$59,"&gt;=1",'Raw_Data'!$W$2:$W$59,"&lt;=5",'Raw_Data'!$A$2:$A$59,"Yes"),"")</x:f>
        <x:v>63.793103448275865</x:v>
      </x:c>
      <x:c r="D20" s="131" t="n">
        <x:f>IFERROR(100*COUNTIFS('Raw_Data'!$W$2:$W$59,"&gt;=4",'Raw_Data'!$W$2:$W$59,"&lt;=5",'Raw_Data'!$A$2:$A$59,"Yes",'Raw_Data'!$D$2:$D$59,"การเงิน")/COUNTIFS('Raw_Data'!$W$2:$W$59,"&gt;=1",'Raw_Data'!$W$2:$W$59,"&lt;=5",'Raw_Data'!$A$2:$A$59,"Yes",'Raw_Data'!$D$2:$D$59,"การเงิน"),"")</x:f>
        <x:v>66.66666666666667</x:v>
      </x:c>
      <x:c r="E20" s="131" t="n">
        <x:f>IFERROR(100*COUNTIFS('Raw_Data'!$W$2:$W$59,"&gt;=4",'Raw_Data'!$W$2:$W$59,"&lt;=5",'Raw_Data'!$A$2:$A$59,"Yes",'Raw_Data'!$D$2:$D$59,"เคหรักษ์")/COUNTIFS('Raw_Data'!$W$2:$W$59,"&gt;=1",'Raw_Data'!$W$2:$W$59,"&lt;=5",'Raw_Data'!$A$2:$A$59,"Yes",'Raw_Data'!$D$2:$D$59,"เคหรักษ์"),"")</x:f>
        <x:v>0</x:v>
      </x:c>
      <x:c r="F20" s="131" t="n">
        <x:f>IFERROR(100*COUNTIFS('Raw_Data'!$W$2:$W$59,"&gt;=4",'Raw_Data'!$W$2:$W$59,"&lt;=5",'Raw_Data'!$A$2:$A$59,"Yes",'Raw_Data'!$D$2:$D$59,"จ่ายกลาง")/COUNTIFS('Raw_Data'!$W$2:$W$59,"&gt;=1",'Raw_Data'!$W$2:$W$59,"&lt;=5",'Raw_Data'!$A$2:$A$59,"Yes",'Raw_Data'!$D$2:$D$59,"จ่ายกลาง"),"")</x:f>
        <x:v>100</x:v>
      </x:c>
      <x:c r="G20" s="131" t="n">
        <x:f>IFERROR(100*COUNTIFS('Raw_Data'!$W$2:$W$59,"&gt;=4",'Raw_Data'!$W$2:$W$59,"&lt;=5",'Raw_Data'!$A$2:$A$59,"Yes",'Raw_Data'!$D$2:$D$59,"ช่างและสนาม")/COUNTIFS('Raw_Data'!$W$2:$W$59,"&gt;=1",'Raw_Data'!$W$2:$W$59,"&lt;=5",'Raw_Data'!$A$2:$A$59,"Yes",'Raw_Data'!$D$2:$D$59,"ช่างและสนาม"),"")</x:f>
        <x:v>75</x:v>
      </x:c>
      <x:c r="H20" s="131" t="n">
        <x:f>IFERROR(100*COUNTIFS('Raw_Data'!$W$2:$W$59,"&gt;=4",'Raw_Data'!$W$2:$W$59,"&lt;=5",'Raw_Data'!$A$2:$A$59,"Yes",'Raw_Data'!$D$2:$D$59,"ผู้ป่วยสัมพันธ์")/COUNTIFS('Raw_Data'!$W$2:$W$59,"&gt;=1",'Raw_Data'!$W$2:$W$59,"&lt;=5",'Raw_Data'!$A$2:$A$59,"Yes",'Raw_Data'!$D$2:$D$59,"ผู้ป่วยสัมพันธ์"),"")</x:f>
        <x:v>25</x:v>
      </x:c>
      <x:c r="I20" s="131" t="n">
        <x:f>IFERROR(100*COUNTIFS('Raw_Data'!$W$2:$W$59,"&gt;=4",'Raw_Data'!$W$2:$W$59,"&lt;=5",'Raw_Data'!$A$2:$A$59,"Yes",'Raw_Data'!$D$2:$D$59,"ฝ่ายการพยาบาล")/COUNTIFS('Raw_Data'!$W$2:$W$59,"&gt;=1",'Raw_Data'!$W$2:$W$59,"&lt;=5",'Raw_Data'!$A$2:$A$59,"Yes",'Raw_Data'!$D$2:$D$59,"ฝ่ายการพยาบาล"),"")</x:f>
        <x:v>50</x:v>
      </x:c>
      <x:c r="J20" s="131" t="n">
        <x:f>IFERROR(100*COUNTIFS('Raw_Data'!$W$2:$W$59,"&gt;=4",'Raw_Data'!$W$2:$W$59,"&lt;=5",'Raw_Data'!$A$2:$A$59,"Yes",'Raw_Data'!$D$2:$D$59,"โภชนาการ")/COUNTIFS('Raw_Data'!$W$2:$W$59,"&gt;=1",'Raw_Data'!$W$2:$W$59,"&lt;=5",'Raw_Data'!$A$2:$A$59,"Yes",'Raw_Data'!$D$2:$D$59,"โภชนาการ"),"")</x:f>
        <x:v>100</x:v>
      </x:c>
      <x:c r="K20" s="131" t="n">
        <x:f>IFERROR(100*COUNTIFS('Raw_Data'!$W$2:$W$59,"&gt;=4",'Raw_Data'!$W$2:$W$59,"&lt;=5",'Raw_Data'!$A$2:$A$59,"Yes",'Raw_Data'!$D$2:$D$59,"ยานพาหนะ")/COUNTIFS('Raw_Data'!$W$2:$W$59,"&gt;=1",'Raw_Data'!$W$2:$W$59,"&lt;=5",'Raw_Data'!$A$2:$A$59,"Yes",'Raw_Data'!$D$2:$D$59,"ยานพาหนะ"),"")</x:f>
        <x:v>100</x:v>
      </x:c>
      <x:c r="L20" s="131" t="n">
        <x:f>IFERROR(100*COUNTIFS('Raw_Data'!$W$2:$W$59,"&gt;=4",'Raw_Data'!$W$2:$W$59,"&lt;=5",'Raw_Data'!$A$2:$A$59,"Yes",'Raw_Data'!$D$2:$D$59,"สื่อสารการตลาด")/COUNTIFS('Raw_Data'!$W$2:$W$59,"&gt;=1",'Raw_Data'!$W$2:$W$59,"&lt;=5",'Raw_Data'!$A$2:$A$59,"Yes",'Raw_Data'!$D$2:$D$59,"สื่อสารการตลาด"),"")</x:f>
        <x:v>100</x:v>
      </x:c>
      <x:c r="M20" s="131" t="n">
        <x:f>IFERROR(100*COUNTIFS('Raw_Data'!$W$2:$W$59,"&gt;=4",'Raw_Data'!$W$2:$W$59,"&lt;=5",'Raw_Data'!$A$2:$A$59,"Yes",'Raw_Data'!$D$2:$D$59,"ห้องยา")/COUNTIFS('Raw_Data'!$W$2:$W$59,"&gt;=1",'Raw_Data'!$W$2:$W$59,"&lt;=5",'Raw_Data'!$A$2:$A$59,"Yes",'Raw_Data'!$D$2:$D$59,"ห้องยา"),"")</x:f>
        <x:v>100</x:v>
      </x:c>
      <x:c r="N20" s="131" t="n">
        <x:f>IFERROR(100*COUNTIFS('Raw_Data'!$W$2:$W$59,"&gt;=4",'Raw_Data'!$W$2:$W$59,"&lt;=5",'Raw_Data'!$A$2:$A$59,"Yes",'Raw_Data'!$D$2:$D$59,"ห้องแลป")/COUNTIFS('Raw_Data'!$W$2:$W$59,"&gt;=1",'Raw_Data'!$W$2:$W$59,"&lt;=5",'Raw_Data'!$A$2:$A$59,"Yes",'Raw_Data'!$D$2:$D$59,"ห้องแลป"),"")</x:f>
        <x:v>0</x:v>
      </x:c>
      <x:c r="O20" s="131" t="n">
        <x:f>IFERROR(100*COUNTIFS('Raw_Data'!$W$2:$W$59,"&gt;=4",'Raw_Data'!$W$2:$W$59,"&lt;=5",'Raw_Data'!$A$2:$A$59,"Yes",'Raw_Data'!$D$2:$D$59,"ห้องเอ็กซเรย์")/COUNTIFS('Raw_Data'!$W$2:$W$59,"&gt;=1",'Raw_Data'!$W$2:$W$59,"&lt;=5",'Raw_Data'!$A$2:$A$59,"Yes",'Raw_Data'!$D$2:$D$59,"ห้องเอ็กซเรย์"),"")</x:f>
        <x:v>100</x:v>
      </x:c>
      <x:c r="P20" s="131" t="n">
        <x:f>IFERROR(100*COUNTIFS('Raw_Data'!$W$2:$W$59,"&gt;=4",'Raw_Data'!$W$2:$W$59,"&lt;=5",'Raw_Data'!$A$2:$A$59,"Yes",'Raw_Data'!$D$2:$D$59,"ERและเปล")/COUNTIFS('Raw_Data'!$W$2:$W$59,"&gt;=1",'Raw_Data'!$W$2:$W$59,"&lt;=5",'Raw_Data'!$A$2:$A$59,"Yes",'Raw_Data'!$D$2:$D$59,"ERและเปล"),"")</x:f>
        <x:v>54.54545454545455</x:v>
      </x:c>
      <x:c r="Q20" s="131" t="n">
        <x:f>IFERROR(100*COUNTIFS('Raw_Data'!$W$2:$W$59,"&gt;=4",'Raw_Data'!$W$2:$W$59,"&lt;=5",'Raw_Data'!$A$2:$A$59,"Yes",'Raw_Data'!$D$2:$D$59,"HR")/COUNTIFS('Raw_Data'!$W$2:$W$59,"&gt;=1",'Raw_Data'!$W$2:$W$59,"&lt;=5",'Raw_Data'!$A$2:$A$59,"Yes",'Raw_Data'!$D$2:$D$59,"HR"),"")</x:f>
        <x:v>100</x:v>
      </x:c>
      <x:c r="R20" s="131" t="n">
        <x:f>IFERROR(100*COUNTIFS('Raw_Data'!$W$2:$W$59,"&gt;=4",'Raw_Data'!$W$2:$W$59,"&lt;=5",'Raw_Data'!$A$2:$A$59,"Yes",'Raw_Data'!$D$2:$D$59,"ICU")/COUNTIFS('Raw_Data'!$W$2:$W$59,"&gt;=1",'Raw_Data'!$W$2:$W$59,"&lt;=5",'Raw_Data'!$A$2:$A$59,"Yes",'Raw_Data'!$D$2:$D$59,"ICU"),"")</x:f>
        <x:v>50</x:v>
      </x:c>
      <x:c r="S20" s="131" t="n">
        <x:f>IFERROR(100*COUNTIFS('Raw_Data'!$W$2:$W$59,"&gt;=4",'Raw_Data'!$W$2:$W$59,"&lt;=5",'Raw_Data'!$A$2:$A$59,"Yes",'Raw_Data'!$D$2:$D$59,"IPD")/COUNTIFS('Raw_Data'!$W$2:$W$59,"&gt;=1",'Raw_Data'!$W$2:$W$59,"&lt;=5",'Raw_Data'!$A$2:$A$59,"Yes",'Raw_Data'!$D$2:$D$59,"IPD"),"")</x:f>
        <x:v>66.66666666666667</x:v>
      </x:c>
      <x:c r="T20" s="131" t="n">
        <x:f>IFERROR(100*COUNTIFS('Raw_Data'!$W$2:$W$59,"&gt;=4",'Raw_Data'!$W$2:$W$59,"&lt;=5",'Raw_Data'!$A$2:$A$59,"Yes",'Raw_Data'!$D$2:$D$59,"IT")/COUNTIFS('Raw_Data'!$W$2:$W$59,"&gt;=1",'Raw_Data'!$W$2:$W$59,"&lt;=5",'Raw_Data'!$A$2:$A$59,"Yes",'Raw_Data'!$D$2:$D$59,"IT"),"")</x:f>
        <x:v>100</x:v>
      </x:c>
      <x:c r="U20" s="131" t="n">
        <x:f>IFERROR(100*COUNTIFS('Raw_Data'!$W$2:$W$59,"&gt;=4",'Raw_Data'!$W$2:$W$59,"&lt;=5",'Raw_Data'!$A$2:$A$59,"Yes",'Raw_Data'!$D$2:$D$59,"OR")/COUNTIFS('Raw_Data'!$W$2:$W$59,"&gt;=1",'Raw_Data'!$W$2:$W$59,"&lt;=5",'Raw_Data'!$A$2:$A$59,"Yes",'Raw_Data'!$D$2:$D$59,"OR"),"")</x:f>
        <x:v>50</x:v>
      </x:c>
      <x:c r="V20" s="131" t="n">
        <x:f>IFERROR(100*COUNTIFS('Raw_Data'!$W$2:$W$59,"&gt;=4",'Raw_Data'!$W$2:$W$59,"&lt;=5",'Raw_Data'!$A$2:$A$59,"Yes",'Raw_Data'!$D$2:$D$59,"IPD",'Raw_Data'!$E$2:$E$59,"ผู้บริหาร")/COUNTIFS('Raw_Data'!$W$2:$W$59,"&gt;=1",'Raw_Data'!$W$2:$W$59,"&lt;=5",'Raw_Data'!$A$2:$A$59,"Yes",'Raw_Data'!$D$2:$D$59,"IPD",'Raw_Data'!$E$2:$E$59,"ผู้บริหาร"),"")</x:f>
        <x:v>100</x:v>
      </x:c>
      <x:c r="W20" s="131" t="n">
        <x:f>IFERROR(100*COUNTIFS('Raw_Data'!$W$2:$W$59,"&gt;=4",'Raw_Data'!$W$2:$W$59,"&lt;=5",'Raw_Data'!$A$2:$A$59,"Yes",'Raw_Data'!$D$2:$D$59,"ฝ่ายการพยาบาล",'Raw_Data'!$E$2:$E$59,"สายวิชาชีพสาธารณสุข")/COUNTIFS('Raw_Data'!$W$2:$W$59,"&gt;=1",'Raw_Data'!$W$2:$W$59,"&lt;=5",'Raw_Data'!$A$2:$A$59,"Yes",'Raw_Data'!$D$2:$D$59,"ฝ่ายการพยาบาล",'Raw_Data'!$E$2:$E$59,"สายวิชาชีพสาธารณสุข"),"")</x:f>
        <x:v>0</x:v>
      </x:c>
      <x:c r="X20" s="131" t="n">
        <x:f>IFERROR(100*COUNTIFS('Raw_Data'!$W$2:$W$59,"&gt;=4",'Raw_Data'!$W$2:$W$59,"&lt;=5",'Raw_Data'!$A$2:$A$59,"Yes",'Raw_Data'!$D$2:$D$59,"ERและเปล",'Raw_Data'!$E$2:$E$59,"สายวิชาชีพสาธารณสุข")/COUNTIFS('Raw_Data'!$W$2:$W$59,"&gt;=1",'Raw_Data'!$W$2:$W$59,"&lt;=5",'Raw_Data'!$A$2:$A$59,"Yes",'Raw_Data'!$D$2:$D$59,"ERและเปล",'Raw_Data'!$E$2:$E$59,"สายวิชาชีพสาธารณสุข"),"")</x:f>
        <x:v>57.142857142857146</x:v>
      </x:c>
      <x:c r="Y20" s="131" t="n">
        <x:f>IFERROR(100*COUNTIFS('Raw_Data'!$W$2:$W$59,"&gt;=4",'Raw_Data'!$W$2:$W$59,"&lt;=5",'Raw_Data'!$A$2:$A$59,"Yes",'Raw_Data'!$D$2:$D$59,"ICU",'Raw_Data'!$E$2:$E$59,"สายวิชาชีพสาธารณสุข")/COUNTIFS('Raw_Data'!$W$2:$W$59,"&gt;=1",'Raw_Data'!$W$2:$W$59,"&lt;=5",'Raw_Data'!$A$2:$A$59,"Yes",'Raw_Data'!$D$2:$D$59,"ICU",'Raw_Data'!$E$2:$E$59,"สายวิชาชีพสาธารณสุข"),"")</x:f>
        <x:v>50</x:v>
      </x:c>
      <x:c r="Z20" s="131" t="n">
        <x:f>IFERROR(100*COUNTIFS('Raw_Data'!$W$2:$W$59,"&gt;=4",'Raw_Data'!$W$2:$W$59,"&lt;=5",'Raw_Data'!$A$2:$A$59,"Yes",'Raw_Data'!$D$2:$D$59,"IPD",'Raw_Data'!$E$2:$E$59,"สายวิชาชีพสาธารณสุข")/COUNTIFS('Raw_Data'!$W$2:$W$59,"&gt;=1",'Raw_Data'!$W$2:$W$59,"&lt;=5",'Raw_Data'!$A$2:$A$59,"Yes",'Raw_Data'!$D$2:$D$59,"IPD",'Raw_Data'!$E$2:$E$59,"สายวิชาชีพสาธารณสุข"),"")</x:f>
        <x:v>100</x:v>
      </x:c>
      <x:c r="AA20" s="131" t="n">
        <x:f>IFERROR(100*COUNTIFS('Raw_Data'!$W$2:$W$59,"&gt;=4",'Raw_Data'!$W$2:$W$59,"&lt;=5",'Raw_Data'!$A$2:$A$59,"Yes",'Raw_Data'!$D$2:$D$59,"OR",'Raw_Data'!$E$2:$E$59,"สายวิชาชีพสาธารณสุข")/COUNTIFS('Raw_Data'!$W$2:$W$59,"&gt;=1",'Raw_Data'!$W$2:$W$59,"&lt;=5",'Raw_Data'!$A$2:$A$59,"Yes",'Raw_Data'!$D$2:$D$59,"OR",'Raw_Data'!$E$2:$E$59,"สายวิชาชีพสาธารณสุข"),"")</x:f>
        <x:v>50</x:v>
      </x:c>
      <x:c r="AB20" s="131" t="n">
        <x:f>IFERROR(100*COUNTIFS('Raw_Data'!$W$2:$W$59,"&gt;=4",'Raw_Data'!$W$2:$W$59,"&lt;=5",'Raw_Data'!$A$2:$A$59,"Yes",'Raw_Data'!$D$2:$D$59,"การเงิน",'Raw_Data'!$E$2:$E$59,"สายสนับสนุนทั่วไป")/COUNTIFS('Raw_Data'!$W$2:$W$59,"&gt;=1",'Raw_Data'!$W$2:$W$59,"&lt;=5",'Raw_Data'!$A$2:$A$59,"Yes",'Raw_Data'!$D$2:$D$59,"การเงิน",'Raw_Data'!$E$2:$E$59,"สายสนับสนุนทั่วไป"),"")</x:f>
        <x:v>66.66666666666667</x:v>
      </x:c>
      <x:c r="AC20" s="131" t="n">
        <x:f>IFERROR(100*COUNTIFS('Raw_Data'!$W$2:$W$59,"&gt;=4",'Raw_Data'!$W$2:$W$59,"&lt;=5",'Raw_Data'!$A$2:$A$59,"Yes",'Raw_Data'!$D$2:$D$59,"เคหรักษ์",'Raw_Data'!$E$2:$E$59,"สายสนับสนุนทั่วไป")/COUNTIFS('Raw_Data'!$W$2:$W$59,"&gt;=1",'Raw_Data'!$W$2:$W$59,"&lt;=5",'Raw_Data'!$A$2:$A$59,"Yes",'Raw_Data'!$D$2:$D$59,"เคหรักษ์",'Raw_Data'!$E$2:$E$59,"สายสนับสนุนทั่วไป"),"")</x:f>
        <x:v>0</x:v>
      </x:c>
      <x:c r="AD20" s="131" t="n">
        <x:f>IFERROR(100*COUNTIFS('Raw_Data'!$W$2:$W$59,"&gt;=4",'Raw_Data'!$W$2:$W$59,"&lt;=5",'Raw_Data'!$A$2:$A$59,"Yes",'Raw_Data'!$D$2:$D$59,"จ่ายกลาง",'Raw_Data'!$E$2:$E$59,"สายสนับสนุนทั่วไป")/COUNTIFS('Raw_Data'!$W$2:$W$59,"&gt;=1",'Raw_Data'!$W$2:$W$59,"&lt;=5",'Raw_Data'!$A$2:$A$59,"Yes",'Raw_Data'!$D$2:$D$59,"จ่ายกลาง",'Raw_Data'!$E$2:$E$59,"สายสนับสนุนทั่วไป"),"")</x:f>
        <x:v>100</x:v>
      </x:c>
      <x:c r="AE20" s="131" t="n">
        <x:f>IFERROR(100*COUNTIFS('Raw_Data'!$W$2:$W$59,"&gt;=4",'Raw_Data'!$W$2:$W$59,"&lt;=5",'Raw_Data'!$A$2:$A$59,"Yes",'Raw_Data'!$D$2:$D$59,"ช่างและสนาม",'Raw_Data'!$E$2:$E$59,"สายสนับสนุนทั่วไป")/COUNTIFS('Raw_Data'!$W$2:$W$59,"&gt;=1",'Raw_Data'!$W$2:$W$59,"&lt;=5",'Raw_Data'!$A$2:$A$59,"Yes",'Raw_Data'!$D$2:$D$59,"ช่างและสนาม",'Raw_Data'!$E$2:$E$59,"สายสนับสนุนทั่วไป"),"")</x:f>
        <x:v>75</x:v>
      </x:c>
      <x:c r="AF20" s="131" t="n">
        <x:f>IFERROR(100*COUNTIFS('Raw_Data'!$W$2:$W$59,"&gt;=4",'Raw_Data'!$W$2:$W$59,"&lt;=5",'Raw_Data'!$A$2:$A$59,"Yes",'Raw_Data'!$D$2:$D$59,"ผู้ป่วยสัมพันธ์",'Raw_Data'!$E$2:$E$59,"สายสนับสนุนทั่วไป")/COUNTIFS('Raw_Data'!$W$2:$W$59,"&gt;=1",'Raw_Data'!$W$2:$W$59,"&lt;=5",'Raw_Data'!$A$2:$A$59,"Yes",'Raw_Data'!$D$2:$D$59,"ผู้ป่วยสัมพันธ์",'Raw_Data'!$E$2:$E$59,"สายสนับสนุนทั่วไป"),"")</x:f>
        <x:v>0</x:v>
      </x:c>
      <x:c r="AG20" s="131" t="n">
        <x:f>IFERROR(100*COUNTIFS('Raw_Data'!$W$2:$W$59,"&gt;=4",'Raw_Data'!$W$2:$W$59,"&lt;=5",'Raw_Data'!$A$2:$A$59,"Yes",'Raw_Data'!$D$2:$D$59,"ยานพาหนะ",'Raw_Data'!$E$2:$E$59,"สายสนับสนุนทั่วไป")/COUNTIFS('Raw_Data'!$W$2:$W$59,"&gt;=1",'Raw_Data'!$W$2:$W$59,"&lt;=5",'Raw_Data'!$A$2:$A$59,"Yes",'Raw_Data'!$D$2:$D$59,"ยานพาหนะ",'Raw_Data'!$E$2:$E$59,"สายสนับสนุนทั่วไป"),"")</x:f>
        <x:v>100</x:v>
      </x:c>
      <x:c r="AH20" s="131" t="n">
        <x:f>IFERROR(100*COUNTIFS('Raw_Data'!$W$2:$W$59,"&gt;=4",'Raw_Data'!$W$2:$W$59,"&lt;=5",'Raw_Data'!$A$2:$A$59,"Yes",'Raw_Data'!$D$2:$D$59,"สื่อสารการตลาด",'Raw_Data'!$E$2:$E$59,"สายสนับสนุนทั่วไป")/COUNTIFS('Raw_Data'!$W$2:$W$59,"&gt;=1",'Raw_Data'!$W$2:$W$59,"&lt;=5",'Raw_Data'!$A$2:$A$59,"Yes",'Raw_Data'!$D$2:$D$59,"สื่อสารการตลาด",'Raw_Data'!$E$2:$E$59,"สายสนับสนุนทั่วไป"),"")</x:f>
        <x:v>100</x:v>
      </x:c>
      <x:c r="AI20" s="131" t="n">
        <x:f>IFERROR(100*COUNTIFS('Raw_Data'!$W$2:$W$59,"&gt;=4",'Raw_Data'!$W$2:$W$59,"&lt;=5",'Raw_Data'!$A$2:$A$59,"Yes",'Raw_Data'!$D$2:$D$59,"ERและเปล",'Raw_Data'!$E$2:$E$59,"สายสนับสนุนทั่วไป")/COUNTIFS('Raw_Data'!$W$2:$W$59,"&gt;=1",'Raw_Data'!$W$2:$W$59,"&lt;=5",'Raw_Data'!$A$2:$A$59,"Yes",'Raw_Data'!$D$2:$D$59,"ERและเปล",'Raw_Data'!$E$2:$E$59,"สายสนับสนุนทั่วไป"),"")</x:f>
        <x:v>33.333333333333336</x:v>
      </x:c>
      <x:c r="AJ20" s="131" t="n">
        <x:f>IFERROR(100*COUNTIFS('Raw_Data'!$W$2:$W$59,"&gt;=4",'Raw_Data'!$W$2:$W$59,"&lt;=5",'Raw_Data'!$A$2:$A$59,"Yes",'Raw_Data'!$D$2:$D$59,"HR",'Raw_Data'!$E$2:$E$59,"สายสนับสนุนทั่วไป")/COUNTIFS('Raw_Data'!$W$2:$W$59,"&gt;=1",'Raw_Data'!$W$2:$W$59,"&lt;=5",'Raw_Data'!$A$2:$A$59,"Yes",'Raw_Data'!$D$2:$D$59,"HR",'Raw_Data'!$E$2:$E$59,"สายสนับสนุนทั่วไป"),"")</x:f>
        <x:v>100</x:v>
      </x:c>
      <x:c r="AK20" s="131" t="n">
        <x:f>IFERROR(100*COUNTIFS('Raw_Data'!$W$2:$W$59,"&gt;=4",'Raw_Data'!$W$2:$W$59,"&lt;=5",'Raw_Data'!$A$2:$A$59,"Yes",'Raw_Data'!$D$2:$D$59,"ICU",'Raw_Data'!$E$2:$E$59,"สายสนับสนุนทั่วไป")/COUNTIFS('Raw_Data'!$W$2:$W$59,"&gt;=1",'Raw_Data'!$W$2:$W$59,"&lt;=5",'Raw_Data'!$A$2:$A$59,"Yes",'Raw_Data'!$D$2:$D$59,"ICU",'Raw_Data'!$E$2:$E$59,"สายสนับสนุนทั่วไป"),"")</x:f>
        <x:v>0</x:v>
      </x:c>
      <x:c r="AL20" s="131" t="n">
        <x:f>IFERROR(100*COUNTIFS('Raw_Data'!$W$2:$W$59,"&gt;=4",'Raw_Data'!$W$2:$W$59,"&lt;=5",'Raw_Data'!$A$2:$A$59,"Yes",'Raw_Data'!$D$2:$D$59,"IPD",'Raw_Data'!$E$2:$E$59,"สายสนับสนุนทั่วไป")/COUNTIFS('Raw_Data'!$W$2:$W$59,"&gt;=1",'Raw_Data'!$W$2:$W$59,"&lt;=5",'Raw_Data'!$A$2:$A$59,"Yes",'Raw_Data'!$D$2:$D$59,"IPD",'Raw_Data'!$E$2:$E$59,"สายสนับสนุนทั่วไป"),"")</x:f>
        <x:v>0</x:v>
      </x:c>
      <x:c r="AM20" s="131" t="n">
        <x:f>IFERROR(100*COUNTIFS('Raw_Data'!$W$2:$W$59,"&gt;=4",'Raw_Data'!$W$2:$W$59,"&lt;=5",'Raw_Data'!$A$2:$A$59,"Yes",'Raw_Data'!$D$2:$D$59,"IT",'Raw_Data'!$E$2:$E$59,"สายสนับสนุนทั่วไป")/COUNTIFS('Raw_Data'!$W$2:$W$59,"&gt;=1",'Raw_Data'!$W$2:$W$59,"&lt;=5",'Raw_Data'!$A$2:$A$59,"Yes",'Raw_Data'!$D$2:$D$59,"IT",'Raw_Data'!$E$2:$E$59,"สายสนับสนุนทั่วไป"),"")</x:f>
        <x:v>100</x:v>
      </x:c>
      <x:c r="AN20" s="131" t="n">
        <x:f>IFERROR(100*COUNTIFS('Raw_Data'!$W$2:$W$59,"&gt;=4",'Raw_Data'!$W$2:$W$59,"&lt;=5",'Raw_Data'!$A$2:$A$59,"Yes",'Raw_Data'!$D$2:$D$59,"ผู้ป่วยสัมพันธ์",'Raw_Data'!$E$2:$E$59,"สายสนับสนุนทางการแพทย์")/COUNTIFS('Raw_Data'!$W$2:$W$59,"&gt;=1",'Raw_Data'!$W$2:$W$59,"&lt;=5",'Raw_Data'!$A$2:$A$59,"Yes",'Raw_Data'!$D$2:$D$59,"ผู้ป่วยสัมพันธ์",'Raw_Data'!$E$2:$E$59,"สายสนับสนุนทางการแพทย์"),"")</x:f>
        <x:v>33.333333333333336</x:v>
      </x:c>
      <x:c r="AO20" s="131" t="n">
        <x:f>IFERROR(100*COUNTIFS('Raw_Data'!$W$2:$W$59,"&gt;=4",'Raw_Data'!$W$2:$W$59,"&lt;=5",'Raw_Data'!$A$2:$A$59,"Yes",'Raw_Data'!$D$2:$D$59,"ฝ่ายการพยาบาล",'Raw_Data'!$E$2:$E$59,"สายสนับสนุนทางการแพทย์")/COUNTIFS('Raw_Data'!$W$2:$W$59,"&gt;=1",'Raw_Data'!$W$2:$W$59,"&lt;=5",'Raw_Data'!$A$2:$A$59,"Yes",'Raw_Data'!$D$2:$D$59,"ฝ่ายการพยาบาล",'Raw_Data'!$E$2:$E$59,"สายสนับสนุนทางการแพทย์"),"")</x:f>
        <x:v>100</x:v>
      </x:c>
      <x:c r="AP20" s="131" t="n">
        <x:f>IFERROR(100*COUNTIFS('Raw_Data'!$W$2:$W$59,"&gt;=4",'Raw_Data'!$W$2:$W$59,"&lt;=5",'Raw_Data'!$A$2:$A$59,"Yes",'Raw_Data'!$D$2:$D$59,"โภชนาการ",'Raw_Data'!$E$2:$E$59,"สายสนับสนุนทางการแพทย์")/COUNTIFS('Raw_Data'!$W$2:$W$59,"&gt;=1",'Raw_Data'!$W$2:$W$59,"&lt;=5",'Raw_Data'!$A$2:$A$59,"Yes",'Raw_Data'!$D$2:$D$59,"โภชนาการ",'Raw_Data'!$E$2:$E$59,"สายสนับสนุนทางการแพทย์"),"")</x:f>
        <x:v>100</x:v>
      </x:c>
      <x:c r="AQ20" s="131" t="n">
        <x:f>IFERROR(100*COUNTIFS('Raw_Data'!$W$2:$W$59,"&gt;=4",'Raw_Data'!$W$2:$W$59,"&lt;=5",'Raw_Data'!$A$2:$A$59,"Yes",'Raw_Data'!$D$2:$D$59,"ห้องยา",'Raw_Data'!$E$2:$E$59,"สายสนับสนุนทางการแพทย์")/COUNTIFS('Raw_Data'!$W$2:$W$59,"&gt;=1",'Raw_Data'!$W$2:$W$59,"&lt;=5",'Raw_Data'!$A$2:$A$59,"Yes",'Raw_Data'!$D$2:$D$59,"ห้องยา",'Raw_Data'!$E$2:$E$59,"สายสนับสนุนทางการแพทย์"),"")</x:f>
        <x:v>100</x:v>
      </x:c>
      <x:c r="AR20" s="131" t="n">
        <x:f>IFERROR(100*COUNTIFS('Raw_Data'!$W$2:$W$59,"&gt;=4",'Raw_Data'!$W$2:$W$59,"&lt;=5",'Raw_Data'!$A$2:$A$59,"Yes",'Raw_Data'!$D$2:$D$59,"ห้องแลป",'Raw_Data'!$E$2:$E$59,"สายสนับสนุนทางการแพทย์")/COUNTIFS('Raw_Data'!$W$2:$W$59,"&gt;=1",'Raw_Data'!$W$2:$W$59,"&lt;=5",'Raw_Data'!$A$2:$A$59,"Yes",'Raw_Data'!$D$2:$D$59,"ห้องแลป",'Raw_Data'!$E$2:$E$59,"สายสนับสนุนทางการแพทย์"),"")</x:f>
        <x:v>0</x:v>
      </x:c>
      <x:c r="AS20" s="131" t="n">
        <x:f>IFERROR(100*COUNTIFS('Raw_Data'!$W$2:$W$59,"&gt;=4",'Raw_Data'!$W$2:$W$59,"&lt;=5",'Raw_Data'!$A$2:$A$59,"Yes",'Raw_Data'!$D$2:$D$59,"ห้องเอ็กซเรย์",'Raw_Data'!$E$2:$E$59,"สายสนับสนุนทางการแพทย์")/COUNTIFS('Raw_Data'!$W$2:$W$59,"&gt;=1",'Raw_Data'!$W$2:$W$59,"&lt;=5",'Raw_Data'!$A$2:$A$59,"Yes",'Raw_Data'!$D$2:$D$59,"ห้องเอ็กซเรย์",'Raw_Data'!$E$2:$E$59,"สายสนับสนุนทางการแพทย์"),"")</x:f>
        <x:v>100</x:v>
      </x:c>
      <x:c r="AT20" s="131" t="n">
        <x:f>IFERROR(100*COUNTIFS('Raw_Data'!$W$2:$W$59,"&gt;=4",'Raw_Data'!$W$2:$W$59,"&lt;=5",'Raw_Data'!$A$2:$A$59,"Yes",'Raw_Data'!$D$2:$D$59,"ERและเปล",'Raw_Data'!$E$2:$E$59,"สายสนับสนุนทางการแพทย์")/COUNTIFS('Raw_Data'!$W$2:$W$59,"&gt;=1",'Raw_Data'!$W$2:$W$59,"&lt;=5",'Raw_Data'!$A$2:$A$59,"Yes",'Raw_Data'!$D$2:$D$59,"ERและเปล",'Raw_Data'!$E$2:$E$59,"สายสนับสนุนทางการแพทย์"),"")</x:f>
        <x:v>100</x:v>
      </x:c>
      <x:c r="AU20" s="131" t="n">
        <x:f>IFERROR(100*COUNTIFS('Raw_Data'!$W$2:$W$59,"&gt;=4",'Raw_Data'!$W$2:$W$59,"&lt;=5",'Raw_Data'!$A$2:$A$59,"Yes",'Raw_Data'!$D$2:$D$59,"ICU",'Raw_Data'!$E$2:$E$59,"สายสนับสนุนทางการแพทย์")/COUNTIFS('Raw_Data'!$W$2:$W$59,"&gt;=1",'Raw_Data'!$W$2:$W$59,"&lt;=5",'Raw_Data'!$A$2:$A$59,"Yes",'Raw_Data'!$D$2:$D$59,"ICU",'Raw_Data'!$E$2:$E$59,"สายสนับสนุนทางการแพทย์"),"")</x:f>
        <x:v>100</x:v>
      </x:c>
      <x:c r="AV20" s="131" t="n">
        <x:f>IFERROR(100*COUNTIFS('Raw_Data'!$W$2:$W$59,"&gt;=4",'Raw_Data'!$W$2:$W$59,"&lt;=5",'Raw_Data'!$A$2:$A$59,"Yes",'Raw_Data'!$D$2:$D$59,"IPD",'Raw_Data'!$E$2:$E$59,"สายสนับสนุนทางการแพทย์")/COUNTIFS('Raw_Data'!$W$2:$W$59,"&gt;=1",'Raw_Data'!$W$2:$W$59,"&lt;=5",'Raw_Data'!$A$2:$A$59,"Yes",'Raw_Data'!$D$2:$D$59,"IPD",'Raw_Data'!$E$2:$E$59,"สายสนับสนุนทางการแพทย์"),"")</x:f>
        <x:v>50</x:v>
      </x:c>
      <x:c r="AW20" s="131" t="n">
        <x:f>IFERROR(100*COUNTIFS('Raw_Data'!$W$2:$W$59,"&gt;=4",'Raw_Data'!$W$2:$W$59,"&lt;=5",'Raw_Data'!$A$2:$A$59,"Yes",'Raw_Data'!$D$2:$D$59,"IT",'Raw_Data'!$E$2:$E$59,"สายสนับสนุนทางการแพทย์")/COUNTIFS('Raw_Data'!$W$2:$W$59,"&gt;=1",'Raw_Data'!$W$2:$W$59,"&lt;=5",'Raw_Data'!$A$2:$A$59,"Yes",'Raw_Data'!$D$2:$D$59,"IT",'Raw_Data'!$E$2:$E$59,"สายสนับสนุนทางการแพทย์"),"")</x:f>
        <x:v>100</x:v>
      </x:c>
    </x:row>
    <x:row r="21" ht="42" customHeight="1">
      <x:c r="A21" s="123" t="str">
        <x:v>6. การสื่อสารเรื่องความคลาดเคลื่อน</x:v>
      </x:c>
      <x:c r="B21" s="124" t="str">
        <x:v>C1. บุคลากรได้รับการสื่อสารให้ข้อมูลกรณีเกิดความคลาดเคลื่อนขึ้นในหน่วยงานหรือพื้นที่ปฏิบัติงานของตน</x:v>
      </x:c>
      <x:c r="C21" s="131" t="n">
        <x:f>IFERROR(100*COUNTIFS('Raw_Data'!$X$2:$X$59,"&gt;=4",'Raw_Data'!$X$2:$X$59,"&lt;=5",'Raw_Data'!$A$2:$A$59,"Yes")/COUNTIFS('Raw_Data'!$X$2:$X$59,"&gt;=1",'Raw_Data'!$X$2:$X$59,"&lt;=5",'Raw_Data'!$A$2:$A$59,"Yes"),"")</x:f>
        <x:v>53.44827586206897</x:v>
      </x:c>
      <x:c r="D21" s="131" t="n">
        <x:f>IFERROR(100*COUNTIFS('Raw_Data'!$X$2:$X$59,"&gt;=4",'Raw_Data'!$X$2:$X$59,"&lt;=5",'Raw_Data'!$A$2:$A$59,"Yes",'Raw_Data'!$D$2:$D$59,"การเงิน")/COUNTIFS('Raw_Data'!$X$2:$X$59,"&gt;=1",'Raw_Data'!$X$2:$X$59,"&lt;=5",'Raw_Data'!$A$2:$A$59,"Yes",'Raw_Data'!$D$2:$D$59,"การเงิน"),"")</x:f>
        <x:v>0</x:v>
      </x:c>
      <x:c r="E21" s="131" t="n">
        <x:f>IFERROR(100*COUNTIFS('Raw_Data'!$X$2:$X$59,"&gt;=4",'Raw_Data'!$X$2:$X$59,"&lt;=5",'Raw_Data'!$A$2:$A$59,"Yes",'Raw_Data'!$D$2:$D$59,"เคหรักษ์")/COUNTIFS('Raw_Data'!$X$2:$X$59,"&gt;=1",'Raw_Data'!$X$2:$X$59,"&lt;=5",'Raw_Data'!$A$2:$A$59,"Yes",'Raw_Data'!$D$2:$D$59,"เคหรักษ์"),"")</x:f>
        <x:v>50</x:v>
      </x:c>
      <x:c r="F21" s="131" t="n">
        <x:f>IFERROR(100*COUNTIFS('Raw_Data'!$X$2:$X$59,"&gt;=4",'Raw_Data'!$X$2:$X$59,"&lt;=5",'Raw_Data'!$A$2:$A$59,"Yes",'Raw_Data'!$D$2:$D$59,"จ่ายกลาง")/COUNTIFS('Raw_Data'!$X$2:$X$59,"&gt;=1",'Raw_Data'!$X$2:$X$59,"&lt;=5",'Raw_Data'!$A$2:$A$59,"Yes",'Raw_Data'!$D$2:$D$59,"จ่ายกลาง"),"")</x:f>
        <x:v>100</x:v>
      </x:c>
      <x:c r="G21" s="131" t="n">
        <x:f>IFERROR(100*COUNTIFS('Raw_Data'!$X$2:$X$59,"&gt;=4",'Raw_Data'!$X$2:$X$59,"&lt;=5",'Raw_Data'!$A$2:$A$59,"Yes",'Raw_Data'!$D$2:$D$59,"ช่างและสนาม")/COUNTIFS('Raw_Data'!$X$2:$X$59,"&gt;=1",'Raw_Data'!$X$2:$X$59,"&lt;=5",'Raw_Data'!$A$2:$A$59,"Yes",'Raw_Data'!$D$2:$D$59,"ช่างและสนาม"),"")</x:f>
        <x:v>25</x:v>
      </x:c>
      <x:c r="H21" s="131" t="n">
        <x:f>IFERROR(100*COUNTIFS('Raw_Data'!$X$2:$X$59,"&gt;=4",'Raw_Data'!$X$2:$X$59,"&lt;=5",'Raw_Data'!$A$2:$A$59,"Yes",'Raw_Data'!$D$2:$D$59,"ผู้ป่วยสัมพันธ์")/COUNTIFS('Raw_Data'!$X$2:$X$59,"&gt;=1",'Raw_Data'!$X$2:$X$59,"&lt;=5",'Raw_Data'!$A$2:$A$59,"Yes",'Raw_Data'!$D$2:$D$59,"ผู้ป่วยสัมพันธ์"),"")</x:f>
        <x:v>100</x:v>
      </x:c>
      <x:c r="I21" s="131" t="n">
        <x:f>IFERROR(100*COUNTIFS('Raw_Data'!$X$2:$X$59,"&gt;=4",'Raw_Data'!$X$2:$X$59,"&lt;=5",'Raw_Data'!$A$2:$A$59,"Yes",'Raw_Data'!$D$2:$D$59,"ฝ่ายการพยาบาล")/COUNTIFS('Raw_Data'!$X$2:$X$59,"&gt;=1",'Raw_Data'!$X$2:$X$59,"&lt;=5",'Raw_Data'!$A$2:$A$59,"Yes",'Raw_Data'!$D$2:$D$59,"ฝ่ายการพยาบาล"),"")</x:f>
        <x:v>100</x:v>
      </x:c>
      <x:c r="J21" s="131" t="n">
        <x:f>IFERROR(100*COUNTIFS('Raw_Data'!$X$2:$X$59,"&gt;=4",'Raw_Data'!$X$2:$X$59,"&lt;=5",'Raw_Data'!$A$2:$A$59,"Yes",'Raw_Data'!$D$2:$D$59,"โภชนาการ")/COUNTIFS('Raw_Data'!$X$2:$X$59,"&gt;=1",'Raw_Data'!$X$2:$X$59,"&lt;=5",'Raw_Data'!$A$2:$A$59,"Yes",'Raw_Data'!$D$2:$D$59,"โภชนาการ"),"")</x:f>
        <x:v>100</x:v>
      </x:c>
      <x:c r="K21" s="131" t="n">
        <x:f>IFERROR(100*COUNTIFS('Raw_Data'!$X$2:$X$59,"&gt;=4",'Raw_Data'!$X$2:$X$59,"&lt;=5",'Raw_Data'!$A$2:$A$59,"Yes",'Raw_Data'!$D$2:$D$59,"ยานพาหนะ")/COUNTIFS('Raw_Data'!$X$2:$X$59,"&gt;=1",'Raw_Data'!$X$2:$X$59,"&lt;=5",'Raw_Data'!$A$2:$A$59,"Yes",'Raw_Data'!$D$2:$D$59,"ยานพาหนะ"),"")</x:f>
        <x:v>100</x:v>
      </x:c>
      <x:c r="L21" s="131" t="n">
        <x:f>IFERROR(100*COUNTIFS('Raw_Data'!$X$2:$X$59,"&gt;=4",'Raw_Data'!$X$2:$X$59,"&lt;=5",'Raw_Data'!$A$2:$A$59,"Yes",'Raw_Data'!$D$2:$D$59,"สื่อสารการตลาด")/COUNTIFS('Raw_Data'!$X$2:$X$59,"&gt;=1",'Raw_Data'!$X$2:$X$59,"&lt;=5",'Raw_Data'!$A$2:$A$59,"Yes",'Raw_Data'!$D$2:$D$59,"สื่อสารการตลาด"),"")</x:f>
        <x:v>0</x:v>
      </x:c>
      <x:c r="M21" s="131" t="n">
        <x:f>IFERROR(100*COUNTIFS('Raw_Data'!$X$2:$X$59,"&gt;=4",'Raw_Data'!$X$2:$X$59,"&lt;=5",'Raw_Data'!$A$2:$A$59,"Yes",'Raw_Data'!$D$2:$D$59,"ห้องยา")/COUNTIFS('Raw_Data'!$X$2:$X$59,"&gt;=1",'Raw_Data'!$X$2:$X$59,"&lt;=5",'Raw_Data'!$A$2:$A$59,"Yes",'Raw_Data'!$D$2:$D$59,"ห้องยา"),"")</x:f>
        <x:v>66.66666666666667</x:v>
      </x:c>
      <x:c r="N21" s="131" t="n">
        <x:f>IFERROR(100*COUNTIFS('Raw_Data'!$X$2:$X$59,"&gt;=4",'Raw_Data'!$X$2:$X$59,"&lt;=5",'Raw_Data'!$A$2:$A$59,"Yes",'Raw_Data'!$D$2:$D$59,"ห้องแลป")/COUNTIFS('Raw_Data'!$X$2:$X$59,"&gt;=1",'Raw_Data'!$X$2:$X$59,"&lt;=5",'Raw_Data'!$A$2:$A$59,"Yes",'Raw_Data'!$D$2:$D$59,"ห้องแลป"),"")</x:f>
        <x:v>0</x:v>
      </x:c>
      <x:c r="O21" s="131" t="n">
        <x:f>IFERROR(100*COUNTIFS('Raw_Data'!$X$2:$X$59,"&gt;=4",'Raw_Data'!$X$2:$X$59,"&lt;=5",'Raw_Data'!$A$2:$A$59,"Yes",'Raw_Data'!$D$2:$D$59,"ห้องเอ็กซเรย์")/COUNTIFS('Raw_Data'!$X$2:$X$59,"&gt;=1",'Raw_Data'!$X$2:$X$59,"&lt;=5",'Raw_Data'!$A$2:$A$59,"Yes",'Raw_Data'!$D$2:$D$59,"ห้องเอ็กซเรย์"),"")</x:f>
        <x:v>66.66666666666667</x:v>
      </x:c>
      <x:c r="P21" s="131" t="n">
        <x:f>IFERROR(100*COUNTIFS('Raw_Data'!$X$2:$X$59,"&gt;=4",'Raw_Data'!$X$2:$X$59,"&lt;=5",'Raw_Data'!$A$2:$A$59,"Yes",'Raw_Data'!$D$2:$D$59,"ERและเปล")/COUNTIFS('Raw_Data'!$X$2:$X$59,"&gt;=1",'Raw_Data'!$X$2:$X$59,"&lt;=5",'Raw_Data'!$A$2:$A$59,"Yes",'Raw_Data'!$D$2:$D$59,"ERและเปล"),"")</x:f>
        <x:v>36.36363636363637</x:v>
      </x:c>
      <x:c r="Q21" s="131" t="n">
        <x:f>IFERROR(100*COUNTIFS('Raw_Data'!$X$2:$X$59,"&gt;=4",'Raw_Data'!$X$2:$X$59,"&lt;=5",'Raw_Data'!$A$2:$A$59,"Yes",'Raw_Data'!$D$2:$D$59,"HR")/COUNTIFS('Raw_Data'!$X$2:$X$59,"&gt;=1",'Raw_Data'!$X$2:$X$59,"&lt;=5",'Raw_Data'!$A$2:$A$59,"Yes",'Raw_Data'!$D$2:$D$59,"HR"),"")</x:f>
        <x:v>100</x:v>
      </x:c>
      <x:c r="R21" s="131" t="n">
        <x:f>IFERROR(100*COUNTIFS('Raw_Data'!$X$2:$X$59,"&gt;=4",'Raw_Data'!$X$2:$X$59,"&lt;=5",'Raw_Data'!$A$2:$A$59,"Yes",'Raw_Data'!$D$2:$D$59,"ICU")/COUNTIFS('Raw_Data'!$X$2:$X$59,"&gt;=1",'Raw_Data'!$X$2:$X$59,"&lt;=5",'Raw_Data'!$A$2:$A$59,"Yes",'Raw_Data'!$D$2:$D$59,"ICU"),"")</x:f>
        <x:v>25</x:v>
      </x:c>
      <x:c r="S21" s="131" t="n">
        <x:f>IFERROR(100*COUNTIFS('Raw_Data'!$X$2:$X$59,"&gt;=4",'Raw_Data'!$X$2:$X$59,"&lt;=5",'Raw_Data'!$A$2:$A$59,"Yes",'Raw_Data'!$D$2:$D$59,"IPD")/COUNTIFS('Raw_Data'!$X$2:$X$59,"&gt;=1",'Raw_Data'!$X$2:$X$59,"&lt;=5",'Raw_Data'!$A$2:$A$59,"Yes",'Raw_Data'!$D$2:$D$59,"IPD"),"")</x:f>
        <x:v>66.66666666666667</x:v>
      </x:c>
      <x:c r="T21" s="131" t="n">
        <x:f>IFERROR(100*COUNTIFS('Raw_Data'!$X$2:$X$59,"&gt;=4",'Raw_Data'!$X$2:$X$59,"&lt;=5",'Raw_Data'!$A$2:$A$59,"Yes",'Raw_Data'!$D$2:$D$59,"IT")/COUNTIFS('Raw_Data'!$X$2:$X$59,"&gt;=1",'Raw_Data'!$X$2:$X$59,"&lt;=5",'Raw_Data'!$A$2:$A$59,"Yes",'Raw_Data'!$D$2:$D$59,"IT"),"")</x:f>
        <x:v>50</x:v>
      </x:c>
      <x:c r="U21" s="131" t="n">
        <x:f>IFERROR(100*COUNTIFS('Raw_Data'!$X$2:$X$59,"&gt;=4",'Raw_Data'!$X$2:$X$59,"&lt;=5",'Raw_Data'!$A$2:$A$59,"Yes",'Raw_Data'!$D$2:$D$59,"OR")/COUNTIFS('Raw_Data'!$X$2:$X$59,"&gt;=1",'Raw_Data'!$X$2:$X$59,"&lt;=5",'Raw_Data'!$A$2:$A$59,"Yes",'Raw_Data'!$D$2:$D$59,"OR"),"")</x:f>
        <x:v>75</x:v>
      </x:c>
      <x:c r="V21" s="131" t="n">
        <x:f>IFERROR(100*COUNTIFS('Raw_Data'!$X$2:$X$59,"&gt;=4",'Raw_Data'!$X$2:$X$59,"&lt;=5",'Raw_Data'!$A$2:$A$59,"Yes",'Raw_Data'!$D$2:$D$59,"IPD",'Raw_Data'!$E$2:$E$59,"ผู้บริหาร")/COUNTIFS('Raw_Data'!$X$2:$X$59,"&gt;=1",'Raw_Data'!$X$2:$X$59,"&lt;=5",'Raw_Data'!$A$2:$A$59,"Yes",'Raw_Data'!$D$2:$D$59,"IPD",'Raw_Data'!$E$2:$E$59,"ผู้บริหาร"),"")</x:f>
        <x:v>100</x:v>
      </x:c>
      <x:c r="W21" s="131" t="n">
        <x:f>IFERROR(100*COUNTIFS('Raw_Data'!$X$2:$X$59,"&gt;=4",'Raw_Data'!$X$2:$X$59,"&lt;=5",'Raw_Data'!$A$2:$A$59,"Yes",'Raw_Data'!$D$2:$D$59,"ฝ่ายการพยาบาล",'Raw_Data'!$E$2:$E$59,"สายวิชาชีพสาธารณสุข")/COUNTIFS('Raw_Data'!$X$2:$X$59,"&gt;=1",'Raw_Data'!$X$2:$X$59,"&lt;=5",'Raw_Data'!$A$2:$A$59,"Yes",'Raw_Data'!$D$2:$D$59,"ฝ่ายการพยาบาล",'Raw_Data'!$E$2:$E$59,"สายวิชาชีพสาธารณสุข"),"")</x:f>
        <x:v>100</x:v>
      </x:c>
      <x:c r="X21" s="131" t="n">
        <x:f>IFERROR(100*COUNTIFS('Raw_Data'!$X$2:$X$59,"&gt;=4",'Raw_Data'!$X$2:$X$59,"&lt;=5",'Raw_Data'!$A$2:$A$59,"Yes",'Raw_Data'!$D$2:$D$59,"ERและเปล",'Raw_Data'!$E$2:$E$59,"สายวิชาชีพสาธารณสุข")/COUNTIFS('Raw_Data'!$X$2:$X$59,"&gt;=1",'Raw_Data'!$X$2:$X$59,"&lt;=5",'Raw_Data'!$A$2:$A$59,"Yes",'Raw_Data'!$D$2:$D$59,"ERและเปล",'Raw_Data'!$E$2:$E$59,"สายวิชาชีพสาธารณสุข"),"")</x:f>
        <x:v>42.857142857142854</x:v>
      </x:c>
      <x:c r="Y21" s="131" t="n">
        <x:f>IFERROR(100*COUNTIFS('Raw_Data'!$X$2:$X$59,"&gt;=4",'Raw_Data'!$X$2:$X$59,"&lt;=5",'Raw_Data'!$A$2:$A$59,"Yes",'Raw_Data'!$D$2:$D$59,"ICU",'Raw_Data'!$E$2:$E$59,"สายวิชาชีพสาธารณสุข")/COUNTIFS('Raw_Data'!$X$2:$X$59,"&gt;=1",'Raw_Data'!$X$2:$X$59,"&lt;=5",'Raw_Data'!$A$2:$A$59,"Yes",'Raw_Data'!$D$2:$D$59,"ICU",'Raw_Data'!$E$2:$E$59,"สายวิชาชีพสาธารณสุข"),"")</x:f>
        <x:v>0</x:v>
      </x:c>
      <x:c r="Z21" s="131" t="n">
        <x:f>IFERROR(100*COUNTIFS('Raw_Data'!$X$2:$X$59,"&gt;=4",'Raw_Data'!$X$2:$X$59,"&lt;=5",'Raw_Data'!$A$2:$A$59,"Yes",'Raw_Data'!$D$2:$D$59,"IPD",'Raw_Data'!$E$2:$E$59,"สายวิชาชีพสาธารณสุข")/COUNTIFS('Raw_Data'!$X$2:$X$59,"&gt;=1",'Raw_Data'!$X$2:$X$59,"&lt;=5",'Raw_Data'!$A$2:$A$59,"Yes",'Raw_Data'!$D$2:$D$59,"IPD",'Raw_Data'!$E$2:$E$59,"สายวิชาชีพสาธารณสุข"),"")</x:f>
        <x:v>50</x:v>
      </x:c>
      <x:c r="AA21" s="131" t="n">
        <x:f>IFERROR(100*COUNTIFS('Raw_Data'!$X$2:$X$59,"&gt;=4",'Raw_Data'!$X$2:$X$59,"&lt;=5",'Raw_Data'!$A$2:$A$59,"Yes",'Raw_Data'!$D$2:$D$59,"OR",'Raw_Data'!$E$2:$E$59,"สายวิชาชีพสาธารณสุข")/COUNTIFS('Raw_Data'!$X$2:$X$59,"&gt;=1",'Raw_Data'!$X$2:$X$59,"&lt;=5",'Raw_Data'!$A$2:$A$59,"Yes",'Raw_Data'!$D$2:$D$59,"OR",'Raw_Data'!$E$2:$E$59,"สายวิชาชีพสาธารณสุข"),"")</x:f>
        <x:v>75</x:v>
      </x:c>
      <x:c r="AB21" s="131" t="n">
        <x:f>IFERROR(100*COUNTIFS('Raw_Data'!$X$2:$X$59,"&gt;=4",'Raw_Data'!$X$2:$X$59,"&lt;=5",'Raw_Data'!$A$2:$A$59,"Yes",'Raw_Data'!$D$2:$D$59,"การเงิน",'Raw_Data'!$E$2:$E$59,"สายสนับสนุนทั่วไป")/COUNTIFS('Raw_Data'!$X$2:$X$59,"&gt;=1",'Raw_Data'!$X$2:$X$59,"&lt;=5",'Raw_Data'!$A$2:$A$59,"Yes",'Raw_Data'!$D$2:$D$59,"การเงิน",'Raw_Data'!$E$2:$E$59,"สายสนับสนุนทั่วไป"),"")</x:f>
        <x:v>0</x:v>
      </x:c>
      <x:c r="AC21" s="131" t="n">
        <x:f>IFERROR(100*COUNTIFS('Raw_Data'!$X$2:$X$59,"&gt;=4",'Raw_Data'!$X$2:$X$59,"&lt;=5",'Raw_Data'!$A$2:$A$59,"Yes",'Raw_Data'!$D$2:$D$59,"เคหรักษ์",'Raw_Data'!$E$2:$E$59,"สายสนับสนุนทั่วไป")/COUNTIFS('Raw_Data'!$X$2:$X$59,"&gt;=1",'Raw_Data'!$X$2:$X$59,"&lt;=5",'Raw_Data'!$A$2:$A$59,"Yes",'Raw_Data'!$D$2:$D$59,"เคหรักษ์",'Raw_Data'!$E$2:$E$59,"สายสนับสนุนทั่วไป"),"")</x:f>
        <x:v>50</x:v>
      </x:c>
      <x:c r="AD21" s="131" t="n">
        <x:f>IFERROR(100*COUNTIFS('Raw_Data'!$X$2:$X$59,"&gt;=4",'Raw_Data'!$X$2:$X$59,"&lt;=5",'Raw_Data'!$A$2:$A$59,"Yes",'Raw_Data'!$D$2:$D$59,"จ่ายกลาง",'Raw_Data'!$E$2:$E$59,"สายสนับสนุนทั่วไป")/COUNTIFS('Raw_Data'!$X$2:$X$59,"&gt;=1",'Raw_Data'!$X$2:$X$59,"&lt;=5",'Raw_Data'!$A$2:$A$59,"Yes",'Raw_Data'!$D$2:$D$59,"จ่ายกลาง",'Raw_Data'!$E$2:$E$59,"สายสนับสนุนทั่วไป"),"")</x:f>
        <x:v>100</x:v>
      </x:c>
      <x:c r="AE21" s="131" t="n">
        <x:f>IFERROR(100*COUNTIFS('Raw_Data'!$X$2:$X$59,"&gt;=4",'Raw_Data'!$X$2:$X$59,"&lt;=5",'Raw_Data'!$A$2:$A$59,"Yes",'Raw_Data'!$D$2:$D$59,"ช่างและสนาม",'Raw_Data'!$E$2:$E$59,"สายสนับสนุนทั่วไป")/COUNTIFS('Raw_Data'!$X$2:$X$59,"&gt;=1",'Raw_Data'!$X$2:$X$59,"&lt;=5",'Raw_Data'!$A$2:$A$59,"Yes",'Raw_Data'!$D$2:$D$59,"ช่างและสนาม",'Raw_Data'!$E$2:$E$59,"สายสนับสนุนทั่วไป"),"")</x:f>
        <x:v>25</x:v>
      </x:c>
      <x:c r="AF21" s="131" t="n">
        <x:f>IFERROR(100*COUNTIFS('Raw_Data'!$X$2:$X$59,"&gt;=4",'Raw_Data'!$X$2:$X$59,"&lt;=5",'Raw_Data'!$A$2:$A$59,"Yes",'Raw_Data'!$D$2:$D$59,"ผู้ป่วยสัมพันธ์",'Raw_Data'!$E$2:$E$59,"สายสนับสนุนทั่วไป")/COUNTIFS('Raw_Data'!$X$2:$X$59,"&gt;=1",'Raw_Data'!$X$2:$X$59,"&lt;=5",'Raw_Data'!$A$2:$A$59,"Yes",'Raw_Data'!$D$2:$D$59,"ผู้ป่วยสัมพันธ์",'Raw_Data'!$E$2:$E$59,"สายสนับสนุนทั่วไป"),"")</x:f>
        <x:v>100</x:v>
      </x:c>
      <x:c r="AG21" s="131" t="n">
        <x:f>IFERROR(100*COUNTIFS('Raw_Data'!$X$2:$X$59,"&gt;=4",'Raw_Data'!$X$2:$X$59,"&lt;=5",'Raw_Data'!$A$2:$A$59,"Yes",'Raw_Data'!$D$2:$D$59,"ยานพาหนะ",'Raw_Data'!$E$2:$E$59,"สายสนับสนุนทั่วไป")/COUNTIFS('Raw_Data'!$X$2:$X$59,"&gt;=1",'Raw_Data'!$X$2:$X$59,"&lt;=5",'Raw_Data'!$A$2:$A$59,"Yes",'Raw_Data'!$D$2:$D$59,"ยานพาหนะ",'Raw_Data'!$E$2:$E$59,"สายสนับสนุนทั่วไป"),"")</x:f>
        <x:v>100</x:v>
      </x:c>
      <x:c r="AH21" s="131" t="n">
        <x:f>IFERROR(100*COUNTIFS('Raw_Data'!$X$2:$X$59,"&gt;=4",'Raw_Data'!$X$2:$X$59,"&lt;=5",'Raw_Data'!$A$2:$A$59,"Yes",'Raw_Data'!$D$2:$D$59,"สื่อสารการตลาด",'Raw_Data'!$E$2:$E$59,"สายสนับสนุนทั่วไป")/COUNTIFS('Raw_Data'!$X$2:$X$59,"&gt;=1",'Raw_Data'!$X$2:$X$59,"&lt;=5",'Raw_Data'!$A$2:$A$59,"Yes",'Raw_Data'!$D$2:$D$59,"สื่อสารการตลาด",'Raw_Data'!$E$2:$E$59,"สายสนับสนุนทั่วไป"),"")</x:f>
        <x:v>0</x:v>
      </x:c>
      <x:c r="AI21" s="131" t="n">
        <x:f>IFERROR(100*COUNTIFS('Raw_Data'!$X$2:$X$59,"&gt;=4",'Raw_Data'!$X$2:$X$59,"&lt;=5",'Raw_Data'!$A$2:$A$59,"Yes",'Raw_Data'!$D$2:$D$59,"ERและเปล",'Raw_Data'!$E$2:$E$59,"สายสนับสนุนทั่วไป")/COUNTIFS('Raw_Data'!$X$2:$X$59,"&gt;=1",'Raw_Data'!$X$2:$X$59,"&lt;=5",'Raw_Data'!$A$2:$A$59,"Yes",'Raw_Data'!$D$2:$D$59,"ERและเปล",'Raw_Data'!$E$2:$E$59,"สายสนับสนุนทั่วไป"),"")</x:f>
        <x:v>33.333333333333336</x:v>
      </x:c>
      <x:c r="AJ21" s="131" t="n">
        <x:f>IFERROR(100*COUNTIFS('Raw_Data'!$X$2:$X$59,"&gt;=4",'Raw_Data'!$X$2:$X$59,"&lt;=5",'Raw_Data'!$A$2:$A$59,"Yes",'Raw_Data'!$D$2:$D$59,"HR",'Raw_Data'!$E$2:$E$59,"สายสนับสนุนทั่วไป")/COUNTIFS('Raw_Data'!$X$2:$X$59,"&gt;=1",'Raw_Data'!$X$2:$X$59,"&lt;=5",'Raw_Data'!$A$2:$A$59,"Yes",'Raw_Data'!$D$2:$D$59,"HR",'Raw_Data'!$E$2:$E$59,"สายสนับสนุนทั่วไป"),"")</x:f>
        <x:v>100</x:v>
      </x:c>
      <x:c r="AK21" s="131" t="n">
        <x:f>IFERROR(100*COUNTIFS('Raw_Data'!$X$2:$X$59,"&gt;=4",'Raw_Data'!$X$2:$X$59,"&lt;=5",'Raw_Data'!$A$2:$A$59,"Yes",'Raw_Data'!$D$2:$D$59,"ICU",'Raw_Data'!$E$2:$E$59,"สายสนับสนุนทั่วไป")/COUNTIFS('Raw_Data'!$X$2:$X$59,"&gt;=1",'Raw_Data'!$X$2:$X$59,"&lt;=5",'Raw_Data'!$A$2:$A$59,"Yes",'Raw_Data'!$D$2:$D$59,"ICU",'Raw_Data'!$E$2:$E$59,"สายสนับสนุนทั่วไป"),"")</x:f>
        <x:v>0</x:v>
      </x:c>
      <x:c r="AL21" s="131" t="n">
        <x:f>IFERROR(100*COUNTIFS('Raw_Data'!$X$2:$X$59,"&gt;=4",'Raw_Data'!$X$2:$X$59,"&lt;=5",'Raw_Data'!$A$2:$A$59,"Yes",'Raw_Data'!$D$2:$D$59,"IPD",'Raw_Data'!$E$2:$E$59,"สายสนับสนุนทั่วไป")/COUNTIFS('Raw_Data'!$X$2:$X$59,"&gt;=1",'Raw_Data'!$X$2:$X$59,"&lt;=5",'Raw_Data'!$A$2:$A$59,"Yes",'Raw_Data'!$D$2:$D$59,"IPD",'Raw_Data'!$E$2:$E$59,"สายสนับสนุนทั่วไป"),"")</x:f>
        <x:v>0</x:v>
      </x:c>
      <x:c r="AM21" s="131" t="n">
        <x:f>IFERROR(100*COUNTIFS('Raw_Data'!$X$2:$X$59,"&gt;=4",'Raw_Data'!$X$2:$X$59,"&lt;=5",'Raw_Data'!$A$2:$A$59,"Yes",'Raw_Data'!$D$2:$D$59,"IT",'Raw_Data'!$E$2:$E$59,"สายสนับสนุนทั่วไป")/COUNTIFS('Raw_Data'!$X$2:$X$59,"&gt;=1",'Raw_Data'!$X$2:$X$59,"&lt;=5",'Raw_Data'!$A$2:$A$59,"Yes",'Raw_Data'!$D$2:$D$59,"IT",'Raw_Data'!$E$2:$E$59,"สายสนับสนุนทั่วไป"),"")</x:f>
        <x:v>0</x:v>
      </x:c>
      <x:c r="AN21" s="131" t="n">
        <x:f>IFERROR(100*COUNTIFS('Raw_Data'!$X$2:$X$59,"&gt;=4",'Raw_Data'!$X$2:$X$59,"&lt;=5",'Raw_Data'!$A$2:$A$59,"Yes",'Raw_Data'!$D$2:$D$59,"ผู้ป่วยสัมพันธ์",'Raw_Data'!$E$2:$E$59,"สายสนับสนุนทางการแพทย์")/COUNTIFS('Raw_Data'!$X$2:$X$59,"&gt;=1",'Raw_Data'!$X$2:$X$59,"&lt;=5",'Raw_Data'!$A$2:$A$59,"Yes",'Raw_Data'!$D$2:$D$59,"ผู้ป่วยสัมพันธ์",'Raw_Data'!$E$2:$E$59,"สายสนับสนุนทางการแพทย์"),"")</x:f>
        <x:v>100</x:v>
      </x:c>
      <x:c r="AO21" s="131" t="n">
        <x:f>IFERROR(100*COUNTIFS('Raw_Data'!$X$2:$X$59,"&gt;=4",'Raw_Data'!$X$2:$X$59,"&lt;=5",'Raw_Data'!$A$2:$A$59,"Yes",'Raw_Data'!$D$2:$D$59,"ฝ่ายการพยาบาล",'Raw_Data'!$E$2:$E$59,"สายสนับสนุนทางการแพทย์")/COUNTIFS('Raw_Data'!$X$2:$X$59,"&gt;=1",'Raw_Data'!$X$2:$X$59,"&lt;=5",'Raw_Data'!$A$2:$A$59,"Yes",'Raw_Data'!$D$2:$D$59,"ฝ่ายการพยาบาล",'Raw_Data'!$E$2:$E$59,"สายสนับสนุนทางการแพทย์"),"")</x:f>
        <x:v>100</x:v>
      </x:c>
      <x:c r="AP21" s="131" t="n">
        <x:f>IFERROR(100*COUNTIFS('Raw_Data'!$X$2:$X$59,"&gt;=4",'Raw_Data'!$X$2:$X$59,"&lt;=5",'Raw_Data'!$A$2:$A$59,"Yes",'Raw_Data'!$D$2:$D$59,"โภชนาการ",'Raw_Data'!$E$2:$E$59,"สายสนับสนุนทางการแพทย์")/COUNTIFS('Raw_Data'!$X$2:$X$59,"&gt;=1",'Raw_Data'!$X$2:$X$59,"&lt;=5",'Raw_Data'!$A$2:$A$59,"Yes",'Raw_Data'!$D$2:$D$59,"โภชนาการ",'Raw_Data'!$E$2:$E$59,"สายสนับสนุนทางการแพทย์"),"")</x:f>
        <x:v>100</x:v>
      </x:c>
      <x:c r="AQ21" s="131" t="n">
        <x:f>IFERROR(100*COUNTIFS('Raw_Data'!$X$2:$X$59,"&gt;=4",'Raw_Data'!$X$2:$X$59,"&lt;=5",'Raw_Data'!$A$2:$A$59,"Yes",'Raw_Data'!$D$2:$D$59,"ห้องยา",'Raw_Data'!$E$2:$E$59,"สายสนับสนุนทางการแพทย์")/COUNTIFS('Raw_Data'!$X$2:$X$59,"&gt;=1",'Raw_Data'!$X$2:$X$59,"&lt;=5",'Raw_Data'!$A$2:$A$59,"Yes",'Raw_Data'!$D$2:$D$59,"ห้องยา",'Raw_Data'!$E$2:$E$59,"สายสนับสนุนทางการแพทย์"),"")</x:f>
        <x:v>66.66666666666667</x:v>
      </x:c>
      <x:c r="AR21" s="131" t="n">
        <x:f>IFERROR(100*COUNTIFS('Raw_Data'!$X$2:$X$59,"&gt;=4",'Raw_Data'!$X$2:$X$59,"&lt;=5",'Raw_Data'!$A$2:$A$59,"Yes",'Raw_Data'!$D$2:$D$59,"ห้องแลป",'Raw_Data'!$E$2:$E$59,"สายสนับสนุนทางการแพทย์")/COUNTIFS('Raw_Data'!$X$2:$X$59,"&gt;=1",'Raw_Data'!$X$2:$X$59,"&lt;=5",'Raw_Data'!$A$2:$A$59,"Yes",'Raw_Data'!$D$2:$D$59,"ห้องแลป",'Raw_Data'!$E$2:$E$59,"สายสนับสนุนทางการแพทย์"),"")</x:f>
        <x:v>0</x:v>
      </x:c>
      <x:c r="AS21" s="131" t="n">
        <x:f>IFERROR(100*COUNTIFS('Raw_Data'!$X$2:$X$59,"&gt;=4",'Raw_Data'!$X$2:$X$59,"&lt;=5",'Raw_Data'!$A$2:$A$59,"Yes",'Raw_Data'!$D$2:$D$59,"ห้องเอ็กซเรย์",'Raw_Data'!$E$2:$E$59,"สายสนับสนุนทางการแพทย์")/COUNTIFS('Raw_Data'!$X$2:$X$59,"&gt;=1",'Raw_Data'!$X$2:$X$59,"&lt;=5",'Raw_Data'!$A$2:$A$59,"Yes",'Raw_Data'!$D$2:$D$59,"ห้องเอ็กซเรย์",'Raw_Data'!$E$2:$E$59,"สายสนับสนุนทางการแพทย์"),"")</x:f>
        <x:v>66.66666666666667</x:v>
      </x:c>
      <x:c r="AT21" s="131" t="n">
        <x:f>IFERROR(100*COUNTIFS('Raw_Data'!$X$2:$X$59,"&gt;=4",'Raw_Data'!$X$2:$X$59,"&lt;=5",'Raw_Data'!$A$2:$A$59,"Yes",'Raw_Data'!$D$2:$D$59,"ERและเปล",'Raw_Data'!$E$2:$E$59,"สายสนับสนุนทางการแพทย์")/COUNTIFS('Raw_Data'!$X$2:$X$59,"&gt;=1",'Raw_Data'!$X$2:$X$59,"&lt;=5",'Raw_Data'!$A$2:$A$59,"Yes",'Raw_Data'!$D$2:$D$59,"ERและเปล",'Raw_Data'!$E$2:$E$59,"สายสนับสนุนทางการแพทย์"),"")</x:f>
        <x:v>0</x:v>
      </x:c>
      <x:c r="AU21" s="131" t="n">
        <x:f>IFERROR(100*COUNTIFS('Raw_Data'!$X$2:$X$59,"&gt;=4",'Raw_Data'!$X$2:$X$59,"&lt;=5",'Raw_Data'!$A$2:$A$59,"Yes",'Raw_Data'!$D$2:$D$59,"ICU",'Raw_Data'!$E$2:$E$59,"สายสนับสนุนทางการแพทย์")/COUNTIFS('Raw_Data'!$X$2:$X$59,"&gt;=1",'Raw_Data'!$X$2:$X$59,"&lt;=5",'Raw_Data'!$A$2:$A$59,"Yes",'Raw_Data'!$D$2:$D$59,"ICU",'Raw_Data'!$E$2:$E$59,"สายสนับสนุนทางการแพทย์"),"")</x:f>
        <x:v>100</x:v>
      </x:c>
      <x:c r="AV21" s="131" t="n">
        <x:f>IFERROR(100*COUNTIFS('Raw_Data'!$X$2:$X$59,"&gt;=4",'Raw_Data'!$X$2:$X$59,"&lt;=5",'Raw_Data'!$A$2:$A$59,"Yes",'Raw_Data'!$D$2:$D$59,"IPD",'Raw_Data'!$E$2:$E$59,"สายสนับสนุนทางการแพทย์")/COUNTIFS('Raw_Data'!$X$2:$X$59,"&gt;=1",'Raw_Data'!$X$2:$X$59,"&lt;=5",'Raw_Data'!$A$2:$A$59,"Yes",'Raw_Data'!$D$2:$D$59,"IPD",'Raw_Data'!$E$2:$E$59,"สายสนับสนุนทางการแพทย์"),"")</x:f>
        <x:v>100</x:v>
      </x:c>
      <x:c r="AW21" s="131" t="n">
        <x:f>IFERROR(100*COUNTIFS('Raw_Data'!$X$2:$X$59,"&gt;=4",'Raw_Data'!$X$2:$X$59,"&lt;=5",'Raw_Data'!$A$2:$A$59,"Yes",'Raw_Data'!$D$2:$D$59,"IT",'Raw_Data'!$E$2:$E$59,"สายสนับสนุนทางการแพทย์")/COUNTIFS('Raw_Data'!$X$2:$X$59,"&gt;=1",'Raw_Data'!$X$2:$X$59,"&lt;=5",'Raw_Data'!$A$2:$A$59,"Yes",'Raw_Data'!$D$2:$D$59,"IT",'Raw_Data'!$E$2:$E$59,"สายสนับสนุนทางการแพทย์"),"")</x:f>
        <x:v>100</x:v>
      </x:c>
    </x:row>
    <x:row r="22" ht="42" customHeight="1">
      <x:c r="A22" s="123"/>
      <x:c r="B22" s="124" t="str">
        <x:v>C2. เมื่อเกิดข้อผิดพลาดหรือความคลาดเคลื่อนในหน่วยงานที่ทำงานอยู่ บุคลากรจะพูดถึงวิธีป้องกันความคลาดเคลื่อนไม่ให้เกิดขึ้นซ้ำอีก</x:v>
      </x:c>
      <x:c r="C22" s="131" t="n">
        <x:f>IFERROR(100*COUNTIFS('Raw_Data'!$Y$2:$Y$59,"&gt;=4",'Raw_Data'!$Y$2:$Y$59,"&lt;=5",'Raw_Data'!$A$2:$A$59,"Yes")/COUNTIFS('Raw_Data'!$Y$2:$Y$59,"&gt;=1",'Raw_Data'!$Y$2:$Y$59,"&lt;=5",'Raw_Data'!$A$2:$A$59,"Yes"),"")</x:f>
        <x:v>72.41379310344827</x:v>
      </x:c>
      <x:c r="D22" s="131" t="n">
        <x:f>IFERROR(100*COUNTIFS('Raw_Data'!$Y$2:$Y$59,"&gt;=4",'Raw_Data'!$Y$2:$Y$59,"&lt;=5",'Raw_Data'!$A$2:$A$59,"Yes",'Raw_Data'!$D$2:$D$59,"การเงิน")/COUNTIFS('Raw_Data'!$Y$2:$Y$59,"&gt;=1",'Raw_Data'!$Y$2:$Y$59,"&lt;=5",'Raw_Data'!$A$2:$A$59,"Yes",'Raw_Data'!$D$2:$D$59,"การเงิน"),"")</x:f>
        <x:v>66.66666666666667</x:v>
      </x:c>
      <x:c r="E22" s="131" t="n">
        <x:f>IFERROR(100*COUNTIFS('Raw_Data'!$Y$2:$Y$59,"&gt;=4",'Raw_Data'!$Y$2:$Y$59,"&lt;=5",'Raw_Data'!$A$2:$A$59,"Yes",'Raw_Data'!$D$2:$D$59,"เคหรักษ์")/COUNTIFS('Raw_Data'!$Y$2:$Y$59,"&gt;=1",'Raw_Data'!$Y$2:$Y$59,"&lt;=5",'Raw_Data'!$A$2:$A$59,"Yes",'Raw_Data'!$D$2:$D$59,"เคหรักษ์"),"")</x:f>
        <x:v>50</x:v>
      </x:c>
      <x:c r="F22" s="131" t="n">
        <x:f>IFERROR(100*COUNTIFS('Raw_Data'!$Y$2:$Y$59,"&gt;=4",'Raw_Data'!$Y$2:$Y$59,"&lt;=5",'Raw_Data'!$A$2:$A$59,"Yes",'Raw_Data'!$D$2:$D$59,"จ่ายกลาง")/COUNTIFS('Raw_Data'!$Y$2:$Y$59,"&gt;=1",'Raw_Data'!$Y$2:$Y$59,"&lt;=5",'Raw_Data'!$A$2:$A$59,"Yes",'Raw_Data'!$D$2:$D$59,"จ่ายกลาง"),"")</x:f>
        <x:v>100</x:v>
      </x:c>
      <x:c r="G22" s="131" t="n">
        <x:f>IFERROR(100*COUNTIFS('Raw_Data'!$Y$2:$Y$59,"&gt;=4",'Raw_Data'!$Y$2:$Y$59,"&lt;=5",'Raw_Data'!$A$2:$A$59,"Yes",'Raw_Data'!$D$2:$D$59,"ช่างและสนาม")/COUNTIFS('Raw_Data'!$Y$2:$Y$59,"&gt;=1",'Raw_Data'!$Y$2:$Y$59,"&lt;=5",'Raw_Data'!$A$2:$A$59,"Yes",'Raw_Data'!$D$2:$D$59,"ช่างและสนาม"),"")</x:f>
        <x:v>50</x:v>
      </x:c>
      <x:c r="H22" s="131" t="n">
        <x:f>IFERROR(100*COUNTIFS('Raw_Data'!$Y$2:$Y$59,"&gt;=4",'Raw_Data'!$Y$2:$Y$59,"&lt;=5",'Raw_Data'!$A$2:$A$59,"Yes",'Raw_Data'!$D$2:$D$59,"ผู้ป่วยสัมพันธ์")/COUNTIFS('Raw_Data'!$Y$2:$Y$59,"&gt;=1",'Raw_Data'!$Y$2:$Y$59,"&lt;=5",'Raw_Data'!$A$2:$A$59,"Yes",'Raw_Data'!$D$2:$D$59,"ผู้ป่วยสัมพันธ์"),"")</x:f>
        <x:v>75</x:v>
      </x:c>
      <x:c r="I22" s="131" t="n">
        <x:f>IFERROR(100*COUNTIFS('Raw_Data'!$Y$2:$Y$59,"&gt;=4",'Raw_Data'!$Y$2:$Y$59,"&lt;=5",'Raw_Data'!$A$2:$A$59,"Yes",'Raw_Data'!$D$2:$D$59,"ฝ่ายการพยาบาล")/COUNTIFS('Raw_Data'!$Y$2:$Y$59,"&gt;=1",'Raw_Data'!$Y$2:$Y$59,"&lt;=5",'Raw_Data'!$A$2:$A$59,"Yes",'Raw_Data'!$D$2:$D$59,"ฝ่ายการพยาบาล"),"")</x:f>
        <x:v>100</x:v>
      </x:c>
      <x:c r="J22" s="131" t="n">
        <x:f>IFERROR(100*COUNTIFS('Raw_Data'!$Y$2:$Y$59,"&gt;=4",'Raw_Data'!$Y$2:$Y$59,"&lt;=5",'Raw_Data'!$A$2:$A$59,"Yes",'Raw_Data'!$D$2:$D$59,"โภชนาการ")/COUNTIFS('Raw_Data'!$Y$2:$Y$59,"&gt;=1",'Raw_Data'!$Y$2:$Y$59,"&lt;=5",'Raw_Data'!$A$2:$A$59,"Yes",'Raw_Data'!$D$2:$D$59,"โภชนาการ"),"")</x:f>
        <x:v>100</x:v>
      </x:c>
      <x:c r="K22" s="131" t="n">
        <x:f>IFERROR(100*COUNTIFS('Raw_Data'!$Y$2:$Y$59,"&gt;=4",'Raw_Data'!$Y$2:$Y$59,"&lt;=5",'Raw_Data'!$A$2:$A$59,"Yes",'Raw_Data'!$D$2:$D$59,"ยานพาหนะ")/COUNTIFS('Raw_Data'!$Y$2:$Y$59,"&gt;=1",'Raw_Data'!$Y$2:$Y$59,"&lt;=5",'Raw_Data'!$A$2:$A$59,"Yes",'Raw_Data'!$D$2:$D$59,"ยานพาหนะ"),"")</x:f>
        <x:v>100</x:v>
      </x:c>
      <x:c r="L22" s="131" t="n">
        <x:f>IFERROR(100*COUNTIFS('Raw_Data'!$Y$2:$Y$59,"&gt;=4",'Raw_Data'!$Y$2:$Y$59,"&lt;=5",'Raw_Data'!$A$2:$A$59,"Yes",'Raw_Data'!$D$2:$D$59,"สื่อสารการตลาด")/COUNTIFS('Raw_Data'!$Y$2:$Y$59,"&gt;=1",'Raw_Data'!$Y$2:$Y$59,"&lt;=5",'Raw_Data'!$A$2:$A$59,"Yes",'Raw_Data'!$D$2:$D$59,"สื่อสารการตลาด"),"")</x:f>
        <x:v>100</x:v>
      </x:c>
      <x:c r="M22" s="131" t="n">
        <x:f>IFERROR(100*COUNTIFS('Raw_Data'!$Y$2:$Y$59,"&gt;=4",'Raw_Data'!$Y$2:$Y$59,"&lt;=5",'Raw_Data'!$A$2:$A$59,"Yes",'Raw_Data'!$D$2:$D$59,"ห้องยา")/COUNTIFS('Raw_Data'!$Y$2:$Y$59,"&gt;=1",'Raw_Data'!$Y$2:$Y$59,"&lt;=5",'Raw_Data'!$A$2:$A$59,"Yes",'Raw_Data'!$D$2:$D$59,"ห้องยา"),"")</x:f>
        <x:v>100</x:v>
      </x:c>
      <x:c r="N22" s="131" t="n">
        <x:f>IFERROR(100*COUNTIFS('Raw_Data'!$Y$2:$Y$59,"&gt;=4",'Raw_Data'!$Y$2:$Y$59,"&lt;=5",'Raw_Data'!$A$2:$A$59,"Yes",'Raw_Data'!$D$2:$D$59,"ห้องแลป")/COUNTIFS('Raw_Data'!$Y$2:$Y$59,"&gt;=1",'Raw_Data'!$Y$2:$Y$59,"&lt;=5",'Raw_Data'!$A$2:$A$59,"Yes",'Raw_Data'!$D$2:$D$59,"ห้องแลป"),"")</x:f>
        <x:v>0</x:v>
      </x:c>
      <x:c r="O22" s="131" t="n">
        <x:f>IFERROR(100*COUNTIFS('Raw_Data'!$Y$2:$Y$59,"&gt;=4",'Raw_Data'!$Y$2:$Y$59,"&lt;=5",'Raw_Data'!$A$2:$A$59,"Yes",'Raw_Data'!$D$2:$D$59,"ห้องเอ็กซเรย์")/COUNTIFS('Raw_Data'!$Y$2:$Y$59,"&gt;=1",'Raw_Data'!$Y$2:$Y$59,"&lt;=5",'Raw_Data'!$A$2:$A$59,"Yes",'Raw_Data'!$D$2:$D$59,"ห้องเอ็กซเรย์"),"")</x:f>
        <x:v>66.66666666666667</x:v>
      </x:c>
      <x:c r="P22" s="131" t="n">
        <x:f>IFERROR(100*COUNTIFS('Raw_Data'!$Y$2:$Y$59,"&gt;=4",'Raw_Data'!$Y$2:$Y$59,"&lt;=5",'Raw_Data'!$A$2:$A$59,"Yes",'Raw_Data'!$D$2:$D$59,"ERและเปล")/COUNTIFS('Raw_Data'!$Y$2:$Y$59,"&gt;=1",'Raw_Data'!$Y$2:$Y$59,"&lt;=5",'Raw_Data'!$A$2:$A$59,"Yes",'Raw_Data'!$D$2:$D$59,"ERและเปล"),"")</x:f>
        <x:v>36.36363636363637</x:v>
      </x:c>
      <x:c r="Q22" s="131" t="n">
        <x:f>IFERROR(100*COUNTIFS('Raw_Data'!$Y$2:$Y$59,"&gt;=4",'Raw_Data'!$Y$2:$Y$59,"&lt;=5",'Raw_Data'!$A$2:$A$59,"Yes",'Raw_Data'!$D$2:$D$59,"HR")/COUNTIFS('Raw_Data'!$Y$2:$Y$59,"&gt;=1",'Raw_Data'!$Y$2:$Y$59,"&lt;=5",'Raw_Data'!$A$2:$A$59,"Yes",'Raw_Data'!$D$2:$D$59,"HR"),"")</x:f>
        <x:v>100</x:v>
      </x:c>
      <x:c r="R22" s="131" t="n">
        <x:f>IFERROR(100*COUNTIFS('Raw_Data'!$Y$2:$Y$59,"&gt;=4",'Raw_Data'!$Y$2:$Y$59,"&lt;=5",'Raw_Data'!$A$2:$A$59,"Yes",'Raw_Data'!$D$2:$D$59,"ICU")/COUNTIFS('Raw_Data'!$Y$2:$Y$59,"&gt;=1",'Raw_Data'!$Y$2:$Y$59,"&lt;=5",'Raw_Data'!$A$2:$A$59,"Yes",'Raw_Data'!$D$2:$D$59,"ICU"),"")</x:f>
        <x:v>75</x:v>
      </x:c>
      <x:c r="S22" s="131" t="n">
        <x:f>IFERROR(100*COUNTIFS('Raw_Data'!$Y$2:$Y$59,"&gt;=4",'Raw_Data'!$Y$2:$Y$59,"&lt;=5",'Raw_Data'!$A$2:$A$59,"Yes",'Raw_Data'!$D$2:$D$59,"IPD")/COUNTIFS('Raw_Data'!$Y$2:$Y$59,"&gt;=1",'Raw_Data'!$Y$2:$Y$59,"&lt;=5",'Raw_Data'!$A$2:$A$59,"Yes",'Raw_Data'!$D$2:$D$59,"IPD"),"")</x:f>
        <x:v>100</x:v>
      </x:c>
      <x:c r="T22" s="131" t="n">
        <x:f>IFERROR(100*COUNTIFS('Raw_Data'!$Y$2:$Y$59,"&gt;=4",'Raw_Data'!$Y$2:$Y$59,"&lt;=5",'Raw_Data'!$A$2:$A$59,"Yes",'Raw_Data'!$D$2:$D$59,"IT")/COUNTIFS('Raw_Data'!$Y$2:$Y$59,"&gt;=1",'Raw_Data'!$Y$2:$Y$59,"&lt;=5",'Raw_Data'!$A$2:$A$59,"Yes",'Raw_Data'!$D$2:$D$59,"IT"),"")</x:f>
        <x:v>100</x:v>
      </x:c>
      <x:c r="U22" s="131" t="n">
        <x:f>IFERROR(100*COUNTIFS('Raw_Data'!$Y$2:$Y$59,"&gt;=4",'Raw_Data'!$Y$2:$Y$59,"&lt;=5",'Raw_Data'!$A$2:$A$59,"Yes",'Raw_Data'!$D$2:$D$59,"OR")/COUNTIFS('Raw_Data'!$Y$2:$Y$59,"&gt;=1",'Raw_Data'!$Y$2:$Y$59,"&lt;=5",'Raw_Data'!$A$2:$A$59,"Yes",'Raw_Data'!$D$2:$D$59,"OR"),"")</x:f>
        <x:v>100</x:v>
      </x:c>
      <x:c r="V22" s="131" t="n">
        <x:f>IFERROR(100*COUNTIFS('Raw_Data'!$Y$2:$Y$59,"&gt;=4",'Raw_Data'!$Y$2:$Y$59,"&lt;=5",'Raw_Data'!$A$2:$A$59,"Yes",'Raw_Data'!$D$2:$D$59,"IPD",'Raw_Data'!$E$2:$E$59,"ผู้บริหาร")/COUNTIFS('Raw_Data'!$Y$2:$Y$59,"&gt;=1",'Raw_Data'!$Y$2:$Y$59,"&lt;=5",'Raw_Data'!$A$2:$A$59,"Yes",'Raw_Data'!$D$2:$D$59,"IPD",'Raw_Data'!$E$2:$E$59,"ผู้บริหาร"),"")</x:f>
        <x:v>100</x:v>
      </x:c>
      <x:c r="W22" s="131" t="n">
        <x:f>IFERROR(100*COUNTIFS('Raw_Data'!$Y$2:$Y$59,"&gt;=4",'Raw_Data'!$Y$2:$Y$59,"&lt;=5",'Raw_Data'!$A$2:$A$59,"Yes",'Raw_Data'!$D$2:$D$59,"ฝ่ายการพยาบาล",'Raw_Data'!$E$2:$E$59,"สายวิชาชีพสาธารณสุข")/COUNTIFS('Raw_Data'!$Y$2:$Y$59,"&gt;=1",'Raw_Data'!$Y$2:$Y$59,"&lt;=5",'Raw_Data'!$A$2:$A$59,"Yes",'Raw_Data'!$D$2:$D$59,"ฝ่ายการพยาบาล",'Raw_Data'!$E$2:$E$59,"สายวิชาชีพสาธารณสุข"),"")</x:f>
        <x:v>100</x:v>
      </x:c>
      <x:c r="X22" s="131" t="n">
        <x:f>IFERROR(100*COUNTIFS('Raw_Data'!$Y$2:$Y$59,"&gt;=4",'Raw_Data'!$Y$2:$Y$59,"&lt;=5",'Raw_Data'!$A$2:$A$59,"Yes",'Raw_Data'!$D$2:$D$59,"ERและเปล",'Raw_Data'!$E$2:$E$59,"สายวิชาชีพสาธารณสุข")/COUNTIFS('Raw_Data'!$Y$2:$Y$59,"&gt;=1",'Raw_Data'!$Y$2:$Y$59,"&lt;=5",'Raw_Data'!$A$2:$A$59,"Yes",'Raw_Data'!$D$2:$D$59,"ERและเปล",'Raw_Data'!$E$2:$E$59,"สายวิชาชีพสาธารณสุข"),"")</x:f>
        <x:v>28.571428571428573</x:v>
      </x:c>
      <x:c r="Y22" s="131" t="n">
        <x:f>IFERROR(100*COUNTIFS('Raw_Data'!$Y$2:$Y$59,"&gt;=4",'Raw_Data'!$Y$2:$Y$59,"&lt;=5",'Raw_Data'!$A$2:$A$59,"Yes",'Raw_Data'!$D$2:$D$59,"ICU",'Raw_Data'!$E$2:$E$59,"สายวิชาชีพสาธารณสุข")/COUNTIFS('Raw_Data'!$Y$2:$Y$59,"&gt;=1",'Raw_Data'!$Y$2:$Y$59,"&lt;=5",'Raw_Data'!$A$2:$A$59,"Yes",'Raw_Data'!$D$2:$D$59,"ICU",'Raw_Data'!$E$2:$E$59,"สายวิชาชีพสาธารณสุข"),"")</x:f>
        <x:v>100</x:v>
      </x:c>
      <x:c r="Z22" s="131" t="n">
        <x:f>IFERROR(100*COUNTIFS('Raw_Data'!$Y$2:$Y$59,"&gt;=4",'Raw_Data'!$Y$2:$Y$59,"&lt;=5",'Raw_Data'!$A$2:$A$59,"Yes",'Raw_Data'!$D$2:$D$59,"IPD",'Raw_Data'!$E$2:$E$59,"สายวิชาชีพสาธารณสุข")/COUNTIFS('Raw_Data'!$Y$2:$Y$59,"&gt;=1",'Raw_Data'!$Y$2:$Y$59,"&lt;=5",'Raw_Data'!$A$2:$A$59,"Yes",'Raw_Data'!$D$2:$D$59,"IPD",'Raw_Data'!$E$2:$E$59,"สายวิชาชีพสาธารณสุข"),"")</x:f>
        <x:v>100</x:v>
      </x:c>
      <x:c r="AA22" s="131" t="n">
        <x:f>IFERROR(100*COUNTIFS('Raw_Data'!$Y$2:$Y$59,"&gt;=4",'Raw_Data'!$Y$2:$Y$59,"&lt;=5",'Raw_Data'!$A$2:$A$59,"Yes",'Raw_Data'!$D$2:$D$59,"OR",'Raw_Data'!$E$2:$E$59,"สายวิชาชีพสาธารณสุข")/COUNTIFS('Raw_Data'!$Y$2:$Y$59,"&gt;=1",'Raw_Data'!$Y$2:$Y$59,"&lt;=5",'Raw_Data'!$A$2:$A$59,"Yes",'Raw_Data'!$D$2:$D$59,"OR",'Raw_Data'!$E$2:$E$59,"สายวิชาชีพสาธารณสุข"),"")</x:f>
        <x:v>100</x:v>
      </x:c>
      <x:c r="AB22" s="131" t="n">
        <x:f>IFERROR(100*COUNTIFS('Raw_Data'!$Y$2:$Y$59,"&gt;=4",'Raw_Data'!$Y$2:$Y$59,"&lt;=5",'Raw_Data'!$A$2:$A$59,"Yes",'Raw_Data'!$D$2:$D$59,"การเงิน",'Raw_Data'!$E$2:$E$59,"สายสนับสนุนทั่วไป")/COUNTIFS('Raw_Data'!$Y$2:$Y$59,"&gt;=1",'Raw_Data'!$Y$2:$Y$59,"&lt;=5",'Raw_Data'!$A$2:$A$59,"Yes",'Raw_Data'!$D$2:$D$59,"การเงิน",'Raw_Data'!$E$2:$E$59,"สายสนับสนุนทั่วไป"),"")</x:f>
        <x:v>66.66666666666667</x:v>
      </x:c>
      <x:c r="AC22" s="131" t="n">
        <x:f>IFERROR(100*COUNTIFS('Raw_Data'!$Y$2:$Y$59,"&gt;=4",'Raw_Data'!$Y$2:$Y$59,"&lt;=5",'Raw_Data'!$A$2:$A$59,"Yes",'Raw_Data'!$D$2:$D$59,"เคหรักษ์",'Raw_Data'!$E$2:$E$59,"สายสนับสนุนทั่วไป")/COUNTIFS('Raw_Data'!$Y$2:$Y$59,"&gt;=1",'Raw_Data'!$Y$2:$Y$59,"&lt;=5",'Raw_Data'!$A$2:$A$59,"Yes",'Raw_Data'!$D$2:$D$59,"เคหรักษ์",'Raw_Data'!$E$2:$E$59,"สายสนับสนุนทั่วไป"),"")</x:f>
        <x:v>50</x:v>
      </x:c>
      <x:c r="AD22" s="131" t="n">
        <x:f>IFERROR(100*COUNTIFS('Raw_Data'!$Y$2:$Y$59,"&gt;=4",'Raw_Data'!$Y$2:$Y$59,"&lt;=5",'Raw_Data'!$A$2:$A$59,"Yes",'Raw_Data'!$D$2:$D$59,"จ่ายกลาง",'Raw_Data'!$E$2:$E$59,"สายสนับสนุนทั่วไป")/COUNTIFS('Raw_Data'!$Y$2:$Y$59,"&gt;=1",'Raw_Data'!$Y$2:$Y$59,"&lt;=5",'Raw_Data'!$A$2:$A$59,"Yes",'Raw_Data'!$D$2:$D$59,"จ่ายกลาง",'Raw_Data'!$E$2:$E$59,"สายสนับสนุนทั่วไป"),"")</x:f>
        <x:v>100</x:v>
      </x:c>
      <x:c r="AE22" s="131" t="n">
        <x:f>IFERROR(100*COUNTIFS('Raw_Data'!$Y$2:$Y$59,"&gt;=4",'Raw_Data'!$Y$2:$Y$59,"&lt;=5",'Raw_Data'!$A$2:$A$59,"Yes",'Raw_Data'!$D$2:$D$59,"ช่างและสนาม",'Raw_Data'!$E$2:$E$59,"สายสนับสนุนทั่วไป")/COUNTIFS('Raw_Data'!$Y$2:$Y$59,"&gt;=1",'Raw_Data'!$Y$2:$Y$59,"&lt;=5",'Raw_Data'!$A$2:$A$59,"Yes",'Raw_Data'!$D$2:$D$59,"ช่างและสนาม",'Raw_Data'!$E$2:$E$59,"สายสนับสนุนทั่วไป"),"")</x:f>
        <x:v>50</x:v>
      </x:c>
      <x:c r="AF22" s="131" t="n">
        <x:f>IFERROR(100*COUNTIFS('Raw_Data'!$Y$2:$Y$59,"&gt;=4",'Raw_Data'!$Y$2:$Y$59,"&lt;=5",'Raw_Data'!$A$2:$A$59,"Yes",'Raw_Data'!$D$2:$D$59,"ผู้ป่วยสัมพันธ์",'Raw_Data'!$E$2:$E$59,"สายสนับสนุนทั่วไป")/COUNTIFS('Raw_Data'!$Y$2:$Y$59,"&gt;=1",'Raw_Data'!$Y$2:$Y$59,"&lt;=5",'Raw_Data'!$A$2:$A$59,"Yes",'Raw_Data'!$D$2:$D$59,"ผู้ป่วยสัมพันธ์",'Raw_Data'!$E$2:$E$59,"สายสนับสนุนทั่วไป"),"")</x:f>
        <x:v>0</x:v>
      </x:c>
      <x:c r="AG22" s="131" t="n">
        <x:f>IFERROR(100*COUNTIFS('Raw_Data'!$Y$2:$Y$59,"&gt;=4",'Raw_Data'!$Y$2:$Y$59,"&lt;=5",'Raw_Data'!$A$2:$A$59,"Yes",'Raw_Data'!$D$2:$D$59,"ยานพาหนะ",'Raw_Data'!$E$2:$E$59,"สายสนับสนุนทั่วไป")/COUNTIFS('Raw_Data'!$Y$2:$Y$59,"&gt;=1",'Raw_Data'!$Y$2:$Y$59,"&lt;=5",'Raw_Data'!$A$2:$A$59,"Yes",'Raw_Data'!$D$2:$D$59,"ยานพาหนะ",'Raw_Data'!$E$2:$E$59,"สายสนับสนุนทั่วไป"),"")</x:f>
        <x:v>100</x:v>
      </x:c>
      <x:c r="AH22" s="131" t="n">
        <x:f>IFERROR(100*COUNTIFS('Raw_Data'!$Y$2:$Y$59,"&gt;=4",'Raw_Data'!$Y$2:$Y$59,"&lt;=5",'Raw_Data'!$A$2:$A$59,"Yes",'Raw_Data'!$D$2:$D$59,"สื่อสารการตลาด",'Raw_Data'!$E$2:$E$59,"สายสนับสนุนทั่วไป")/COUNTIFS('Raw_Data'!$Y$2:$Y$59,"&gt;=1",'Raw_Data'!$Y$2:$Y$59,"&lt;=5",'Raw_Data'!$A$2:$A$59,"Yes",'Raw_Data'!$D$2:$D$59,"สื่อสารการตลาด",'Raw_Data'!$E$2:$E$59,"สายสนับสนุนทั่วไป"),"")</x:f>
        <x:v>100</x:v>
      </x:c>
      <x:c r="AI22" s="131" t="n">
        <x:f>IFERROR(100*COUNTIFS('Raw_Data'!$Y$2:$Y$59,"&gt;=4",'Raw_Data'!$Y$2:$Y$59,"&lt;=5",'Raw_Data'!$A$2:$A$59,"Yes",'Raw_Data'!$D$2:$D$59,"ERและเปล",'Raw_Data'!$E$2:$E$59,"สายสนับสนุนทั่วไป")/COUNTIFS('Raw_Data'!$Y$2:$Y$59,"&gt;=1",'Raw_Data'!$Y$2:$Y$59,"&lt;=5",'Raw_Data'!$A$2:$A$59,"Yes",'Raw_Data'!$D$2:$D$59,"ERและเปล",'Raw_Data'!$E$2:$E$59,"สายสนับสนุนทั่วไป"),"")</x:f>
        <x:v>33.333333333333336</x:v>
      </x:c>
      <x:c r="AJ22" s="131" t="n">
        <x:f>IFERROR(100*COUNTIFS('Raw_Data'!$Y$2:$Y$59,"&gt;=4",'Raw_Data'!$Y$2:$Y$59,"&lt;=5",'Raw_Data'!$A$2:$A$59,"Yes",'Raw_Data'!$D$2:$D$59,"HR",'Raw_Data'!$E$2:$E$59,"สายสนับสนุนทั่วไป")/COUNTIFS('Raw_Data'!$Y$2:$Y$59,"&gt;=1",'Raw_Data'!$Y$2:$Y$59,"&lt;=5",'Raw_Data'!$A$2:$A$59,"Yes",'Raw_Data'!$D$2:$D$59,"HR",'Raw_Data'!$E$2:$E$59,"สายสนับสนุนทั่วไป"),"")</x:f>
        <x:v>100</x:v>
      </x:c>
      <x:c r="AK22" s="131" t="n">
        <x:f>IFERROR(100*COUNTIFS('Raw_Data'!$Y$2:$Y$59,"&gt;=4",'Raw_Data'!$Y$2:$Y$59,"&lt;=5",'Raw_Data'!$A$2:$A$59,"Yes",'Raw_Data'!$D$2:$D$59,"ICU",'Raw_Data'!$E$2:$E$59,"สายสนับสนุนทั่วไป")/COUNTIFS('Raw_Data'!$Y$2:$Y$59,"&gt;=1",'Raw_Data'!$Y$2:$Y$59,"&lt;=5",'Raw_Data'!$A$2:$A$59,"Yes",'Raw_Data'!$D$2:$D$59,"ICU",'Raw_Data'!$E$2:$E$59,"สายสนับสนุนทั่วไป"),"")</x:f>
        <x:v>0</x:v>
      </x:c>
      <x:c r="AL22" s="131" t="n">
        <x:f>IFERROR(100*COUNTIFS('Raw_Data'!$Y$2:$Y$59,"&gt;=4",'Raw_Data'!$Y$2:$Y$59,"&lt;=5",'Raw_Data'!$A$2:$A$59,"Yes",'Raw_Data'!$D$2:$D$59,"IPD",'Raw_Data'!$E$2:$E$59,"สายสนับสนุนทั่วไป")/COUNTIFS('Raw_Data'!$Y$2:$Y$59,"&gt;=1",'Raw_Data'!$Y$2:$Y$59,"&lt;=5",'Raw_Data'!$A$2:$A$59,"Yes",'Raw_Data'!$D$2:$D$59,"IPD",'Raw_Data'!$E$2:$E$59,"สายสนับสนุนทั่วไป"),"")</x:f>
        <x:v>100</x:v>
      </x:c>
      <x:c r="AM22" s="131" t="n">
        <x:f>IFERROR(100*COUNTIFS('Raw_Data'!$Y$2:$Y$59,"&gt;=4",'Raw_Data'!$Y$2:$Y$59,"&lt;=5",'Raw_Data'!$A$2:$A$59,"Yes",'Raw_Data'!$D$2:$D$59,"IT",'Raw_Data'!$E$2:$E$59,"สายสนับสนุนทั่วไป")/COUNTIFS('Raw_Data'!$Y$2:$Y$59,"&gt;=1",'Raw_Data'!$Y$2:$Y$59,"&lt;=5",'Raw_Data'!$A$2:$A$59,"Yes",'Raw_Data'!$D$2:$D$59,"IT",'Raw_Data'!$E$2:$E$59,"สายสนับสนุนทั่วไป"),"")</x:f>
        <x:v>100</x:v>
      </x:c>
      <x:c r="AN22" s="131" t="n">
        <x:f>IFERROR(100*COUNTIFS('Raw_Data'!$Y$2:$Y$59,"&gt;=4",'Raw_Data'!$Y$2:$Y$59,"&lt;=5",'Raw_Data'!$A$2:$A$59,"Yes",'Raw_Data'!$D$2:$D$59,"ผู้ป่วยสัมพันธ์",'Raw_Data'!$E$2:$E$59,"สายสนับสนุนทางการแพทย์")/COUNTIFS('Raw_Data'!$Y$2:$Y$59,"&gt;=1",'Raw_Data'!$Y$2:$Y$59,"&lt;=5",'Raw_Data'!$A$2:$A$59,"Yes",'Raw_Data'!$D$2:$D$59,"ผู้ป่วยสัมพันธ์",'Raw_Data'!$E$2:$E$59,"สายสนับสนุนทางการแพทย์"),"")</x:f>
        <x:v>100</x:v>
      </x:c>
      <x:c r="AO22" s="131" t="n">
        <x:f>IFERROR(100*COUNTIFS('Raw_Data'!$Y$2:$Y$59,"&gt;=4",'Raw_Data'!$Y$2:$Y$59,"&lt;=5",'Raw_Data'!$A$2:$A$59,"Yes",'Raw_Data'!$D$2:$D$59,"ฝ่ายการพยาบาล",'Raw_Data'!$E$2:$E$59,"สายสนับสนุนทางการแพทย์")/COUNTIFS('Raw_Data'!$Y$2:$Y$59,"&gt;=1",'Raw_Data'!$Y$2:$Y$59,"&lt;=5",'Raw_Data'!$A$2:$A$59,"Yes",'Raw_Data'!$D$2:$D$59,"ฝ่ายการพยาบาล",'Raw_Data'!$E$2:$E$59,"สายสนับสนุนทางการแพทย์"),"")</x:f>
        <x:v>100</x:v>
      </x:c>
      <x:c r="AP22" s="131" t="n">
        <x:f>IFERROR(100*COUNTIFS('Raw_Data'!$Y$2:$Y$59,"&gt;=4",'Raw_Data'!$Y$2:$Y$59,"&lt;=5",'Raw_Data'!$A$2:$A$59,"Yes",'Raw_Data'!$D$2:$D$59,"โภชนาการ",'Raw_Data'!$E$2:$E$59,"สายสนับสนุนทางการแพทย์")/COUNTIFS('Raw_Data'!$Y$2:$Y$59,"&gt;=1",'Raw_Data'!$Y$2:$Y$59,"&lt;=5",'Raw_Data'!$A$2:$A$59,"Yes",'Raw_Data'!$D$2:$D$59,"โภชนาการ",'Raw_Data'!$E$2:$E$59,"สายสนับสนุนทางการแพทย์"),"")</x:f>
        <x:v>100</x:v>
      </x:c>
      <x:c r="AQ22" s="131" t="n">
        <x:f>IFERROR(100*COUNTIFS('Raw_Data'!$Y$2:$Y$59,"&gt;=4",'Raw_Data'!$Y$2:$Y$59,"&lt;=5",'Raw_Data'!$A$2:$A$59,"Yes",'Raw_Data'!$D$2:$D$59,"ห้องยา",'Raw_Data'!$E$2:$E$59,"สายสนับสนุนทางการแพทย์")/COUNTIFS('Raw_Data'!$Y$2:$Y$59,"&gt;=1",'Raw_Data'!$Y$2:$Y$59,"&lt;=5",'Raw_Data'!$A$2:$A$59,"Yes",'Raw_Data'!$D$2:$D$59,"ห้องยา",'Raw_Data'!$E$2:$E$59,"สายสนับสนุนทางการแพทย์"),"")</x:f>
        <x:v>100</x:v>
      </x:c>
      <x:c r="AR22" s="131" t="n">
        <x:f>IFERROR(100*COUNTIFS('Raw_Data'!$Y$2:$Y$59,"&gt;=4",'Raw_Data'!$Y$2:$Y$59,"&lt;=5",'Raw_Data'!$A$2:$A$59,"Yes",'Raw_Data'!$D$2:$D$59,"ห้องแลป",'Raw_Data'!$E$2:$E$59,"สายสนับสนุนทางการแพทย์")/COUNTIFS('Raw_Data'!$Y$2:$Y$59,"&gt;=1",'Raw_Data'!$Y$2:$Y$59,"&lt;=5",'Raw_Data'!$A$2:$A$59,"Yes",'Raw_Data'!$D$2:$D$59,"ห้องแลป",'Raw_Data'!$E$2:$E$59,"สายสนับสนุนทางการแพทย์"),"")</x:f>
        <x:v>0</x:v>
      </x:c>
      <x:c r="AS22" s="131" t="n">
        <x:f>IFERROR(100*COUNTIFS('Raw_Data'!$Y$2:$Y$59,"&gt;=4",'Raw_Data'!$Y$2:$Y$59,"&lt;=5",'Raw_Data'!$A$2:$A$59,"Yes",'Raw_Data'!$D$2:$D$59,"ห้องเอ็กซเรย์",'Raw_Data'!$E$2:$E$59,"สายสนับสนุนทางการแพทย์")/COUNTIFS('Raw_Data'!$Y$2:$Y$59,"&gt;=1",'Raw_Data'!$Y$2:$Y$59,"&lt;=5",'Raw_Data'!$A$2:$A$59,"Yes",'Raw_Data'!$D$2:$D$59,"ห้องเอ็กซเรย์",'Raw_Data'!$E$2:$E$59,"สายสนับสนุนทางการแพทย์"),"")</x:f>
        <x:v>66.66666666666667</x:v>
      </x:c>
      <x:c r="AT22" s="131" t="n">
        <x:f>IFERROR(100*COUNTIFS('Raw_Data'!$Y$2:$Y$59,"&gt;=4",'Raw_Data'!$Y$2:$Y$59,"&lt;=5",'Raw_Data'!$A$2:$A$59,"Yes",'Raw_Data'!$D$2:$D$59,"ERและเปล",'Raw_Data'!$E$2:$E$59,"สายสนับสนุนทางการแพทย์")/COUNTIFS('Raw_Data'!$Y$2:$Y$59,"&gt;=1",'Raw_Data'!$Y$2:$Y$59,"&lt;=5",'Raw_Data'!$A$2:$A$59,"Yes",'Raw_Data'!$D$2:$D$59,"ERและเปล",'Raw_Data'!$E$2:$E$59,"สายสนับสนุนทางการแพทย์"),"")</x:f>
        <x:v>100</x:v>
      </x:c>
      <x:c r="AU22" s="131" t="n">
        <x:f>IFERROR(100*COUNTIFS('Raw_Data'!$Y$2:$Y$59,"&gt;=4",'Raw_Data'!$Y$2:$Y$59,"&lt;=5",'Raw_Data'!$A$2:$A$59,"Yes",'Raw_Data'!$D$2:$D$59,"ICU",'Raw_Data'!$E$2:$E$59,"สายสนับสนุนทางการแพทย์")/COUNTIFS('Raw_Data'!$Y$2:$Y$59,"&gt;=1",'Raw_Data'!$Y$2:$Y$59,"&lt;=5",'Raw_Data'!$A$2:$A$59,"Yes",'Raw_Data'!$D$2:$D$59,"ICU",'Raw_Data'!$E$2:$E$59,"สายสนับสนุนทางการแพทย์"),"")</x:f>
        <x:v>100</x:v>
      </x:c>
      <x:c r="AV22" s="131" t="n">
        <x:f>IFERROR(100*COUNTIFS('Raw_Data'!$Y$2:$Y$59,"&gt;=4",'Raw_Data'!$Y$2:$Y$59,"&lt;=5",'Raw_Data'!$A$2:$A$59,"Yes",'Raw_Data'!$D$2:$D$59,"IPD",'Raw_Data'!$E$2:$E$59,"สายสนับสนุนทางการแพทย์")/COUNTIFS('Raw_Data'!$Y$2:$Y$59,"&gt;=1",'Raw_Data'!$Y$2:$Y$59,"&lt;=5",'Raw_Data'!$A$2:$A$59,"Yes",'Raw_Data'!$D$2:$D$59,"IPD",'Raw_Data'!$E$2:$E$59,"สายสนับสนุนทางการแพทย์"),"")</x:f>
        <x:v>100</x:v>
      </x:c>
      <x:c r="AW22" s="131" t="n">
        <x:f>IFERROR(100*COUNTIFS('Raw_Data'!$Y$2:$Y$59,"&gt;=4",'Raw_Data'!$Y$2:$Y$59,"&lt;=5",'Raw_Data'!$A$2:$A$59,"Yes",'Raw_Data'!$D$2:$D$59,"IT",'Raw_Data'!$E$2:$E$59,"สายสนับสนุนทางการแพทย์")/COUNTIFS('Raw_Data'!$Y$2:$Y$59,"&gt;=1",'Raw_Data'!$Y$2:$Y$59,"&lt;=5",'Raw_Data'!$A$2:$A$59,"Yes",'Raw_Data'!$D$2:$D$59,"IT",'Raw_Data'!$E$2:$E$59,"สายสนับสนุนทางการแพทย์"),"")</x:f>
        <x:v>100</x:v>
      </x:c>
    </x:row>
    <x:row r="23" ht="42" customHeight="1">
      <x:c r="A23" s="123"/>
      <x:c r="B23" s="124" t="str">
        <x:v>C3. ในหน่วยงานที่ฉันปฏิบัติงานอยู่ บุคลากรได้รับการให้ข้อมูลหรือสื่อสารการเปลี่ยนแปลงที่เกิดขึ้นจากรายงานอุบัติการณ์</x:v>
      </x:c>
      <x:c r="C23" s="131" t="n">
        <x:f>IFERROR(100*COUNTIFS('Raw_Data'!$Z$2:$Z$59,"&gt;=4",'Raw_Data'!$Z$2:$Z$59,"&lt;=5",'Raw_Data'!$A$2:$A$59,"Yes")/COUNTIFS('Raw_Data'!$Z$2:$Z$59,"&gt;=1",'Raw_Data'!$Z$2:$Z$59,"&lt;=5",'Raw_Data'!$A$2:$A$59,"Yes"),"")</x:f>
        <x:v>60.3448275862069</x:v>
      </x:c>
      <x:c r="D23" s="131" t="n">
        <x:f>IFERROR(100*COUNTIFS('Raw_Data'!$Z$2:$Z$59,"&gt;=4",'Raw_Data'!$Z$2:$Z$59,"&lt;=5",'Raw_Data'!$A$2:$A$59,"Yes",'Raw_Data'!$D$2:$D$59,"การเงิน")/COUNTIFS('Raw_Data'!$Z$2:$Z$59,"&gt;=1",'Raw_Data'!$Z$2:$Z$59,"&lt;=5",'Raw_Data'!$A$2:$A$59,"Yes",'Raw_Data'!$D$2:$D$59,"การเงิน"),"")</x:f>
        <x:v>66.66666666666667</x:v>
      </x:c>
      <x:c r="E23" s="131" t="n">
        <x:f>IFERROR(100*COUNTIFS('Raw_Data'!$Z$2:$Z$59,"&gt;=4",'Raw_Data'!$Z$2:$Z$59,"&lt;=5",'Raw_Data'!$A$2:$A$59,"Yes",'Raw_Data'!$D$2:$D$59,"เคหรักษ์")/COUNTIFS('Raw_Data'!$Z$2:$Z$59,"&gt;=1",'Raw_Data'!$Z$2:$Z$59,"&lt;=5",'Raw_Data'!$A$2:$A$59,"Yes",'Raw_Data'!$D$2:$D$59,"เคหรักษ์"),"")</x:f>
        <x:v>50</x:v>
      </x:c>
      <x:c r="F23" s="131" t="n">
        <x:f>IFERROR(100*COUNTIFS('Raw_Data'!$Z$2:$Z$59,"&gt;=4",'Raw_Data'!$Z$2:$Z$59,"&lt;=5",'Raw_Data'!$A$2:$A$59,"Yes",'Raw_Data'!$D$2:$D$59,"จ่ายกลาง")/COUNTIFS('Raw_Data'!$Z$2:$Z$59,"&gt;=1",'Raw_Data'!$Z$2:$Z$59,"&lt;=5",'Raw_Data'!$A$2:$A$59,"Yes",'Raw_Data'!$D$2:$D$59,"จ่ายกลาง"),"")</x:f>
        <x:v>100</x:v>
      </x:c>
      <x:c r="G23" s="131" t="n">
        <x:f>IFERROR(100*COUNTIFS('Raw_Data'!$Z$2:$Z$59,"&gt;=4",'Raw_Data'!$Z$2:$Z$59,"&lt;=5",'Raw_Data'!$A$2:$A$59,"Yes",'Raw_Data'!$D$2:$D$59,"ช่างและสนาม")/COUNTIFS('Raw_Data'!$Z$2:$Z$59,"&gt;=1",'Raw_Data'!$Z$2:$Z$59,"&lt;=5",'Raw_Data'!$A$2:$A$59,"Yes",'Raw_Data'!$D$2:$D$59,"ช่างและสนาม"),"")</x:f>
        <x:v>25</x:v>
      </x:c>
      <x:c r="H23" s="131" t="n">
        <x:f>IFERROR(100*COUNTIFS('Raw_Data'!$Z$2:$Z$59,"&gt;=4",'Raw_Data'!$Z$2:$Z$59,"&lt;=5",'Raw_Data'!$A$2:$A$59,"Yes",'Raw_Data'!$D$2:$D$59,"ผู้ป่วยสัมพันธ์")/COUNTIFS('Raw_Data'!$Z$2:$Z$59,"&gt;=1",'Raw_Data'!$Z$2:$Z$59,"&lt;=5",'Raw_Data'!$A$2:$A$59,"Yes",'Raw_Data'!$D$2:$D$59,"ผู้ป่วยสัมพันธ์"),"")</x:f>
        <x:v>75</x:v>
      </x:c>
      <x:c r="I23" s="131" t="n">
        <x:f>IFERROR(100*COUNTIFS('Raw_Data'!$Z$2:$Z$59,"&gt;=4",'Raw_Data'!$Z$2:$Z$59,"&lt;=5",'Raw_Data'!$A$2:$A$59,"Yes",'Raw_Data'!$D$2:$D$59,"ฝ่ายการพยาบาล")/COUNTIFS('Raw_Data'!$Z$2:$Z$59,"&gt;=1",'Raw_Data'!$Z$2:$Z$59,"&lt;=5",'Raw_Data'!$A$2:$A$59,"Yes",'Raw_Data'!$D$2:$D$59,"ฝ่ายการพยาบาล"),"")</x:f>
        <x:v>100</x:v>
      </x:c>
      <x:c r="J23" s="131" t="n">
        <x:f>IFERROR(100*COUNTIFS('Raw_Data'!$Z$2:$Z$59,"&gt;=4",'Raw_Data'!$Z$2:$Z$59,"&lt;=5",'Raw_Data'!$A$2:$A$59,"Yes",'Raw_Data'!$D$2:$D$59,"โภชนาการ")/COUNTIFS('Raw_Data'!$Z$2:$Z$59,"&gt;=1",'Raw_Data'!$Z$2:$Z$59,"&lt;=5",'Raw_Data'!$A$2:$A$59,"Yes",'Raw_Data'!$D$2:$D$59,"โภชนาการ"),"")</x:f>
        <x:v>100</x:v>
      </x:c>
      <x:c r="K23" s="131" t="n">
        <x:f>IFERROR(100*COUNTIFS('Raw_Data'!$Z$2:$Z$59,"&gt;=4",'Raw_Data'!$Z$2:$Z$59,"&lt;=5",'Raw_Data'!$A$2:$A$59,"Yes",'Raw_Data'!$D$2:$D$59,"ยานพาหนะ")/COUNTIFS('Raw_Data'!$Z$2:$Z$59,"&gt;=1",'Raw_Data'!$Z$2:$Z$59,"&lt;=5",'Raw_Data'!$A$2:$A$59,"Yes",'Raw_Data'!$D$2:$D$59,"ยานพาหนะ"),"")</x:f>
        <x:v>100</x:v>
      </x:c>
      <x:c r="L23" s="131" t="n">
        <x:f>IFERROR(100*COUNTIFS('Raw_Data'!$Z$2:$Z$59,"&gt;=4",'Raw_Data'!$Z$2:$Z$59,"&lt;=5",'Raw_Data'!$A$2:$A$59,"Yes",'Raw_Data'!$D$2:$D$59,"สื่อสารการตลาด")/COUNTIFS('Raw_Data'!$Z$2:$Z$59,"&gt;=1",'Raw_Data'!$Z$2:$Z$59,"&lt;=5",'Raw_Data'!$A$2:$A$59,"Yes",'Raw_Data'!$D$2:$D$59,"สื่อสารการตลาด"),"")</x:f>
        <x:v>100</x:v>
      </x:c>
      <x:c r="M23" s="131" t="n">
        <x:f>IFERROR(100*COUNTIFS('Raw_Data'!$Z$2:$Z$59,"&gt;=4",'Raw_Data'!$Z$2:$Z$59,"&lt;=5",'Raw_Data'!$A$2:$A$59,"Yes",'Raw_Data'!$D$2:$D$59,"ห้องยา")/COUNTIFS('Raw_Data'!$Z$2:$Z$59,"&gt;=1",'Raw_Data'!$Z$2:$Z$59,"&lt;=5",'Raw_Data'!$A$2:$A$59,"Yes",'Raw_Data'!$D$2:$D$59,"ห้องยา"),"")</x:f>
        <x:v>100</x:v>
      </x:c>
      <x:c r="N23" s="131" t="n">
        <x:f>IFERROR(100*COUNTIFS('Raw_Data'!$Z$2:$Z$59,"&gt;=4",'Raw_Data'!$Z$2:$Z$59,"&lt;=5",'Raw_Data'!$A$2:$A$59,"Yes",'Raw_Data'!$D$2:$D$59,"ห้องแลป")/COUNTIFS('Raw_Data'!$Z$2:$Z$59,"&gt;=1",'Raw_Data'!$Z$2:$Z$59,"&lt;=5",'Raw_Data'!$A$2:$A$59,"Yes",'Raw_Data'!$D$2:$D$59,"ห้องแลป"),"")</x:f>
        <x:v>0</x:v>
      </x:c>
      <x:c r="O23" s="131" t="n">
        <x:f>IFERROR(100*COUNTIFS('Raw_Data'!$Z$2:$Z$59,"&gt;=4",'Raw_Data'!$Z$2:$Z$59,"&lt;=5",'Raw_Data'!$A$2:$A$59,"Yes",'Raw_Data'!$D$2:$D$59,"ห้องเอ็กซเรย์")/COUNTIFS('Raw_Data'!$Z$2:$Z$59,"&gt;=1",'Raw_Data'!$Z$2:$Z$59,"&lt;=5",'Raw_Data'!$A$2:$A$59,"Yes",'Raw_Data'!$D$2:$D$59,"ห้องเอ็กซเรย์"),"")</x:f>
        <x:v>33.333333333333336</x:v>
      </x:c>
      <x:c r="P23" s="131" t="n">
        <x:f>IFERROR(100*COUNTIFS('Raw_Data'!$Z$2:$Z$59,"&gt;=4",'Raw_Data'!$Z$2:$Z$59,"&lt;=5",'Raw_Data'!$A$2:$A$59,"Yes",'Raw_Data'!$D$2:$D$59,"ERและเปล")/COUNTIFS('Raw_Data'!$Z$2:$Z$59,"&gt;=1",'Raw_Data'!$Z$2:$Z$59,"&lt;=5",'Raw_Data'!$A$2:$A$59,"Yes",'Raw_Data'!$D$2:$D$59,"ERและเปล"),"")</x:f>
        <x:v>27.272727272727273</x:v>
      </x:c>
      <x:c r="Q23" s="131" t="n">
        <x:f>IFERROR(100*COUNTIFS('Raw_Data'!$Z$2:$Z$59,"&gt;=4",'Raw_Data'!$Z$2:$Z$59,"&lt;=5",'Raw_Data'!$A$2:$A$59,"Yes",'Raw_Data'!$D$2:$D$59,"HR")/COUNTIFS('Raw_Data'!$Z$2:$Z$59,"&gt;=1",'Raw_Data'!$Z$2:$Z$59,"&lt;=5",'Raw_Data'!$A$2:$A$59,"Yes",'Raw_Data'!$D$2:$D$59,"HR"),"")</x:f>
        <x:v>0</x:v>
      </x:c>
      <x:c r="R23" s="131" t="n">
        <x:f>IFERROR(100*COUNTIFS('Raw_Data'!$Z$2:$Z$59,"&gt;=4",'Raw_Data'!$Z$2:$Z$59,"&lt;=5",'Raw_Data'!$A$2:$A$59,"Yes",'Raw_Data'!$D$2:$D$59,"ICU")/COUNTIFS('Raw_Data'!$Z$2:$Z$59,"&gt;=1",'Raw_Data'!$Z$2:$Z$59,"&lt;=5",'Raw_Data'!$A$2:$A$59,"Yes",'Raw_Data'!$D$2:$D$59,"ICU"),"")</x:f>
        <x:v>50</x:v>
      </x:c>
      <x:c r="S23" s="131" t="n">
        <x:f>IFERROR(100*COUNTIFS('Raw_Data'!$Z$2:$Z$59,"&gt;=4",'Raw_Data'!$Z$2:$Z$59,"&lt;=5",'Raw_Data'!$A$2:$A$59,"Yes",'Raw_Data'!$D$2:$D$59,"IPD")/COUNTIFS('Raw_Data'!$Z$2:$Z$59,"&gt;=1",'Raw_Data'!$Z$2:$Z$59,"&lt;=5",'Raw_Data'!$A$2:$A$59,"Yes",'Raw_Data'!$D$2:$D$59,"IPD"),"")</x:f>
        <x:v>83.33333333333333</x:v>
      </x:c>
      <x:c r="T23" s="131" t="n">
        <x:f>IFERROR(100*COUNTIFS('Raw_Data'!$Z$2:$Z$59,"&gt;=4",'Raw_Data'!$Z$2:$Z$59,"&lt;=5",'Raw_Data'!$A$2:$A$59,"Yes",'Raw_Data'!$D$2:$D$59,"IT")/COUNTIFS('Raw_Data'!$Z$2:$Z$59,"&gt;=1",'Raw_Data'!$Z$2:$Z$59,"&lt;=5",'Raw_Data'!$A$2:$A$59,"Yes",'Raw_Data'!$D$2:$D$59,"IT"),"")</x:f>
        <x:v>100</x:v>
      </x:c>
      <x:c r="U23" s="131" t="n">
        <x:f>IFERROR(100*COUNTIFS('Raw_Data'!$Z$2:$Z$59,"&gt;=4",'Raw_Data'!$Z$2:$Z$59,"&lt;=5",'Raw_Data'!$A$2:$A$59,"Yes",'Raw_Data'!$D$2:$D$59,"OR")/COUNTIFS('Raw_Data'!$Z$2:$Z$59,"&gt;=1",'Raw_Data'!$Z$2:$Z$59,"&lt;=5",'Raw_Data'!$A$2:$A$59,"Yes",'Raw_Data'!$D$2:$D$59,"OR"),"")</x:f>
        <x:v>75</x:v>
      </x:c>
      <x:c r="V23" s="131" t="n">
        <x:f>IFERROR(100*COUNTIFS('Raw_Data'!$Z$2:$Z$59,"&gt;=4",'Raw_Data'!$Z$2:$Z$59,"&lt;=5",'Raw_Data'!$A$2:$A$59,"Yes",'Raw_Data'!$D$2:$D$59,"IPD",'Raw_Data'!$E$2:$E$59,"ผู้บริหาร")/COUNTIFS('Raw_Data'!$Z$2:$Z$59,"&gt;=1",'Raw_Data'!$Z$2:$Z$59,"&lt;=5",'Raw_Data'!$A$2:$A$59,"Yes",'Raw_Data'!$D$2:$D$59,"IPD",'Raw_Data'!$E$2:$E$59,"ผู้บริหาร"),"")</x:f>
        <x:v>100</x:v>
      </x:c>
      <x:c r="W23" s="131" t="n">
        <x:f>IFERROR(100*COUNTIFS('Raw_Data'!$Z$2:$Z$59,"&gt;=4",'Raw_Data'!$Z$2:$Z$59,"&lt;=5",'Raw_Data'!$A$2:$A$59,"Yes",'Raw_Data'!$D$2:$D$59,"ฝ่ายการพยาบาล",'Raw_Data'!$E$2:$E$59,"สายวิชาชีพสาธารณสุข")/COUNTIFS('Raw_Data'!$Z$2:$Z$59,"&gt;=1",'Raw_Data'!$Z$2:$Z$59,"&lt;=5",'Raw_Data'!$A$2:$A$59,"Yes",'Raw_Data'!$D$2:$D$59,"ฝ่ายการพยาบาล",'Raw_Data'!$E$2:$E$59,"สายวิชาชีพสาธารณสุข"),"")</x:f>
        <x:v>100</x:v>
      </x:c>
      <x:c r="X23" s="131" t="n">
        <x:f>IFERROR(100*COUNTIFS('Raw_Data'!$Z$2:$Z$59,"&gt;=4",'Raw_Data'!$Z$2:$Z$59,"&lt;=5",'Raw_Data'!$A$2:$A$59,"Yes",'Raw_Data'!$D$2:$D$59,"ERและเปล",'Raw_Data'!$E$2:$E$59,"สายวิชาชีพสาธารณสุข")/COUNTIFS('Raw_Data'!$Z$2:$Z$59,"&gt;=1",'Raw_Data'!$Z$2:$Z$59,"&lt;=5",'Raw_Data'!$A$2:$A$59,"Yes",'Raw_Data'!$D$2:$D$59,"ERและเปล",'Raw_Data'!$E$2:$E$59,"สายวิชาชีพสาธารณสุข"),"")</x:f>
        <x:v>14.285714285714286</x:v>
      </x:c>
      <x:c r="Y23" s="131" t="n">
        <x:f>IFERROR(100*COUNTIFS('Raw_Data'!$Z$2:$Z$59,"&gt;=4",'Raw_Data'!$Z$2:$Z$59,"&lt;=5",'Raw_Data'!$A$2:$A$59,"Yes",'Raw_Data'!$D$2:$D$59,"ICU",'Raw_Data'!$E$2:$E$59,"สายวิชาชีพสาธารณสุข")/COUNTIFS('Raw_Data'!$Z$2:$Z$59,"&gt;=1",'Raw_Data'!$Z$2:$Z$59,"&lt;=5",'Raw_Data'!$A$2:$A$59,"Yes",'Raw_Data'!$D$2:$D$59,"ICU",'Raw_Data'!$E$2:$E$59,"สายวิชาชีพสาธารณสุข"),"")</x:f>
        <x:v>50</x:v>
      </x:c>
      <x:c r="Z23" s="131" t="n">
        <x:f>IFERROR(100*COUNTIFS('Raw_Data'!$Z$2:$Z$59,"&gt;=4",'Raw_Data'!$Z$2:$Z$59,"&lt;=5",'Raw_Data'!$A$2:$A$59,"Yes",'Raw_Data'!$D$2:$D$59,"IPD",'Raw_Data'!$E$2:$E$59,"สายวิชาชีพสาธารณสุข")/COUNTIFS('Raw_Data'!$Z$2:$Z$59,"&gt;=1",'Raw_Data'!$Z$2:$Z$59,"&lt;=5",'Raw_Data'!$A$2:$A$59,"Yes",'Raw_Data'!$D$2:$D$59,"IPD",'Raw_Data'!$E$2:$E$59,"สายวิชาชีพสาธารณสุข"),"")</x:f>
        <x:v>100</x:v>
      </x:c>
      <x:c r="AA23" s="131" t="n">
        <x:f>IFERROR(100*COUNTIFS('Raw_Data'!$Z$2:$Z$59,"&gt;=4",'Raw_Data'!$Z$2:$Z$59,"&lt;=5",'Raw_Data'!$A$2:$A$59,"Yes",'Raw_Data'!$D$2:$D$59,"OR",'Raw_Data'!$E$2:$E$59,"สายวิชาชีพสาธารณสุข")/COUNTIFS('Raw_Data'!$Z$2:$Z$59,"&gt;=1",'Raw_Data'!$Z$2:$Z$59,"&lt;=5",'Raw_Data'!$A$2:$A$59,"Yes",'Raw_Data'!$D$2:$D$59,"OR",'Raw_Data'!$E$2:$E$59,"สายวิชาชีพสาธารณสุข"),"")</x:f>
        <x:v>75</x:v>
      </x:c>
      <x:c r="AB23" s="131" t="n">
        <x:f>IFERROR(100*COUNTIFS('Raw_Data'!$Z$2:$Z$59,"&gt;=4",'Raw_Data'!$Z$2:$Z$59,"&lt;=5",'Raw_Data'!$A$2:$A$59,"Yes",'Raw_Data'!$D$2:$D$59,"การเงิน",'Raw_Data'!$E$2:$E$59,"สายสนับสนุนทั่วไป")/COUNTIFS('Raw_Data'!$Z$2:$Z$59,"&gt;=1",'Raw_Data'!$Z$2:$Z$59,"&lt;=5",'Raw_Data'!$A$2:$A$59,"Yes",'Raw_Data'!$D$2:$D$59,"การเงิน",'Raw_Data'!$E$2:$E$59,"สายสนับสนุนทั่วไป"),"")</x:f>
        <x:v>66.66666666666667</x:v>
      </x:c>
      <x:c r="AC23" s="131" t="n">
        <x:f>IFERROR(100*COUNTIFS('Raw_Data'!$Z$2:$Z$59,"&gt;=4",'Raw_Data'!$Z$2:$Z$59,"&lt;=5",'Raw_Data'!$A$2:$A$59,"Yes",'Raw_Data'!$D$2:$D$59,"เคหรักษ์",'Raw_Data'!$E$2:$E$59,"สายสนับสนุนทั่วไป")/COUNTIFS('Raw_Data'!$Z$2:$Z$59,"&gt;=1",'Raw_Data'!$Z$2:$Z$59,"&lt;=5",'Raw_Data'!$A$2:$A$59,"Yes",'Raw_Data'!$D$2:$D$59,"เคหรักษ์",'Raw_Data'!$E$2:$E$59,"สายสนับสนุนทั่วไป"),"")</x:f>
        <x:v>50</x:v>
      </x:c>
      <x:c r="AD23" s="131" t="n">
        <x:f>IFERROR(100*COUNTIFS('Raw_Data'!$Z$2:$Z$59,"&gt;=4",'Raw_Data'!$Z$2:$Z$59,"&lt;=5",'Raw_Data'!$A$2:$A$59,"Yes",'Raw_Data'!$D$2:$D$59,"จ่ายกลาง",'Raw_Data'!$E$2:$E$59,"สายสนับสนุนทั่วไป")/COUNTIFS('Raw_Data'!$Z$2:$Z$59,"&gt;=1",'Raw_Data'!$Z$2:$Z$59,"&lt;=5",'Raw_Data'!$A$2:$A$59,"Yes",'Raw_Data'!$D$2:$D$59,"จ่ายกลาง",'Raw_Data'!$E$2:$E$59,"สายสนับสนุนทั่วไป"),"")</x:f>
        <x:v>100</x:v>
      </x:c>
      <x:c r="AE23" s="131" t="n">
        <x:f>IFERROR(100*COUNTIFS('Raw_Data'!$Z$2:$Z$59,"&gt;=4",'Raw_Data'!$Z$2:$Z$59,"&lt;=5",'Raw_Data'!$A$2:$A$59,"Yes",'Raw_Data'!$D$2:$D$59,"ช่างและสนาม",'Raw_Data'!$E$2:$E$59,"สายสนับสนุนทั่วไป")/COUNTIFS('Raw_Data'!$Z$2:$Z$59,"&gt;=1",'Raw_Data'!$Z$2:$Z$59,"&lt;=5",'Raw_Data'!$A$2:$A$59,"Yes",'Raw_Data'!$D$2:$D$59,"ช่างและสนาม",'Raw_Data'!$E$2:$E$59,"สายสนับสนุนทั่วไป"),"")</x:f>
        <x:v>25</x:v>
      </x:c>
      <x:c r="AF23" s="131" t="n">
        <x:f>IFERROR(100*COUNTIFS('Raw_Data'!$Z$2:$Z$59,"&gt;=4",'Raw_Data'!$Z$2:$Z$59,"&lt;=5",'Raw_Data'!$A$2:$A$59,"Yes",'Raw_Data'!$D$2:$D$59,"ผู้ป่วยสัมพันธ์",'Raw_Data'!$E$2:$E$59,"สายสนับสนุนทั่วไป")/COUNTIFS('Raw_Data'!$Z$2:$Z$59,"&gt;=1",'Raw_Data'!$Z$2:$Z$59,"&lt;=5",'Raw_Data'!$A$2:$A$59,"Yes",'Raw_Data'!$D$2:$D$59,"ผู้ป่วยสัมพันธ์",'Raw_Data'!$E$2:$E$59,"สายสนับสนุนทั่วไป"),"")</x:f>
        <x:v>100</x:v>
      </x:c>
      <x:c r="AG23" s="131" t="n">
        <x:f>IFERROR(100*COUNTIFS('Raw_Data'!$Z$2:$Z$59,"&gt;=4",'Raw_Data'!$Z$2:$Z$59,"&lt;=5",'Raw_Data'!$A$2:$A$59,"Yes",'Raw_Data'!$D$2:$D$59,"ยานพาหนะ",'Raw_Data'!$E$2:$E$59,"สายสนับสนุนทั่วไป")/COUNTIFS('Raw_Data'!$Z$2:$Z$59,"&gt;=1",'Raw_Data'!$Z$2:$Z$59,"&lt;=5",'Raw_Data'!$A$2:$A$59,"Yes",'Raw_Data'!$D$2:$D$59,"ยานพาหนะ",'Raw_Data'!$E$2:$E$59,"สายสนับสนุนทั่วไป"),"")</x:f>
        <x:v>100</x:v>
      </x:c>
      <x:c r="AH23" s="131" t="n">
        <x:f>IFERROR(100*COUNTIFS('Raw_Data'!$Z$2:$Z$59,"&gt;=4",'Raw_Data'!$Z$2:$Z$59,"&lt;=5",'Raw_Data'!$A$2:$A$59,"Yes",'Raw_Data'!$D$2:$D$59,"สื่อสารการตลาด",'Raw_Data'!$E$2:$E$59,"สายสนับสนุนทั่วไป")/COUNTIFS('Raw_Data'!$Z$2:$Z$59,"&gt;=1",'Raw_Data'!$Z$2:$Z$59,"&lt;=5",'Raw_Data'!$A$2:$A$59,"Yes",'Raw_Data'!$D$2:$D$59,"สื่อสารการตลาด",'Raw_Data'!$E$2:$E$59,"สายสนับสนุนทั่วไป"),"")</x:f>
        <x:v>100</x:v>
      </x:c>
      <x:c r="AI23" s="131" t="n">
        <x:f>IFERROR(100*COUNTIFS('Raw_Data'!$Z$2:$Z$59,"&gt;=4",'Raw_Data'!$Z$2:$Z$59,"&lt;=5",'Raw_Data'!$A$2:$A$59,"Yes",'Raw_Data'!$D$2:$D$59,"ERและเปล",'Raw_Data'!$E$2:$E$59,"สายสนับสนุนทั่วไป")/COUNTIFS('Raw_Data'!$Z$2:$Z$59,"&gt;=1",'Raw_Data'!$Z$2:$Z$59,"&lt;=5",'Raw_Data'!$A$2:$A$59,"Yes",'Raw_Data'!$D$2:$D$59,"ERและเปล",'Raw_Data'!$E$2:$E$59,"สายสนับสนุนทั่วไป"),"")</x:f>
        <x:v>66.66666666666667</x:v>
      </x:c>
      <x:c r="AJ23" s="131" t="n">
        <x:f>IFERROR(100*COUNTIFS('Raw_Data'!$Z$2:$Z$59,"&gt;=4",'Raw_Data'!$Z$2:$Z$59,"&lt;=5",'Raw_Data'!$A$2:$A$59,"Yes",'Raw_Data'!$D$2:$D$59,"HR",'Raw_Data'!$E$2:$E$59,"สายสนับสนุนทั่วไป")/COUNTIFS('Raw_Data'!$Z$2:$Z$59,"&gt;=1",'Raw_Data'!$Z$2:$Z$59,"&lt;=5",'Raw_Data'!$A$2:$A$59,"Yes",'Raw_Data'!$D$2:$D$59,"HR",'Raw_Data'!$E$2:$E$59,"สายสนับสนุนทั่วไป"),"")</x:f>
        <x:v>0</x:v>
      </x:c>
      <x:c r="AK23" s="131" t="n">
        <x:f>IFERROR(100*COUNTIFS('Raw_Data'!$Z$2:$Z$59,"&gt;=4",'Raw_Data'!$Z$2:$Z$59,"&lt;=5",'Raw_Data'!$A$2:$A$59,"Yes",'Raw_Data'!$D$2:$D$59,"ICU",'Raw_Data'!$E$2:$E$59,"สายสนับสนุนทั่วไป")/COUNTIFS('Raw_Data'!$Z$2:$Z$59,"&gt;=1",'Raw_Data'!$Z$2:$Z$59,"&lt;=5",'Raw_Data'!$A$2:$A$59,"Yes",'Raw_Data'!$D$2:$D$59,"ICU",'Raw_Data'!$E$2:$E$59,"สายสนับสนุนทั่วไป"),"")</x:f>
        <x:v>0</x:v>
      </x:c>
      <x:c r="AL23" s="131" t="n">
        <x:f>IFERROR(100*COUNTIFS('Raw_Data'!$Z$2:$Z$59,"&gt;=4",'Raw_Data'!$Z$2:$Z$59,"&lt;=5",'Raw_Data'!$A$2:$A$59,"Yes",'Raw_Data'!$D$2:$D$59,"IPD",'Raw_Data'!$E$2:$E$59,"สายสนับสนุนทั่วไป")/COUNTIFS('Raw_Data'!$Z$2:$Z$59,"&gt;=1",'Raw_Data'!$Z$2:$Z$59,"&lt;=5",'Raw_Data'!$A$2:$A$59,"Yes",'Raw_Data'!$D$2:$D$59,"IPD",'Raw_Data'!$E$2:$E$59,"สายสนับสนุนทั่วไป"),"")</x:f>
        <x:v>0</x:v>
      </x:c>
      <x:c r="AM23" s="131" t="n">
        <x:f>IFERROR(100*COUNTIFS('Raw_Data'!$Z$2:$Z$59,"&gt;=4",'Raw_Data'!$Z$2:$Z$59,"&lt;=5",'Raw_Data'!$A$2:$A$59,"Yes",'Raw_Data'!$D$2:$D$59,"IT",'Raw_Data'!$E$2:$E$59,"สายสนับสนุนทั่วไป")/COUNTIFS('Raw_Data'!$Z$2:$Z$59,"&gt;=1",'Raw_Data'!$Z$2:$Z$59,"&lt;=5",'Raw_Data'!$A$2:$A$59,"Yes",'Raw_Data'!$D$2:$D$59,"IT",'Raw_Data'!$E$2:$E$59,"สายสนับสนุนทั่วไป"),"")</x:f>
        <x:v>100</x:v>
      </x:c>
      <x:c r="AN23" s="131" t="n">
        <x:f>IFERROR(100*COUNTIFS('Raw_Data'!$Z$2:$Z$59,"&gt;=4",'Raw_Data'!$Z$2:$Z$59,"&lt;=5",'Raw_Data'!$A$2:$A$59,"Yes",'Raw_Data'!$D$2:$D$59,"ผู้ป่วยสัมพันธ์",'Raw_Data'!$E$2:$E$59,"สายสนับสนุนทางการแพทย์")/COUNTIFS('Raw_Data'!$Z$2:$Z$59,"&gt;=1",'Raw_Data'!$Z$2:$Z$59,"&lt;=5",'Raw_Data'!$A$2:$A$59,"Yes",'Raw_Data'!$D$2:$D$59,"ผู้ป่วยสัมพันธ์",'Raw_Data'!$E$2:$E$59,"สายสนับสนุนทางการแพทย์"),"")</x:f>
        <x:v>66.66666666666667</x:v>
      </x:c>
      <x:c r="AO23" s="131" t="n">
        <x:f>IFERROR(100*COUNTIFS('Raw_Data'!$Z$2:$Z$59,"&gt;=4",'Raw_Data'!$Z$2:$Z$59,"&lt;=5",'Raw_Data'!$A$2:$A$59,"Yes",'Raw_Data'!$D$2:$D$59,"ฝ่ายการพยาบาล",'Raw_Data'!$E$2:$E$59,"สายสนับสนุนทางการแพทย์")/COUNTIFS('Raw_Data'!$Z$2:$Z$59,"&gt;=1",'Raw_Data'!$Z$2:$Z$59,"&lt;=5",'Raw_Data'!$A$2:$A$59,"Yes",'Raw_Data'!$D$2:$D$59,"ฝ่ายการพยาบาล",'Raw_Data'!$E$2:$E$59,"สายสนับสนุนทางการแพทย์"),"")</x:f>
        <x:v>100</x:v>
      </x:c>
      <x:c r="AP23" s="131" t="n">
        <x:f>IFERROR(100*COUNTIFS('Raw_Data'!$Z$2:$Z$59,"&gt;=4",'Raw_Data'!$Z$2:$Z$59,"&lt;=5",'Raw_Data'!$A$2:$A$59,"Yes",'Raw_Data'!$D$2:$D$59,"โภชนาการ",'Raw_Data'!$E$2:$E$59,"สายสนับสนุนทางการแพทย์")/COUNTIFS('Raw_Data'!$Z$2:$Z$59,"&gt;=1",'Raw_Data'!$Z$2:$Z$59,"&lt;=5",'Raw_Data'!$A$2:$A$59,"Yes",'Raw_Data'!$D$2:$D$59,"โภชนาการ",'Raw_Data'!$E$2:$E$59,"สายสนับสนุนทางการแพทย์"),"")</x:f>
        <x:v>100</x:v>
      </x:c>
      <x:c r="AQ23" s="131" t="n">
        <x:f>IFERROR(100*COUNTIFS('Raw_Data'!$Z$2:$Z$59,"&gt;=4",'Raw_Data'!$Z$2:$Z$59,"&lt;=5",'Raw_Data'!$A$2:$A$59,"Yes",'Raw_Data'!$D$2:$D$59,"ห้องยา",'Raw_Data'!$E$2:$E$59,"สายสนับสนุนทางการแพทย์")/COUNTIFS('Raw_Data'!$Z$2:$Z$59,"&gt;=1",'Raw_Data'!$Z$2:$Z$59,"&lt;=5",'Raw_Data'!$A$2:$A$59,"Yes",'Raw_Data'!$D$2:$D$59,"ห้องยา",'Raw_Data'!$E$2:$E$59,"สายสนับสนุนทางการแพทย์"),"")</x:f>
        <x:v>100</x:v>
      </x:c>
      <x:c r="AR23" s="131" t="n">
        <x:f>IFERROR(100*COUNTIFS('Raw_Data'!$Z$2:$Z$59,"&gt;=4",'Raw_Data'!$Z$2:$Z$59,"&lt;=5",'Raw_Data'!$A$2:$A$59,"Yes",'Raw_Data'!$D$2:$D$59,"ห้องแลป",'Raw_Data'!$E$2:$E$59,"สายสนับสนุนทางการแพทย์")/COUNTIFS('Raw_Data'!$Z$2:$Z$59,"&gt;=1",'Raw_Data'!$Z$2:$Z$59,"&lt;=5",'Raw_Data'!$A$2:$A$59,"Yes",'Raw_Data'!$D$2:$D$59,"ห้องแลป",'Raw_Data'!$E$2:$E$59,"สายสนับสนุนทางการแพทย์"),"")</x:f>
        <x:v>0</x:v>
      </x:c>
      <x:c r="AS23" s="131" t="n">
        <x:f>IFERROR(100*COUNTIFS('Raw_Data'!$Z$2:$Z$59,"&gt;=4",'Raw_Data'!$Z$2:$Z$59,"&lt;=5",'Raw_Data'!$A$2:$A$59,"Yes",'Raw_Data'!$D$2:$D$59,"ห้องเอ็กซเรย์",'Raw_Data'!$E$2:$E$59,"สายสนับสนุนทางการแพทย์")/COUNTIFS('Raw_Data'!$Z$2:$Z$59,"&gt;=1",'Raw_Data'!$Z$2:$Z$59,"&lt;=5",'Raw_Data'!$A$2:$A$59,"Yes",'Raw_Data'!$D$2:$D$59,"ห้องเอ็กซเรย์",'Raw_Data'!$E$2:$E$59,"สายสนับสนุนทางการแพทย์"),"")</x:f>
        <x:v>33.333333333333336</x:v>
      </x:c>
      <x:c r="AT23" s="131" t="n">
        <x:f>IFERROR(100*COUNTIFS('Raw_Data'!$Z$2:$Z$59,"&gt;=4",'Raw_Data'!$Z$2:$Z$59,"&lt;=5",'Raw_Data'!$A$2:$A$59,"Yes",'Raw_Data'!$D$2:$D$59,"ERและเปล",'Raw_Data'!$E$2:$E$59,"สายสนับสนุนทางการแพทย์")/COUNTIFS('Raw_Data'!$Z$2:$Z$59,"&gt;=1",'Raw_Data'!$Z$2:$Z$59,"&lt;=5",'Raw_Data'!$A$2:$A$59,"Yes",'Raw_Data'!$D$2:$D$59,"ERและเปล",'Raw_Data'!$E$2:$E$59,"สายสนับสนุนทางการแพทย์"),"")</x:f>
        <x:v>0</x:v>
      </x:c>
      <x:c r="AU23" s="131" t="n">
        <x:f>IFERROR(100*COUNTIFS('Raw_Data'!$Z$2:$Z$59,"&gt;=4",'Raw_Data'!$Z$2:$Z$59,"&lt;=5",'Raw_Data'!$A$2:$A$59,"Yes",'Raw_Data'!$D$2:$D$59,"ICU",'Raw_Data'!$E$2:$E$59,"สายสนับสนุนทางการแพทย์")/COUNTIFS('Raw_Data'!$Z$2:$Z$59,"&gt;=1",'Raw_Data'!$Z$2:$Z$59,"&lt;=5",'Raw_Data'!$A$2:$A$59,"Yes",'Raw_Data'!$D$2:$D$59,"ICU",'Raw_Data'!$E$2:$E$59,"สายสนับสนุนทางการแพทย์"),"")</x:f>
        <x:v>100</x:v>
      </x:c>
      <x:c r="AV23" s="131" t="n">
        <x:f>IFERROR(100*COUNTIFS('Raw_Data'!$Z$2:$Z$59,"&gt;=4",'Raw_Data'!$Z$2:$Z$59,"&lt;=5",'Raw_Data'!$A$2:$A$59,"Yes",'Raw_Data'!$D$2:$D$59,"IPD",'Raw_Data'!$E$2:$E$59,"สายสนับสนุนทางการแพทย์")/COUNTIFS('Raw_Data'!$Z$2:$Z$59,"&gt;=1",'Raw_Data'!$Z$2:$Z$59,"&lt;=5",'Raw_Data'!$A$2:$A$59,"Yes",'Raw_Data'!$D$2:$D$59,"IPD",'Raw_Data'!$E$2:$E$59,"สายสนับสนุนทางการแพทย์"),"")</x:f>
        <x:v>100</x:v>
      </x:c>
      <x:c r="AW23" s="131" t="n">
        <x:f>IFERROR(100*COUNTIFS('Raw_Data'!$Z$2:$Z$59,"&gt;=4",'Raw_Data'!$Z$2:$Z$59,"&lt;=5",'Raw_Data'!$A$2:$A$59,"Yes",'Raw_Data'!$D$2:$D$59,"IT",'Raw_Data'!$E$2:$E$59,"สายสนับสนุนทางการแพทย์")/COUNTIFS('Raw_Data'!$Z$2:$Z$59,"&gt;=1",'Raw_Data'!$Z$2:$Z$59,"&lt;=5",'Raw_Data'!$A$2:$A$59,"Yes",'Raw_Data'!$D$2:$D$59,"IT",'Raw_Data'!$E$2:$E$59,"สายสนับสนุนทางการแพทย์"),"")</x:f>
        <x:v>100</x:v>
      </x:c>
    </x:row>
    <x:row r="24" ht="42" customHeight="1">
      <x:c r="A24" s="123" t="str">
        <x:v>7. การสื่อสารที่เปิดกว้าง</x:v>
      </x:c>
      <x:c r="B24" s="124" t="str">
        <x:v>C4. ในหน่วยงานที่ฉันปฏิบัติงานอยู่ บุคลากรสามารถพูดหรือบอกกล่าวได้ทันที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x:v>
      </x:c>
      <x:c r="C24" s="131" t="n">
        <x:f>IFERROR(100*COUNTIFS('Raw_Data'!$AA$2:$AA$59,"&gt;=4",'Raw_Data'!$AA$2:$AA$59,"&lt;=5",'Raw_Data'!$A$2:$A$59,"Yes")/COUNTIFS('Raw_Data'!$AA$2:$AA$59,"&gt;=1",'Raw_Data'!$AA$2:$AA$59,"&lt;=5",'Raw_Data'!$A$2:$A$59,"Yes"),"")</x:f>
        <x:v>65.51724137931035</x:v>
      </x:c>
      <x:c r="D24" s="131" t="n">
        <x:f>IFERROR(100*COUNTIFS('Raw_Data'!$AA$2:$AA$59,"&gt;=4",'Raw_Data'!$AA$2:$AA$59,"&lt;=5",'Raw_Data'!$A$2:$A$59,"Yes",'Raw_Data'!$D$2:$D$59,"การเงิน")/COUNTIFS('Raw_Data'!$AA$2:$AA$59,"&gt;=1",'Raw_Data'!$AA$2:$AA$59,"&lt;=5",'Raw_Data'!$A$2:$A$59,"Yes",'Raw_Data'!$D$2:$D$59,"การเงิน"),"")</x:f>
        <x:v>66.66666666666667</x:v>
      </x:c>
      <x:c r="E24" s="131" t="n">
        <x:f>IFERROR(100*COUNTIFS('Raw_Data'!$AA$2:$AA$59,"&gt;=4",'Raw_Data'!$AA$2:$AA$59,"&lt;=5",'Raw_Data'!$A$2:$A$59,"Yes",'Raw_Data'!$D$2:$D$59,"เคหรักษ์")/COUNTIFS('Raw_Data'!$AA$2:$AA$59,"&gt;=1",'Raw_Data'!$AA$2:$AA$59,"&lt;=5",'Raw_Data'!$A$2:$A$59,"Yes",'Raw_Data'!$D$2:$D$59,"เคหรักษ์"),"")</x:f>
        <x:v>50</x:v>
      </x:c>
      <x:c r="F24" s="131" t="n">
        <x:f>IFERROR(100*COUNTIFS('Raw_Data'!$AA$2:$AA$59,"&gt;=4",'Raw_Data'!$AA$2:$AA$59,"&lt;=5",'Raw_Data'!$A$2:$A$59,"Yes",'Raw_Data'!$D$2:$D$59,"จ่ายกลาง")/COUNTIFS('Raw_Data'!$AA$2:$AA$59,"&gt;=1",'Raw_Data'!$AA$2:$AA$59,"&lt;=5",'Raw_Data'!$A$2:$A$59,"Yes",'Raw_Data'!$D$2:$D$59,"จ่ายกลาง"),"")</x:f>
        <x:v>100</x:v>
      </x:c>
      <x:c r="G24" s="131" t="n">
        <x:f>IFERROR(100*COUNTIFS('Raw_Data'!$AA$2:$AA$59,"&gt;=4",'Raw_Data'!$AA$2:$AA$59,"&lt;=5",'Raw_Data'!$A$2:$A$59,"Yes",'Raw_Data'!$D$2:$D$59,"ช่างและสนาม")/COUNTIFS('Raw_Data'!$AA$2:$AA$59,"&gt;=1",'Raw_Data'!$AA$2:$AA$59,"&lt;=5",'Raw_Data'!$A$2:$A$59,"Yes",'Raw_Data'!$D$2:$D$59,"ช่างและสนาม"),"")</x:f>
        <x:v>50</x:v>
      </x:c>
      <x:c r="H24" s="131" t="n">
        <x:f>IFERROR(100*COUNTIFS('Raw_Data'!$AA$2:$AA$59,"&gt;=4",'Raw_Data'!$AA$2:$AA$59,"&lt;=5",'Raw_Data'!$A$2:$A$59,"Yes",'Raw_Data'!$D$2:$D$59,"ผู้ป่วยสัมพันธ์")/COUNTIFS('Raw_Data'!$AA$2:$AA$59,"&gt;=1",'Raw_Data'!$AA$2:$AA$59,"&lt;=5",'Raw_Data'!$A$2:$A$59,"Yes",'Raw_Data'!$D$2:$D$59,"ผู้ป่วยสัมพันธ์"),"")</x:f>
        <x:v>75</x:v>
      </x:c>
      <x:c r="I24" s="131" t="n">
        <x:f>IFERROR(100*COUNTIFS('Raw_Data'!$AA$2:$AA$59,"&gt;=4",'Raw_Data'!$AA$2:$AA$59,"&lt;=5",'Raw_Data'!$A$2:$A$59,"Yes",'Raw_Data'!$D$2:$D$59,"ฝ่ายการพยาบาล")/COUNTIFS('Raw_Data'!$AA$2:$AA$59,"&gt;=1",'Raw_Data'!$AA$2:$AA$59,"&lt;=5",'Raw_Data'!$A$2:$A$59,"Yes",'Raw_Data'!$D$2:$D$59,"ฝ่ายการพยาบาล"),"")</x:f>
        <x:v>50</x:v>
      </x:c>
      <x:c r="J24" s="131" t="n">
        <x:f>IFERROR(100*COUNTIFS('Raw_Data'!$AA$2:$AA$59,"&gt;=4",'Raw_Data'!$AA$2:$AA$59,"&lt;=5",'Raw_Data'!$A$2:$A$59,"Yes",'Raw_Data'!$D$2:$D$59,"โภชนาการ")/COUNTIFS('Raw_Data'!$AA$2:$AA$59,"&gt;=1",'Raw_Data'!$AA$2:$AA$59,"&lt;=5",'Raw_Data'!$A$2:$A$59,"Yes",'Raw_Data'!$D$2:$D$59,"โภชนาการ"),"")</x:f>
        <x:v>100</x:v>
      </x:c>
      <x:c r="K24" s="131" t="n">
        <x:f>IFERROR(100*COUNTIFS('Raw_Data'!$AA$2:$AA$59,"&gt;=4",'Raw_Data'!$AA$2:$AA$59,"&lt;=5",'Raw_Data'!$A$2:$A$59,"Yes",'Raw_Data'!$D$2:$D$59,"ยานพาหนะ")/COUNTIFS('Raw_Data'!$AA$2:$AA$59,"&gt;=1",'Raw_Data'!$AA$2:$AA$59,"&lt;=5",'Raw_Data'!$A$2:$A$59,"Yes",'Raw_Data'!$D$2:$D$59,"ยานพาหนะ"),"")</x:f>
        <x:v>100</x:v>
      </x:c>
      <x:c r="L24" s="131" t="n">
        <x:f>IFERROR(100*COUNTIFS('Raw_Data'!$AA$2:$AA$59,"&gt;=4",'Raw_Data'!$AA$2:$AA$59,"&lt;=5",'Raw_Data'!$A$2:$A$59,"Yes",'Raw_Data'!$D$2:$D$59,"สื่อสารการตลาด")/COUNTIFS('Raw_Data'!$AA$2:$AA$59,"&gt;=1",'Raw_Data'!$AA$2:$AA$59,"&lt;=5",'Raw_Data'!$A$2:$A$59,"Yes",'Raw_Data'!$D$2:$D$59,"สื่อสารการตลาด"),"")</x:f>
        <x:v>100</x:v>
      </x:c>
      <x:c r="M24" s="131" t="n">
        <x:f>IFERROR(100*COUNTIFS('Raw_Data'!$AA$2:$AA$59,"&gt;=4",'Raw_Data'!$AA$2:$AA$59,"&lt;=5",'Raw_Data'!$A$2:$A$59,"Yes",'Raw_Data'!$D$2:$D$59,"ห้องยา")/COUNTIFS('Raw_Data'!$AA$2:$AA$59,"&gt;=1",'Raw_Data'!$AA$2:$AA$59,"&lt;=5",'Raw_Data'!$A$2:$A$59,"Yes",'Raw_Data'!$D$2:$D$59,"ห้องยา"),"")</x:f>
        <x:v>100</x:v>
      </x:c>
      <x:c r="N24" s="131" t="n">
        <x:f>IFERROR(100*COUNTIFS('Raw_Data'!$AA$2:$AA$59,"&gt;=4",'Raw_Data'!$AA$2:$AA$59,"&lt;=5",'Raw_Data'!$A$2:$A$59,"Yes",'Raw_Data'!$D$2:$D$59,"ห้องแลป")/COUNTIFS('Raw_Data'!$AA$2:$AA$59,"&gt;=1",'Raw_Data'!$AA$2:$AA$59,"&lt;=5",'Raw_Data'!$A$2:$A$59,"Yes",'Raw_Data'!$D$2:$D$59,"ห้องแลป"),"")</x:f>
        <x:v>0</x:v>
      </x:c>
      <x:c r="O24" s="131" t="n">
        <x:f>IFERROR(100*COUNTIFS('Raw_Data'!$AA$2:$AA$59,"&gt;=4",'Raw_Data'!$AA$2:$AA$59,"&lt;=5",'Raw_Data'!$A$2:$A$59,"Yes",'Raw_Data'!$D$2:$D$59,"ห้องเอ็กซเรย์")/COUNTIFS('Raw_Data'!$AA$2:$AA$59,"&gt;=1",'Raw_Data'!$AA$2:$AA$59,"&lt;=5",'Raw_Data'!$A$2:$A$59,"Yes",'Raw_Data'!$D$2:$D$59,"ห้องเอ็กซเรย์"),"")</x:f>
        <x:v>66.66666666666667</x:v>
      </x:c>
      <x:c r="P24" s="131" t="n">
        <x:f>IFERROR(100*COUNTIFS('Raw_Data'!$AA$2:$AA$59,"&gt;=4",'Raw_Data'!$AA$2:$AA$59,"&lt;=5",'Raw_Data'!$A$2:$A$59,"Yes",'Raw_Data'!$D$2:$D$59,"ERและเปล")/COUNTIFS('Raw_Data'!$AA$2:$AA$59,"&gt;=1",'Raw_Data'!$AA$2:$AA$59,"&lt;=5",'Raw_Data'!$A$2:$A$59,"Yes",'Raw_Data'!$D$2:$D$59,"ERและเปล"),"")</x:f>
        <x:v>45.45454545454545</x:v>
      </x:c>
      <x:c r="Q24" s="131" t="n">
        <x:f>IFERROR(100*COUNTIFS('Raw_Data'!$AA$2:$AA$59,"&gt;=4",'Raw_Data'!$AA$2:$AA$59,"&lt;=5",'Raw_Data'!$A$2:$A$59,"Yes",'Raw_Data'!$D$2:$D$59,"HR")/COUNTIFS('Raw_Data'!$AA$2:$AA$59,"&gt;=1",'Raw_Data'!$AA$2:$AA$59,"&lt;=5",'Raw_Data'!$A$2:$A$59,"Yes",'Raw_Data'!$D$2:$D$59,"HR"),"")</x:f>
        <x:v>100</x:v>
      </x:c>
      <x:c r="R24" s="131" t="n">
        <x:f>IFERROR(100*COUNTIFS('Raw_Data'!$AA$2:$AA$59,"&gt;=4",'Raw_Data'!$AA$2:$AA$59,"&lt;=5",'Raw_Data'!$A$2:$A$59,"Yes",'Raw_Data'!$D$2:$D$59,"ICU")/COUNTIFS('Raw_Data'!$AA$2:$AA$59,"&gt;=1",'Raw_Data'!$AA$2:$AA$59,"&lt;=5",'Raw_Data'!$A$2:$A$59,"Yes",'Raw_Data'!$D$2:$D$59,"ICU"),"")</x:f>
        <x:v>50</x:v>
      </x:c>
      <x:c r="S24" s="131" t="n">
        <x:f>IFERROR(100*COUNTIFS('Raw_Data'!$AA$2:$AA$59,"&gt;=4",'Raw_Data'!$AA$2:$AA$59,"&lt;=5",'Raw_Data'!$A$2:$A$59,"Yes",'Raw_Data'!$D$2:$D$59,"IPD")/COUNTIFS('Raw_Data'!$AA$2:$AA$59,"&gt;=1",'Raw_Data'!$AA$2:$AA$59,"&lt;=5",'Raw_Data'!$A$2:$A$59,"Yes",'Raw_Data'!$D$2:$D$59,"IPD"),"")</x:f>
        <x:v>66.66666666666667</x:v>
      </x:c>
      <x:c r="T24" s="131" t="n">
        <x:f>IFERROR(100*COUNTIFS('Raw_Data'!$AA$2:$AA$59,"&gt;=4",'Raw_Data'!$AA$2:$AA$59,"&lt;=5",'Raw_Data'!$A$2:$A$59,"Yes",'Raw_Data'!$D$2:$D$59,"IT")/COUNTIFS('Raw_Data'!$AA$2:$AA$59,"&gt;=1",'Raw_Data'!$AA$2:$AA$59,"&lt;=5",'Raw_Data'!$A$2:$A$59,"Yes",'Raw_Data'!$D$2:$D$59,"IT"),"")</x:f>
        <x:v>100</x:v>
      </x:c>
      <x:c r="U24" s="131" t="n">
        <x:f>IFERROR(100*COUNTIFS('Raw_Data'!$AA$2:$AA$59,"&gt;=4",'Raw_Data'!$AA$2:$AA$59,"&lt;=5",'Raw_Data'!$A$2:$A$59,"Yes",'Raw_Data'!$D$2:$D$59,"OR")/COUNTIFS('Raw_Data'!$AA$2:$AA$59,"&gt;=1",'Raw_Data'!$AA$2:$AA$59,"&lt;=5",'Raw_Data'!$A$2:$A$59,"Yes",'Raw_Data'!$D$2:$D$59,"OR"),"")</x:f>
        <x:v>75</x:v>
      </x:c>
      <x:c r="V24" s="131" t="n">
        <x:f>IFERROR(100*COUNTIFS('Raw_Data'!$AA$2:$AA$59,"&gt;=4",'Raw_Data'!$AA$2:$AA$59,"&lt;=5",'Raw_Data'!$A$2:$A$59,"Yes",'Raw_Data'!$D$2:$D$59,"IPD",'Raw_Data'!$E$2:$E$59,"ผู้บริหาร")/COUNTIFS('Raw_Data'!$AA$2:$AA$59,"&gt;=1",'Raw_Data'!$AA$2:$AA$59,"&lt;=5",'Raw_Data'!$A$2:$A$59,"Yes",'Raw_Data'!$D$2:$D$59,"IPD",'Raw_Data'!$E$2:$E$59,"ผู้บริหาร"),"")</x:f>
        <x:v>100</x:v>
      </x:c>
      <x:c r="W24" s="131" t="n">
        <x:f>IFERROR(100*COUNTIFS('Raw_Data'!$AA$2:$AA$59,"&gt;=4",'Raw_Data'!$AA$2:$AA$59,"&lt;=5",'Raw_Data'!$A$2:$A$59,"Yes",'Raw_Data'!$D$2:$D$59,"ฝ่ายการพยาบาล",'Raw_Data'!$E$2:$E$59,"สายวิชาชีพสาธารณสุข")/COUNTIFS('Raw_Data'!$AA$2:$AA$59,"&gt;=1",'Raw_Data'!$AA$2:$AA$59,"&lt;=5",'Raw_Data'!$A$2:$A$59,"Yes",'Raw_Data'!$D$2:$D$59,"ฝ่ายการพยาบาล",'Raw_Data'!$E$2:$E$59,"สายวิชาชีพสาธารณสุข"),"")</x:f>
        <x:v>0</x:v>
      </x:c>
      <x:c r="X24" s="131" t="n">
        <x:f>IFERROR(100*COUNTIFS('Raw_Data'!$AA$2:$AA$59,"&gt;=4",'Raw_Data'!$AA$2:$AA$59,"&lt;=5",'Raw_Data'!$A$2:$A$59,"Yes",'Raw_Data'!$D$2:$D$59,"ERและเปล",'Raw_Data'!$E$2:$E$59,"สายวิชาชีพสาธารณสุข")/COUNTIFS('Raw_Data'!$AA$2:$AA$59,"&gt;=1",'Raw_Data'!$AA$2:$AA$59,"&lt;=5",'Raw_Data'!$A$2:$A$59,"Yes",'Raw_Data'!$D$2:$D$59,"ERและเปล",'Raw_Data'!$E$2:$E$59,"สายวิชาชีพสาธารณสุข"),"")</x:f>
        <x:v>42.857142857142854</x:v>
      </x:c>
      <x:c r="Y24" s="131" t="n">
        <x:f>IFERROR(100*COUNTIFS('Raw_Data'!$AA$2:$AA$59,"&gt;=4",'Raw_Data'!$AA$2:$AA$59,"&lt;=5",'Raw_Data'!$A$2:$A$59,"Yes",'Raw_Data'!$D$2:$D$59,"ICU",'Raw_Data'!$E$2:$E$59,"สายวิชาชีพสาธารณสุข")/COUNTIFS('Raw_Data'!$AA$2:$AA$59,"&gt;=1",'Raw_Data'!$AA$2:$AA$59,"&lt;=5",'Raw_Data'!$A$2:$A$59,"Yes",'Raw_Data'!$D$2:$D$59,"ICU",'Raw_Data'!$E$2:$E$59,"สายวิชาชีพสาธารณสุข"),"")</x:f>
        <x:v>50</x:v>
      </x:c>
      <x:c r="Z24" s="131" t="n">
        <x:f>IFERROR(100*COUNTIFS('Raw_Data'!$AA$2:$AA$59,"&gt;=4",'Raw_Data'!$AA$2:$AA$59,"&lt;=5",'Raw_Data'!$A$2:$A$59,"Yes",'Raw_Data'!$D$2:$D$59,"IPD",'Raw_Data'!$E$2:$E$59,"สายวิชาชีพสาธารณสุข")/COUNTIFS('Raw_Data'!$AA$2:$AA$59,"&gt;=1",'Raw_Data'!$AA$2:$AA$59,"&lt;=5",'Raw_Data'!$A$2:$A$59,"Yes",'Raw_Data'!$D$2:$D$59,"IPD",'Raw_Data'!$E$2:$E$59,"สายวิชาชีพสาธารณสุข"),"")</x:f>
        <x:v>100</x:v>
      </x:c>
      <x:c r="AA24" s="131" t="n">
        <x:f>IFERROR(100*COUNTIFS('Raw_Data'!$AA$2:$AA$59,"&gt;=4",'Raw_Data'!$AA$2:$AA$59,"&lt;=5",'Raw_Data'!$A$2:$A$59,"Yes",'Raw_Data'!$D$2:$D$59,"OR",'Raw_Data'!$E$2:$E$59,"สายวิชาชีพสาธารณสุข")/COUNTIFS('Raw_Data'!$AA$2:$AA$59,"&gt;=1",'Raw_Data'!$AA$2:$AA$59,"&lt;=5",'Raw_Data'!$A$2:$A$59,"Yes",'Raw_Data'!$D$2:$D$59,"OR",'Raw_Data'!$E$2:$E$59,"สายวิชาชีพสาธารณสุข"),"")</x:f>
        <x:v>75</x:v>
      </x:c>
      <x:c r="AB24" s="131" t="n">
        <x:f>IFERROR(100*COUNTIFS('Raw_Data'!$AA$2:$AA$59,"&gt;=4",'Raw_Data'!$AA$2:$AA$59,"&lt;=5",'Raw_Data'!$A$2:$A$59,"Yes",'Raw_Data'!$D$2:$D$59,"การเงิน",'Raw_Data'!$E$2:$E$59,"สายสนับสนุนทั่วไป")/COUNTIFS('Raw_Data'!$AA$2:$AA$59,"&gt;=1",'Raw_Data'!$AA$2:$AA$59,"&lt;=5",'Raw_Data'!$A$2:$A$59,"Yes",'Raw_Data'!$D$2:$D$59,"การเงิน",'Raw_Data'!$E$2:$E$59,"สายสนับสนุนทั่วไป"),"")</x:f>
        <x:v>66.66666666666667</x:v>
      </x:c>
      <x:c r="AC24" s="131" t="n">
        <x:f>IFERROR(100*COUNTIFS('Raw_Data'!$AA$2:$AA$59,"&gt;=4",'Raw_Data'!$AA$2:$AA$59,"&lt;=5",'Raw_Data'!$A$2:$A$59,"Yes",'Raw_Data'!$D$2:$D$59,"เคหรักษ์",'Raw_Data'!$E$2:$E$59,"สายสนับสนุนทั่วไป")/COUNTIFS('Raw_Data'!$AA$2:$AA$59,"&gt;=1",'Raw_Data'!$AA$2:$AA$59,"&lt;=5",'Raw_Data'!$A$2:$A$59,"Yes",'Raw_Data'!$D$2:$D$59,"เคหรักษ์",'Raw_Data'!$E$2:$E$59,"สายสนับสนุนทั่วไป"),"")</x:f>
        <x:v>50</x:v>
      </x:c>
      <x:c r="AD24" s="131" t="n">
        <x:f>IFERROR(100*COUNTIFS('Raw_Data'!$AA$2:$AA$59,"&gt;=4",'Raw_Data'!$AA$2:$AA$59,"&lt;=5",'Raw_Data'!$A$2:$A$59,"Yes",'Raw_Data'!$D$2:$D$59,"จ่ายกลาง",'Raw_Data'!$E$2:$E$59,"สายสนับสนุนทั่วไป")/COUNTIFS('Raw_Data'!$AA$2:$AA$59,"&gt;=1",'Raw_Data'!$AA$2:$AA$59,"&lt;=5",'Raw_Data'!$A$2:$A$59,"Yes",'Raw_Data'!$D$2:$D$59,"จ่ายกลาง",'Raw_Data'!$E$2:$E$59,"สายสนับสนุนทั่วไป"),"")</x:f>
        <x:v>100</x:v>
      </x:c>
      <x:c r="AE24" s="131" t="n">
        <x:f>IFERROR(100*COUNTIFS('Raw_Data'!$AA$2:$AA$59,"&gt;=4",'Raw_Data'!$AA$2:$AA$59,"&lt;=5",'Raw_Data'!$A$2:$A$59,"Yes",'Raw_Data'!$D$2:$D$59,"ช่างและสนาม",'Raw_Data'!$E$2:$E$59,"สายสนับสนุนทั่วไป")/COUNTIFS('Raw_Data'!$AA$2:$AA$59,"&gt;=1",'Raw_Data'!$AA$2:$AA$59,"&lt;=5",'Raw_Data'!$A$2:$A$59,"Yes",'Raw_Data'!$D$2:$D$59,"ช่างและสนาม",'Raw_Data'!$E$2:$E$59,"สายสนับสนุนทั่วไป"),"")</x:f>
        <x:v>50</x:v>
      </x:c>
      <x:c r="AF24" s="131" t="n">
        <x:f>IFERROR(100*COUNTIFS('Raw_Data'!$AA$2:$AA$59,"&gt;=4",'Raw_Data'!$AA$2:$AA$59,"&lt;=5",'Raw_Data'!$A$2:$A$59,"Yes",'Raw_Data'!$D$2:$D$59,"ผู้ป่วยสัมพันธ์",'Raw_Data'!$E$2:$E$59,"สายสนับสนุนทั่วไป")/COUNTIFS('Raw_Data'!$AA$2:$AA$59,"&gt;=1",'Raw_Data'!$AA$2:$AA$59,"&lt;=5",'Raw_Data'!$A$2:$A$59,"Yes",'Raw_Data'!$D$2:$D$59,"ผู้ป่วยสัมพันธ์",'Raw_Data'!$E$2:$E$59,"สายสนับสนุนทั่วไป"),"")</x:f>
        <x:v>0</x:v>
      </x:c>
      <x:c r="AG24" s="131" t="n">
        <x:f>IFERROR(100*COUNTIFS('Raw_Data'!$AA$2:$AA$59,"&gt;=4",'Raw_Data'!$AA$2:$AA$59,"&lt;=5",'Raw_Data'!$A$2:$A$59,"Yes",'Raw_Data'!$D$2:$D$59,"ยานพาหนะ",'Raw_Data'!$E$2:$E$59,"สายสนับสนุนทั่วไป")/COUNTIFS('Raw_Data'!$AA$2:$AA$59,"&gt;=1",'Raw_Data'!$AA$2:$AA$59,"&lt;=5",'Raw_Data'!$A$2:$A$59,"Yes",'Raw_Data'!$D$2:$D$59,"ยานพาหนะ",'Raw_Data'!$E$2:$E$59,"สายสนับสนุนทั่วไป"),"")</x:f>
        <x:v>100</x:v>
      </x:c>
      <x:c r="AH24" s="131" t="n">
        <x:f>IFERROR(100*COUNTIFS('Raw_Data'!$AA$2:$AA$59,"&gt;=4",'Raw_Data'!$AA$2:$AA$59,"&lt;=5",'Raw_Data'!$A$2:$A$59,"Yes",'Raw_Data'!$D$2:$D$59,"สื่อสารการตลาด",'Raw_Data'!$E$2:$E$59,"สายสนับสนุนทั่วไป")/COUNTIFS('Raw_Data'!$AA$2:$AA$59,"&gt;=1",'Raw_Data'!$AA$2:$AA$59,"&lt;=5",'Raw_Data'!$A$2:$A$59,"Yes",'Raw_Data'!$D$2:$D$59,"สื่อสารการตลาด",'Raw_Data'!$E$2:$E$59,"สายสนับสนุนทั่วไป"),"")</x:f>
        <x:v>100</x:v>
      </x:c>
      <x:c r="AI24" s="131" t="n">
        <x:f>IFERROR(100*COUNTIFS('Raw_Data'!$AA$2:$AA$59,"&gt;=4",'Raw_Data'!$AA$2:$AA$59,"&lt;=5",'Raw_Data'!$A$2:$A$59,"Yes",'Raw_Data'!$D$2:$D$59,"ERและเปล",'Raw_Data'!$E$2:$E$59,"สายสนับสนุนทั่วไป")/COUNTIFS('Raw_Data'!$AA$2:$AA$59,"&gt;=1",'Raw_Data'!$AA$2:$AA$59,"&lt;=5",'Raw_Data'!$A$2:$A$59,"Yes",'Raw_Data'!$D$2:$D$59,"ERและเปล",'Raw_Data'!$E$2:$E$59,"สายสนับสนุนทั่วไป"),"")</x:f>
        <x:v>33.333333333333336</x:v>
      </x:c>
      <x:c r="AJ24" s="131" t="n">
        <x:f>IFERROR(100*COUNTIFS('Raw_Data'!$AA$2:$AA$59,"&gt;=4",'Raw_Data'!$AA$2:$AA$59,"&lt;=5",'Raw_Data'!$A$2:$A$59,"Yes",'Raw_Data'!$D$2:$D$59,"HR",'Raw_Data'!$E$2:$E$59,"สายสนับสนุนทั่วไป")/COUNTIFS('Raw_Data'!$AA$2:$AA$59,"&gt;=1",'Raw_Data'!$AA$2:$AA$59,"&lt;=5",'Raw_Data'!$A$2:$A$59,"Yes",'Raw_Data'!$D$2:$D$59,"HR",'Raw_Data'!$E$2:$E$59,"สายสนับสนุนทั่วไป"),"")</x:f>
        <x:v>100</x:v>
      </x:c>
      <x:c r="AK24" s="131" t="n">
        <x:f>IFERROR(100*COUNTIFS('Raw_Data'!$AA$2:$AA$59,"&gt;=4",'Raw_Data'!$AA$2:$AA$59,"&lt;=5",'Raw_Data'!$A$2:$A$59,"Yes",'Raw_Data'!$D$2:$D$59,"ICU",'Raw_Data'!$E$2:$E$59,"สายสนับสนุนทั่วไป")/COUNTIFS('Raw_Data'!$AA$2:$AA$59,"&gt;=1",'Raw_Data'!$AA$2:$AA$59,"&lt;=5",'Raw_Data'!$A$2:$A$59,"Yes",'Raw_Data'!$D$2:$D$59,"ICU",'Raw_Data'!$E$2:$E$59,"สายสนับสนุนทั่วไป"),"")</x:f>
        <x:v>0</x:v>
      </x:c>
      <x:c r="AL24" s="131" t="n">
        <x:f>IFERROR(100*COUNTIFS('Raw_Data'!$AA$2:$AA$59,"&gt;=4",'Raw_Data'!$AA$2:$AA$59,"&lt;=5",'Raw_Data'!$A$2:$A$59,"Yes",'Raw_Data'!$D$2:$D$59,"IPD",'Raw_Data'!$E$2:$E$59,"สายสนับสนุนทั่วไป")/COUNTIFS('Raw_Data'!$AA$2:$AA$59,"&gt;=1",'Raw_Data'!$AA$2:$AA$59,"&lt;=5",'Raw_Data'!$A$2:$A$59,"Yes",'Raw_Data'!$D$2:$D$59,"IPD",'Raw_Data'!$E$2:$E$59,"สายสนับสนุนทั่วไป"),"")</x:f>
        <x:v>0</x:v>
      </x:c>
      <x:c r="AM24" s="131" t="n">
        <x:f>IFERROR(100*COUNTIFS('Raw_Data'!$AA$2:$AA$59,"&gt;=4",'Raw_Data'!$AA$2:$AA$59,"&lt;=5",'Raw_Data'!$A$2:$A$59,"Yes",'Raw_Data'!$D$2:$D$59,"IT",'Raw_Data'!$E$2:$E$59,"สายสนับสนุนทั่วไป")/COUNTIFS('Raw_Data'!$AA$2:$AA$59,"&gt;=1",'Raw_Data'!$AA$2:$AA$59,"&lt;=5",'Raw_Data'!$A$2:$A$59,"Yes",'Raw_Data'!$D$2:$D$59,"IT",'Raw_Data'!$E$2:$E$59,"สายสนับสนุนทั่วไป"),"")</x:f>
        <x:v>100</x:v>
      </x:c>
      <x:c r="AN24" s="131" t="n">
        <x:f>IFERROR(100*COUNTIFS('Raw_Data'!$AA$2:$AA$59,"&gt;=4",'Raw_Data'!$AA$2:$AA$59,"&lt;=5",'Raw_Data'!$A$2:$A$59,"Yes",'Raw_Data'!$D$2:$D$59,"ผู้ป่วยสัมพันธ์",'Raw_Data'!$E$2:$E$59,"สายสนับสนุนทางการแพทย์")/COUNTIFS('Raw_Data'!$AA$2:$AA$59,"&gt;=1",'Raw_Data'!$AA$2:$AA$59,"&lt;=5",'Raw_Data'!$A$2:$A$59,"Yes",'Raw_Data'!$D$2:$D$59,"ผู้ป่วยสัมพันธ์",'Raw_Data'!$E$2:$E$59,"สายสนับสนุนทางการแพทย์"),"")</x:f>
        <x:v>100</x:v>
      </x:c>
      <x:c r="AO24" s="131" t="n">
        <x:f>IFERROR(100*COUNTIFS('Raw_Data'!$AA$2:$AA$59,"&gt;=4",'Raw_Data'!$AA$2:$AA$59,"&lt;=5",'Raw_Data'!$A$2:$A$59,"Yes",'Raw_Data'!$D$2:$D$59,"ฝ่ายการพยาบาล",'Raw_Data'!$E$2:$E$59,"สายสนับสนุนทางการแพทย์")/COUNTIFS('Raw_Data'!$AA$2:$AA$59,"&gt;=1",'Raw_Data'!$AA$2:$AA$59,"&lt;=5",'Raw_Data'!$A$2:$A$59,"Yes",'Raw_Data'!$D$2:$D$59,"ฝ่ายการพยาบาล",'Raw_Data'!$E$2:$E$59,"สายสนับสนุนทางการแพทย์"),"")</x:f>
        <x:v>100</x:v>
      </x:c>
      <x:c r="AP24" s="131" t="n">
        <x:f>IFERROR(100*COUNTIFS('Raw_Data'!$AA$2:$AA$59,"&gt;=4",'Raw_Data'!$AA$2:$AA$59,"&lt;=5",'Raw_Data'!$A$2:$A$59,"Yes",'Raw_Data'!$D$2:$D$59,"โภชนาการ",'Raw_Data'!$E$2:$E$59,"สายสนับสนุนทางการแพทย์")/COUNTIFS('Raw_Data'!$AA$2:$AA$59,"&gt;=1",'Raw_Data'!$AA$2:$AA$59,"&lt;=5",'Raw_Data'!$A$2:$A$59,"Yes",'Raw_Data'!$D$2:$D$59,"โภชนาการ",'Raw_Data'!$E$2:$E$59,"สายสนับสนุนทางการแพทย์"),"")</x:f>
        <x:v>100</x:v>
      </x:c>
      <x:c r="AQ24" s="131" t="n">
        <x:f>IFERROR(100*COUNTIFS('Raw_Data'!$AA$2:$AA$59,"&gt;=4",'Raw_Data'!$AA$2:$AA$59,"&lt;=5",'Raw_Data'!$A$2:$A$59,"Yes",'Raw_Data'!$D$2:$D$59,"ห้องยา",'Raw_Data'!$E$2:$E$59,"สายสนับสนุนทางการแพทย์")/COUNTIFS('Raw_Data'!$AA$2:$AA$59,"&gt;=1",'Raw_Data'!$AA$2:$AA$59,"&lt;=5",'Raw_Data'!$A$2:$A$59,"Yes",'Raw_Data'!$D$2:$D$59,"ห้องยา",'Raw_Data'!$E$2:$E$59,"สายสนับสนุนทางการแพทย์"),"")</x:f>
        <x:v>100</x:v>
      </x:c>
      <x:c r="AR24" s="131" t="n">
        <x:f>IFERROR(100*COUNTIFS('Raw_Data'!$AA$2:$AA$59,"&gt;=4",'Raw_Data'!$AA$2:$AA$59,"&lt;=5",'Raw_Data'!$A$2:$A$59,"Yes",'Raw_Data'!$D$2:$D$59,"ห้องแลป",'Raw_Data'!$E$2:$E$59,"สายสนับสนุนทางการแพทย์")/COUNTIFS('Raw_Data'!$AA$2:$AA$59,"&gt;=1",'Raw_Data'!$AA$2:$AA$59,"&lt;=5",'Raw_Data'!$A$2:$A$59,"Yes",'Raw_Data'!$D$2:$D$59,"ห้องแลป",'Raw_Data'!$E$2:$E$59,"สายสนับสนุนทางการแพทย์"),"")</x:f>
        <x:v>0</x:v>
      </x:c>
      <x:c r="AS24" s="131" t="n">
        <x:f>IFERROR(100*COUNTIFS('Raw_Data'!$AA$2:$AA$59,"&gt;=4",'Raw_Data'!$AA$2:$AA$59,"&lt;=5",'Raw_Data'!$A$2:$A$59,"Yes",'Raw_Data'!$D$2:$D$59,"ห้องเอ็กซเรย์",'Raw_Data'!$E$2:$E$59,"สายสนับสนุนทางการแพทย์")/COUNTIFS('Raw_Data'!$AA$2:$AA$59,"&gt;=1",'Raw_Data'!$AA$2:$AA$59,"&lt;=5",'Raw_Data'!$A$2:$A$59,"Yes",'Raw_Data'!$D$2:$D$59,"ห้องเอ็กซเรย์",'Raw_Data'!$E$2:$E$59,"สายสนับสนุนทางการแพทย์"),"")</x:f>
        <x:v>66.66666666666667</x:v>
      </x:c>
      <x:c r="AT24" s="131" t="n">
        <x:f>IFERROR(100*COUNTIFS('Raw_Data'!$AA$2:$AA$59,"&gt;=4",'Raw_Data'!$AA$2:$AA$59,"&lt;=5",'Raw_Data'!$A$2:$A$59,"Yes",'Raw_Data'!$D$2:$D$59,"ERและเปล",'Raw_Data'!$E$2:$E$59,"สายสนับสนุนทางการแพทย์")/COUNTIFS('Raw_Data'!$AA$2:$AA$59,"&gt;=1",'Raw_Data'!$AA$2:$AA$59,"&lt;=5",'Raw_Data'!$A$2:$A$59,"Yes",'Raw_Data'!$D$2:$D$59,"ERและเปล",'Raw_Data'!$E$2:$E$59,"สายสนับสนุนทางการแพทย์"),"")</x:f>
        <x:v>100</x:v>
      </x:c>
      <x:c r="AU24" s="131" t="n">
        <x:f>IFERROR(100*COUNTIFS('Raw_Data'!$AA$2:$AA$59,"&gt;=4",'Raw_Data'!$AA$2:$AA$59,"&lt;=5",'Raw_Data'!$A$2:$A$59,"Yes",'Raw_Data'!$D$2:$D$59,"ICU",'Raw_Data'!$E$2:$E$59,"สายสนับสนุนทางการแพทย์")/COUNTIFS('Raw_Data'!$AA$2:$AA$59,"&gt;=1",'Raw_Data'!$AA$2:$AA$59,"&lt;=5",'Raw_Data'!$A$2:$A$59,"Yes",'Raw_Data'!$D$2:$D$59,"ICU",'Raw_Data'!$E$2:$E$59,"สายสนับสนุนทางการแพทย์"),"")</x:f>
        <x:v>100</x:v>
      </x:c>
      <x:c r="AV24" s="131" t="n">
        <x:f>IFERROR(100*COUNTIFS('Raw_Data'!$AA$2:$AA$59,"&gt;=4",'Raw_Data'!$AA$2:$AA$59,"&lt;=5",'Raw_Data'!$A$2:$A$59,"Yes",'Raw_Data'!$D$2:$D$59,"IPD",'Raw_Data'!$E$2:$E$59,"สายสนับสนุนทางการแพทย์")/COUNTIFS('Raw_Data'!$AA$2:$AA$59,"&gt;=1",'Raw_Data'!$AA$2:$AA$59,"&lt;=5",'Raw_Data'!$A$2:$A$59,"Yes",'Raw_Data'!$D$2:$D$59,"IPD",'Raw_Data'!$E$2:$E$59,"สายสนับสนุนทางการแพทย์"),"")</x:f>
        <x:v>50</x:v>
      </x:c>
      <x:c r="AW24" s="131" t="n">
        <x:f>IFERROR(100*COUNTIFS('Raw_Data'!$AA$2:$AA$59,"&gt;=4",'Raw_Data'!$AA$2:$AA$59,"&lt;=5",'Raw_Data'!$A$2:$A$59,"Yes",'Raw_Data'!$D$2:$D$59,"IT",'Raw_Data'!$E$2:$E$59,"สายสนับสนุนทางการแพทย์")/COUNTIFS('Raw_Data'!$AA$2:$AA$59,"&gt;=1",'Raw_Data'!$AA$2:$AA$59,"&lt;=5",'Raw_Data'!$A$2:$A$59,"Yes",'Raw_Data'!$D$2:$D$59,"IT",'Raw_Data'!$E$2:$E$59,"สายสนับสนุนทางการแพทย์"),"")</x:f>
        <x:v>100</x:v>
      </x:c>
    </x:row>
    <x:row r="25" ht="42" customHeight="1">
      <x:c r="A25" s="123"/>
      <x:c r="B25" s="124" t="str">
        <x:v>C5. ในหน่วยงานที่ฉันปฏิบัติงานอยู่ เมื่อบุคลากรเห็นผู้ที่มีอำนาจ ตำแหน่ง หรือบทบาทหน้าที่สูงกว่า ทำสิ่งที่ไม่ปลอดภัยสำหรับผู้ป่วย/ผู้รับบริการ บุคลากรสามารถพูดหรือบอกกล่าวได้ทันที</x:v>
      </x:c>
      <x:c r="C25" s="131" t="n">
        <x:f>IFERROR(100*COUNTIFS('Raw_Data'!$AB$2:$AB$59,"&gt;=4",'Raw_Data'!$AB$2:$AB$59,"&lt;=5",'Raw_Data'!$A$2:$A$59,"Yes")/COUNTIFS('Raw_Data'!$AB$2:$AB$59,"&gt;=1",'Raw_Data'!$AB$2:$AB$59,"&lt;=5",'Raw_Data'!$A$2:$A$59,"Yes"),"")</x:f>
        <x:v>48.275862068965516</x:v>
      </x:c>
      <x:c r="D25" s="131" t="n">
        <x:f>IFERROR(100*COUNTIFS('Raw_Data'!$AB$2:$AB$59,"&gt;=4",'Raw_Data'!$AB$2:$AB$59,"&lt;=5",'Raw_Data'!$A$2:$A$59,"Yes",'Raw_Data'!$D$2:$D$59,"การเงิน")/COUNTIFS('Raw_Data'!$AB$2:$AB$59,"&gt;=1",'Raw_Data'!$AB$2:$AB$59,"&lt;=5",'Raw_Data'!$A$2:$A$59,"Yes",'Raw_Data'!$D$2:$D$59,"การเงิน"),"")</x:f>
        <x:v>33.333333333333336</x:v>
      </x:c>
      <x:c r="E25" s="131" t="n">
        <x:f>IFERROR(100*COUNTIFS('Raw_Data'!$AB$2:$AB$59,"&gt;=4",'Raw_Data'!$AB$2:$AB$59,"&lt;=5",'Raw_Data'!$A$2:$A$59,"Yes",'Raw_Data'!$D$2:$D$59,"เคหรักษ์")/COUNTIFS('Raw_Data'!$AB$2:$AB$59,"&gt;=1",'Raw_Data'!$AB$2:$AB$59,"&lt;=5",'Raw_Data'!$A$2:$A$59,"Yes",'Raw_Data'!$D$2:$D$59,"เคหรักษ์"),"")</x:f>
        <x:v>0</x:v>
      </x:c>
      <x:c r="F25" s="131" t="n">
        <x:f>IFERROR(100*COUNTIFS('Raw_Data'!$AB$2:$AB$59,"&gt;=4",'Raw_Data'!$AB$2:$AB$59,"&lt;=5",'Raw_Data'!$A$2:$A$59,"Yes",'Raw_Data'!$D$2:$D$59,"จ่ายกลาง")/COUNTIFS('Raw_Data'!$AB$2:$AB$59,"&gt;=1",'Raw_Data'!$AB$2:$AB$59,"&lt;=5",'Raw_Data'!$A$2:$A$59,"Yes",'Raw_Data'!$D$2:$D$59,"จ่ายกลาง"),"")</x:f>
        <x:v>100</x:v>
      </x:c>
      <x:c r="G25" s="131" t="n">
        <x:f>IFERROR(100*COUNTIFS('Raw_Data'!$AB$2:$AB$59,"&gt;=4",'Raw_Data'!$AB$2:$AB$59,"&lt;=5",'Raw_Data'!$A$2:$A$59,"Yes",'Raw_Data'!$D$2:$D$59,"ช่างและสนาม")/COUNTIFS('Raw_Data'!$AB$2:$AB$59,"&gt;=1",'Raw_Data'!$AB$2:$AB$59,"&lt;=5",'Raw_Data'!$A$2:$A$59,"Yes",'Raw_Data'!$D$2:$D$59,"ช่างและสนาม"),"")</x:f>
        <x:v>50</x:v>
      </x:c>
      <x:c r="H25" s="131" t="n">
        <x:f>IFERROR(100*COUNTIFS('Raw_Data'!$AB$2:$AB$59,"&gt;=4",'Raw_Data'!$AB$2:$AB$59,"&lt;=5",'Raw_Data'!$A$2:$A$59,"Yes",'Raw_Data'!$D$2:$D$59,"ผู้ป่วยสัมพันธ์")/COUNTIFS('Raw_Data'!$AB$2:$AB$59,"&gt;=1",'Raw_Data'!$AB$2:$AB$59,"&lt;=5",'Raw_Data'!$A$2:$A$59,"Yes",'Raw_Data'!$D$2:$D$59,"ผู้ป่วยสัมพันธ์"),"")</x:f>
        <x:v>50</x:v>
      </x:c>
      <x:c r="I25" s="131" t="n">
        <x:f>IFERROR(100*COUNTIFS('Raw_Data'!$AB$2:$AB$59,"&gt;=4",'Raw_Data'!$AB$2:$AB$59,"&lt;=5",'Raw_Data'!$A$2:$A$59,"Yes",'Raw_Data'!$D$2:$D$59,"ฝ่ายการพยาบาล")/COUNTIFS('Raw_Data'!$AB$2:$AB$59,"&gt;=1",'Raw_Data'!$AB$2:$AB$59,"&lt;=5",'Raw_Data'!$A$2:$A$59,"Yes",'Raw_Data'!$D$2:$D$59,"ฝ่ายการพยาบาล"),"")</x:f>
        <x:v>50</x:v>
      </x:c>
      <x:c r="J25" s="131" t="n">
        <x:f>IFERROR(100*COUNTIFS('Raw_Data'!$AB$2:$AB$59,"&gt;=4",'Raw_Data'!$AB$2:$AB$59,"&lt;=5",'Raw_Data'!$A$2:$A$59,"Yes",'Raw_Data'!$D$2:$D$59,"โภชนาการ")/COUNTIFS('Raw_Data'!$AB$2:$AB$59,"&gt;=1",'Raw_Data'!$AB$2:$AB$59,"&lt;=5",'Raw_Data'!$A$2:$A$59,"Yes",'Raw_Data'!$D$2:$D$59,"โภชนาการ"),"")</x:f>
        <x:v>0</x:v>
      </x:c>
      <x:c r="K25" s="131" t="n">
        <x:f>IFERROR(100*COUNTIFS('Raw_Data'!$AB$2:$AB$59,"&gt;=4",'Raw_Data'!$AB$2:$AB$59,"&lt;=5",'Raw_Data'!$A$2:$A$59,"Yes",'Raw_Data'!$D$2:$D$59,"ยานพาหนะ")/COUNTIFS('Raw_Data'!$AB$2:$AB$59,"&gt;=1",'Raw_Data'!$AB$2:$AB$59,"&lt;=5",'Raw_Data'!$A$2:$A$59,"Yes",'Raw_Data'!$D$2:$D$59,"ยานพาหนะ"),"")</x:f>
        <x:v>100</x:v>
      </x:c>
      <x:c r="L25" s="131" t="n">
        <x:f>IFERROR(100*COUNTIFS('Raw_Data'!$AB$2:$AB$59,"&gt;=4",'Raw_Data'!$AB$2:$AB$59,"&lt;=5",'Raw_Data'!$A$2:$A$59,"Yes",'Raw_Data'!$D$2:$D$59,"สื่อสารการตลาด")/COUNTIFS('Raw_Data'!$AB$2:$AB$59,"&gt;=1",'Raw_Data'!$AB$2:$AB$59,"&lt;=5",'Raw_Data'!$A$2:$A$59,"Yes",'Raw_Data'!$D$2:$D$59,"สื่อสารการตลาด"),"")</x:f>
        <x:v>0</x:v>
      </x:c>
      <x:c r="M25" s="131" t="n">
        <x:f>IFERROR(100*COUNTIFS('Raw_Data'!$AB$2:$AB$59,"&gt;=4",'Raw_Data'!$AB$2:$AB$59,"&lt;=5",'Raw_Data'!$A$2:$A$59,"Yes",'Raw_Data'!$D$2:$D$59,"ห้องยา")/COUNTIFS('Raw_Data'!$AB$2:$AB$59,"&gt;=1",'Raw_Data'!$AB$2:$AB$59,"&lt;=5",'Raw_Data'!$A$2:$A$59,"Yes",'Raw_Data'!$D$2:$D$59,"ห้องยา"),"")</x:f>
        <x:v>100</x:v>
      </x:c>
      <x:c r="N25" s="131" t="n">
        <x:f>IFERROR(100*COUNTIFS('Raw_Data'!$AB$2:$AB$59,"&gt;=4",'Raw_Data'!$AB$2:$AB$59,"&lt;=5",'Raw_Data'!$A$2:$A$59,"Yes",'Raw_Data'!$D$2:$D$59,"ห้องแลป")/COUNTIFS('Raw_Data'!$AB$2:$AB$59,"&gt;=1",'Raw_Data'!$AB$2:$AB$59,"&lt;=5",'Raw_Data'!$A$2:$A$59,"Yes",'Raw_Data'!$D$2:$D$59,"ห้องแลป"),"")</x:f>
        <x:v>50</x:v>
      </x:c>
      <x:c r="O25" s="131" t="n">
        <x:f>IFERROR(100*COUNTIFS('Raw_Data'!$AB$2:$AB$59,"&gt;=4",'Raw_Data'!$AB$2:$AB$59,"&lt;=5",'Raw_Data'!$A$2:$A$59,"Yes",'Raw_Data'!$D$2:$D$59,"ห้องเอ็กซเรย์")/COUNTIFS('Raw_Data'!$AB$2:$AB$59,"&gt;=1",'Raw_Data'!$AB$2:$AB$59,"&lt;=5",'Raw_Data'!$A$2:$A$59,"Yes",'Raw_Data'!$D$2:$D$59,"ห้องเอ็กซเรย์"),"")</x:f>
        <x:v>0</x:v>
      </x:c>
      <x:c r="P25" s="131" t="n">
        <x:f>IFERROR(100*COUNTIFS('Raw_Data'!$AB$2:$AB$59,"&gt;=4",'Raw_Data'!$AB$2:$AB$59,"&lt;=5",'Raw_Data'!$A$2:$A$59,"Yes",'Raw_Data'!$D$2:$D$59,"ERและเปล")/COUNTIFS('Raw_Data'!$AB$2:$AB$59,"&gt;=1",'Raw_Data'!$AB$2:$AB$59,"&lt;=5",'Raw_Data'!$A$2:$A$59,"Yes",'Raw_Data'!$D$2:$D$59,"ERและเปล"),"")</x:f>
        <x:v>27.272727272727273</x:v>
      </x:c>
      <x:c r="Q25" s="131" t="n">
        <x:f>IFERROR(100*COUNTIFS('Raw_Data'!$AB$2:$AB$59,"&gt;=4",'Raw_Data'!$AB$2:$AB$59,"&lt;=5",'Raw_Data'!$A$2:$A$59,"Yes",'Raw_Data'!$D$2:$D$59,"HR")/COUNTIFS('Raw_Data'!$AB$2:$AB$59,"&gt;=1",'Raw_Data'!$AB$2:$AB$59,"&lt;=5",'Raw_Data'!$A$2:$A$59,"Yes",'Raw_Data'!$D$2:$D$59,"HR"),"")</x:f>
        <x:v>100</x:v>
      </x:c>
      <x:c r="R25" s="131" t="n">
        <x:f>IFERROR(100*COUNTIFS('Raw_Data'!$AB$2:$AB$59,"&gt;=4",'Raw_Data'!$AB$2:$AB$59,"&lt;=5",'Raw_Data'!$A$2:$A$59,"Yes",'Raw_Data'!$D$2:$D$59,"ICU")/COUNTIFS('Raw_Data'!$AB$2:$AB$59,"&gt;=1",'Raw_Data'!$AB$2:$AB$59,"&lt;=5",'Raw_Data'!$A$2:$A$59,"Yes",'Raw_Data'!$D$2:$D$59,"ICU"),"")</x:f>
        <x:v>50</x:v>
      </x:c>
      <x:c r="S25" s="131" t="n">
        <x:f>IFERROR(100*COUNTIFS('Raw_Data'!$AB$2:$AB$59,"&gt;=4",'Raw_Data'!$AB$2:$AB$59,"&lt;=5",'Raw_Data'!$A$2:$A$59,"Yes",'Raw_Data'!$D$2:$D$59,"IPD")/COUNTIFS('Raw_Data'!$AB$2:$AB$59,"&gt;=1",'Raw_Data'!$AB$2:$AB$59,"&lt;=5",'Raw_Data'!$A$2:$A$59,"Yes",'Raw_Data'!$D$2:$D$59,"IPD"),"")</x:f>
        <x:v>66.66666666666667</x:v>
      </x:c>
      <x:c r="T25" s="131" t="n">
        <x:f>IFERROR(100*COUNTIFS('Raw_Data'!$AB$2:$AB$59,"&gt;=4",'Raw_Data'!$AB$2:$AB$59,"&lt;=5",'Raw_Data'!$A$2:$A$59,"Yes",'Raw_Data'!$D$2:$D$59,"IT")/COUNTIFS('Raw_Data'!$AB$2:$AB$59,"&gt;=1",'Raw_Data'!$AB$2:$AB$59,"&lt;=5",'Raw_Data'!$A$2:$A$59,"Yes",'Raw_Data'!$D$2:$D$59,"IT"),"")</x:f>
        <x:v>100</x:v>
      </x:c>
      <x:c r="U25" s="131" t="n">
        <x:f>IFERROR(100*COUNTIFS('Raw_Data'!$AB$2:$AB$59,"&gt;=4",'Raw_Data'!$AB$2:$AB$59,"&lt;=5",'Raw_Data'!$A$2:$A$59,"Yes",'Raw_Data'!$D$2:$D$59,"OR")/COUNTIFS('Raw_Data'!$AB$2:$AB$59,"&gt;=1",'Raw_Data'!$AB$2:$AB$59,"&lt;=5",'Raw_Data'!$A$2:$A$59,"Yes",'Raw_Data'!$D$2:$D$59,"OR"),"")</x:f>
        <x:v>25</x:v>
      </x:c>
      <x:c r="V25" s="131" t="n">
        <x:f>IFERROR(100*COUNTIFS('Raw_Data'!$AB$2:$AB$59,"&gt;=4",'Raw_Data'!$AB$2:$AB$59,"&lt;=5",'Raw_Data'!$A$2:$A$59,"Yes",'Raw_Data'!$D$2:$D$59,"IPD",'Raw_Data'!$E$2:$E$59,"ผู้บริหาร")/COUNTIFS('Raw_Data'!$AB$2:$AB$59,"&gt;=1",'Raw_Data'!$AB$2:$AB$59,"&lt;=5",'Raw_Data'!$A$2:$A$59,"Yes",'Raw_Data'!$D$2:$D$59,"IPD",'Raw_Data'!$E$2:$E$59,"ผู้บริหาร"),"")</x:f>
        <x:v>100</x:v>
      </x:c>
      <x:c r="W25" s="131" t="n">
        <x:f>IFERROR(100*COUNTIFS('Raw_Data'!$AB$2:$AB$59,"&gt;=4",'Raw_Data'!$AB$2:$AB$59,"&lt;=5",'Raw_Data'!$A$2:$A$59,"Yes",'Raw_Data'!$D$2:$D$59,"ฝ่ายการพยาบาล",'Raw_Data'!$E$2:$E$59,"สายวิชาชีพสาธารณสุข")/COUNTIFS('Raw_Data'!$AB$2:$AB$59,"&gt;=1",'Raw_Data'!$AB$2:$AB$59,"&lt;=5",'Raw_Data'!$A$2:$A$59,"Yes",'Raw_Data'!$D$2:$D$59,"ฝ่ายการพยาบาล",'Raw_Data'!$E$2:$E$59,"สายวิชาชีพสาธารณสุข"),"")</x:f>
        <x:v>0</x:v>
      </x:c>
      <x:c r="X25" s="131" t="n">
        <x:f>IFERROR(100*COUNTIFS('Raw_Data'!$AB$2:$AB$59,"&gt;=4",'Raw_Data'!$AB$2:$AB$59,"&lt;=5",'Raw_Data'!$A$2:$A$59,"Yes",'Raw_Data'!$D$2:$D$59,"ERและเปล",'Raw_Data'!$E$2:$E$59,"สายวิชาชีพสาธารณสุข")/COUNTIFS('Raw_Data'!$AB$2:$AB$59,"&gt;=1",'Raw_Data'!$AB$2:$AB$59,"&lt;=5",'Raw_Data'!$A$2:$A$59,"Yes",'Raw_Data'!$D$2:$D$59,"ERและเปล",'Raw_Data'!$E$2:$E$59,"สายวิชาชีพสาธารณสุข"),"")</x:f>
        <x:v>28.571428571428573</x:v>
      </x:c>
      <x:c r="Y25" s="131" t="n">
        <x:f>IFERROR(100*COUNTIFS('Raw_Data'!$AB$2:$AB$59,"&gt;=4",'Raw_Data'!$AB$2:$AB$59,"&lt;=5",'Raw_Data'!$A$2:$A$59,"Yes",'Raw_Data'!$D$2:$D$59,"ICU",'Raw_Data'!$E$2:$E$59,"สายวิชาชีพสาธารณสุข")/COUNTIFS('Raw_Data'!$AB$2:$AB$59,"&gt;=1",'Raw_Data'!$AB$2:$AB$59,"&lt;=5",'Raw_Data'!$A$2:$A$59,"Yes",'Raw_Data'!$D$2:$D$59,"ICU",'Raw_Data'!$E$2:$E$59,"สายวิชาชีพสาธารณสุข"),"")</x:f>
        <x:v>50</x:v>
      </x:c>
      <x:c r="Z25" s="131" t="n">
        <x:f>IFERROR(100*COUNTIFS('Raw_Data'!$AB$2:$AB$59,"&gt;=4",'Raw_Data'!$AB$2:$AB$59,"&lt;=5",'Raw_Data'!$A$2:$A$59,"Yes",'Raw_Data'!$D$2:$D$59,"IPD",'Raw_Data'!$E$2:$E$59,"สายวิชาชีพสาธารณสุข")/COUNTIFS('Raw_Data'!$AB$2:$AB$59,"&gt;=1",'Raw_Data'!$AB$2:$AB$59,"&lt;=5",'Raw_Data'!$A$2:$A$59,"Yes",'Raw_Data'!$D$2:$D$59,"IPD",'Raw_Data'!$E$2:$E$59,"สายวิชาชีพสาธารณสุข"),"")</x:f>
        <x:v>100</x:v>
      </x:c>
      <x:c r="AA25" s="131" t="n">
        <x:f>IFERROR(100*COUNTIFS('Raw_Data'!$AB$2:$AB$59,"&gt;=4",'Raw_Data'!$AB$2:$AB$59,"&lt;=5",'Raw_Data'!$A$2:$A$59,"Yes",'Raw_Data'!$D$2:$D$59,"OR",'Raw_Data'!$E$2:$E$59,"สายวิชาชีพสาธารณสุข")/COUNTIFS('Raw_Data'!$AB$2:$AB$59,"&gt;=1",'Raw_Data'!$AB$2:$AB$59,"&lt;=5",'Raw_Data'!$A$2:$A$59,"Yes",'Raw_Data'!$D$2:$D$59,"OR",'Raw_Data'!$E$2:$E$59,"สายวิชาชีพสาธารณสุข"),"")</x:f>
        <x:v>25</x:v>
      </x:c>
      <x:c r="AB25" s="131" t="n">
        <x:f>IFERROR(100*COUNTIFS('Raw_Data'!$AB$2:$AB$59,"&gt;=4",'Raw_Data'!$AB$2:$AB$59,"&lt;=5",'Raw_Data'!$A$2:$A$59,"Yes",'Raw_Data'!$D$2:$D$59,"การเงิน",'Raw_Data'!$E$2:$E$59,"สายสนับสนุนทั่วไป")/COUNTIFS('Raw_Data'!$AB$2:$AB$59,"&gt;=1",'Raw_Data'!$AB$2:$AB$59,"&lt;=5",'Raw_Data'!$A$2:$A$59,"Yes",'Raw_Data'!$D$2:$D$59,"การเงิน",'Raw_Data'!$E$2:$E$59,"สายสนับสนุนทั่วไป"),"")</x:f>
        <x:v>33.333333333333336</x:v>
      </x:c>
      <x:c r="AC25" s="131" t="n">
        <x:f>IFERROR(100*COUNTIFS('Raw_Data'!$AB$2:$AB$59,"&gt;=4",'Raw_Data'!$AB$2:$AB$59,"&lt;=5",'Raw_Data'!$A$2:$A$59,"Yes",'Raw_Data'!$D$2:$D$59,"เคหรักษ์",'Raw_Data'!$E$2:$E$59,"สายสนับสนุนทั่วไป")/COUNTIFS('Raw_Data'!$AB$2:$AB$59,"&gt;=1",'Raw_Data'!$AB$2:$AB$59,"&lt;=5",'Raw_Data'!$A$2:$A$59,"Yes",'Raw_Data'!$D$2:$D$59,"เคหรักษ์",'Raw_Data'!$E$2:$E$59,"สายสนับสนุนทั่วไป"),"")</x:f>
        <x:v>0</x:v>
      </x:c>
      <x:c r="AD25" s="131" t="n">
        <x:f>IFERROR(100*COUNTIFS('Raw_Data'!$AB$2:$AB$59,"&gt;=4",'Raw_Data'!$AB$2:$AB$59,"&lt;=5",'Raw_Data'!$A$2:$A$59,"Yes",'Raw_Data'!$D$2:$D$59,"จ่ายกลาง",'Raw_Data'!$E$2:$E$59,"สายสนับสนุนทั่วไป")/COUNTIFS('Raw_Data'!$AB$2:$AB$59,"&gt;=1",'Raw_Data'!$AB$2:$AB$59,"&lt;=5",'Raw_Data'!$A$2:$A$59,"Yes",'Raw_Data'!$D$2:$D$59,"จ่ายกลาง",'Raw_Data'!$E$2:$E$59,"สายสนับสนุนทั่วไป"),"")</x:f>
        <x:v>100</x:v>
      </x:c>
      <x:c r="AE25" s="131" t="n">
        <x:f>IFERROR(100*COUNTIFS('Raw_Data'!$AB$2:$AB$59,"&gt;=4",'Raw_Data'!$AB$2:$AB$59,"&lt;=5",'Raw_Data'!$A$2:$A$59,"Yes",'Raw_Data'!$D$2:$D$59,"ช่างและสนาม",'Raw_Data'!$E$2:$E$59,"สายสนับสนุนทั่วไป")/COUNTIFS('Raw_Data'!$AB$2:$AB$59,"&gt;=1",'Raw_Data'!$AB$2:$AB$59,"&lt;=5",'Raw_Data'!$A$2:$A$59,"Yes",'Raw_Data'!$D$2:$D$59,"ช่างและสนาม",'Raw_Data'!$E$2:$E$59,"สายสนับสนุนทั่วไป"),"")</x:f>
        <x:v>50</x:v>
      </x:c>
      <x:c r="AF25" s="131" t="n">
        <x:f>IFERROR(100*COUNTIFS('Raw_Data'!$AB$2:$AB$59,"&gt;=4",'Raw_Data'!$AB$2:$AB$59,"&lt;=5",'Raw_Data'!$A$2:$A$59,"Yes",'Raw_Data'!$D$2:$D$59,"ผู้ป่วยสัมพันธ์",'Raw_Data'!$E$2:$E$59,"สายสนับสนุนทั่วไป")/COUNTIFS('Raw_Data'!$AB$2:$AB$59,"&gt;=1",'Raw_Data'!$AB$2:$AB$59,"&lt;=5",'Raw_Data'!$A$2:$A$59,"Yes",'Raw_Data'!$D$2:$D$59,"ผู้ป่วยสัมพันธ์",'Raw_Data'!$E$2:$E$59,"สายสนับสนุนทั่วไป"),"")</x:f>
        <x:v>0</x:v>
      </x:c>
      <x:c r="AG25" s="131" t="n">
        <x:f>IFERROR(100*COUNTIFS('Raw_Data'!$AB$2:$AB$59,"&gt;=4",'Raw_Data'!$AB$2:$AB$59,"&lt;=5",'Raw_Data'!$A$2:$A$59,"Yes",'Raw_Data'!$D$2:$D$59,"ยานพาหนะ",'Raw_Data'!$E$2:$E$59,"สายสนับสนุนทั่วไป")/COUNTIFS('Raw_Data'!$AB$2:$AB$59,"&gt;=1",'Raw_Data'!$AB$2:$AB$59,"&lt;=5",'Raw_Data'!$A$2:$A$59,"Yes",'Raw_Data'!$D$2:$D$59,"ยานพาหนะ",'Raw_Data'!$E$2:$E$59,"สายสนับสนุนทั่วไป"),"")</x:f>
        <x:v>100</x:v>
      </x:c>
      <x:c r="AH25" s="131" t="n">
        <x:f>IFERROR(100*COUNTIFS('Raw_Data'!$AB$2:$AB$59,"&gt;=4",'Raw_Data'!$AB$2:$AB$59,"&lt;=5",'Raw_Data'!$A$2:$A$59,"Yes",'Raw_Data'!$D$2:$D$59,"สื่อสารการตลาด",'Raw_Data'!$E$2:$E$59,"สายสนับสนุนทั่วไป")/COUNTIFS('Raw_Data'!$AB$2:$AB$59,"&gt;=1",'Raw_Data'!$AB$2:$AB$59,"&lt;=5",'Raw_Data'!$A$2:$A$59,"Yes",'Raw_Data'!$D$2:$D$59,"สื่อสารการตลาด",'Raw_Data'!$E$2:$E$59,"สายสนับสนุนทั่วไป"),"")</x:f>
        <x:v>0</x:v>
      </x:c>
      <x:c r="AI25" s="131" t="n">
        <x:f>IFERROR(100*COUNTIFS('Raw_Data'!$AB$2:$AB$59,"&gt;=4",'Raw_Data'!$AB$2:$AB$59,"&lt;=5",'Raw_Data'!$A$2:$A$59,"Yes",'Raw_Data'!$D$2:$D$59,"ERและเปล",'Raw_Data'!$E$2:$E$59,"สายสนับสนุนทั่วไป")/COUNTIFS('Raw_Data'!$AB$2:$AB$59,"&gt;=1",'Raw_Data'!$AB$2:$AB$59,"&lt;=5",'Raw_Data'!$A$2:$A$59,"Yes",'Raw_Data'!$D$2:$D$59,"ERและเปล",'Raw_Data'!$E$2:$E$59,"สายสนับสนุนทั่วไป"),"")</x:f>
        <x:v>33.333333333333336</x:v>
      </x:c>
      <x:c r="AJ25" s="131" t="n">
        <x:f>IFERROR(100*COUNTIFS('Raw_Data'!$AB$2:$AB$59,"&gt;=4",'Raw_Data'!$AB$2:$AB$59,"&lt;=5",'Raw_Data'!$A$2:$A$59,"Yes",'Raw_Data'!$D$2:$D$59,"HR",'Raw_Data'!$E$2:$E$59,"สายสนับสนุนทั่วไป")/COUNTIFS('Raw_Data'!$AB$2:$AB$59,"&gt;=1",'Raw_Data'!$AB$2:$AB$59,"&lt;=5",'Raw_Data'!$A$2:$A$59,"Yes",'Raw_Data'!$D$2:$D$59,"HR",'Raw_Data'!$E$2:$E$59,"สายสนับสนุนทั่วไป"),"")</x:f>
        <x:v>100</x:v>
      </x:c>
      <x:c r="AK25" s="131" t="n">
        <x:f>IFERROR(100*COUNTIFS('Raw_Data'!$AB$2:$AB$59,"&gt;=4",'Raw_Data'!$AB$2:$AB$59,"&lt;=5",'Raw_Data'!$A$2:$A$59,"Yes",'Raw_Data'!$D$2:$D$59,"ICU",'Raw_Data'!$E$2:$E$59,"สายสนับสนุนทั่วไป")/COUNTIFS('Raw_Data'!$AB$2:$AB$59,"&gt;=1",'Raw_Data'!$AB$2:$AB$59,"&lt;=5",'Raw_Data'!$A$2:$A$59,"Yes",'Raw_Data'!$D$2:$D$59,"ICU",'Raw_Data'!$E$2:$E$59,"สายสนับสนุนทั่วไป"),"")</x:f>
        <x:v>0</x:v>
      </x:c>
      <x:c r="AL25" s="131" t="n">
        <x:f>IFERROR(100*COUNTIFS('Raw_Data'!$AB$2:$AB$59,"&gt;=4",'Raw_Data'!$AB$2:$AB$59,"&lt;=5",'Raw_Data'!$A$2:$A$59,"Yes",'Raw_Data'!$D$2:$D$59,"IPD",'Raw_Data'!$E$2:$E$59,"สายสนับสนุนทั่วไป")/COUNTIFS('Raw_Data'!$AB$2:$AB$59,"&gt;=1",'Raw_Data'!$AB$2:$AB$59,"&lt;=5",'Raw_Data'!$A$2:$A$59,"Yes",'Raw_Data'!$D$2:$D$59,"IPD",'Raw_Data'!$E$2:$E$59,"สายสนับสนุนทั่วไป"),"")</x:f>
        <x:v>0</x:v>
      </x:c>
      <x:c r="AM25" s="131" t="n">
        <x:f>IFERROR(100*COUNTIFS('Raw_Data'!$AB$2:$AB$59,"&gt;=4",'Raw_Data'!$AB$2:$AB$59,"&lt;=5",'Raw_Data'!$A$2:$A$59,"Yes",'Raw_Data'!$D$2:$D$59,"IT",'Raw_Data'!$E$2:$E$59,"สายสนับสนุนทั่วไป")/COUNTIFS('Raw_Data'!$AB$2:$AB$59,"&gt;=1",'Raw_Data'!$AB$2:$AB$59,"&lt;=5",'Raw_Data'!$A$2:$A$59,"Yes",'Raw_Data'!$D$2:$D$59,"IT",'Raw_Data'!$E$2:$E$59,"สายสนับสนุนทั่วไป"),"")</x:f>
        <x:v>100</x:v>
      </x:c>
      <x:c r="AN25" s="131" t="n">
        <x:f>IFERROR(100*COUNTIFS('Raw_Data'!$AB$2:$AB$59,"&gt;=4",'Raw_Data'!$AB$2:$AB$59,"&lt;=5",'Raw_Data'!$A$2:$A$59,"Yes",'Raw_Data'!$D$2:$D$59,"ผู้ป่วยสัมพันธ์",'Raw_Data'!$E$2:$E$59,"สายสนับสนุนทางการแพทย์")/COUNTIFS('Raw_Data'!$AB$2:$AB$59,"&gt;=1",'Raw_Data'!$AB$2:$AB$59,"&lt;=5",'Raw_Data'!$A$2:$A$59,"Yes",'Raw_Data'!$D$2:$D$59,"ผู้ป่วยสัมพันธ์",'Raw_Data'!$E$2:$E$59,"สายสนับสนุนทางการแพทย์"),"")</x:f>
        <x:v>66.66666666666667</x:v>
      </x:c>
      <x:c r="AO25" s="131" t="n">
        <x:f>IFERROR(100*COUNTIFS('Raw_Data'!$AB$2:$AB$59,"&gt;=4",'Raw_Data'!$AB$2:$AB$59,"&lt;=5",'Raw_Data'!$A$2:$A$59,"Yes",'Raw_Data'!$D$2:$D$59,"ฝ่ายการพยาบาล",'Raw_Data'!$E$2:$E$59,"สายสนับสนุนทางการแพทย์")/COUNTIFS('Raw_Data'!$AB$2:$AB$59,"&gt;=1",'Raw_Data'!$AB$2:$AB$59,"&lt;=5",'Raw_Data'!$A$2:$A$59,"Yes",'Raw_Data'!$D$2:$D$59,"ฝ่ายการพยาบาล",'Raw_Data'!$E$2:$E$59,"สายสนับสนุนทางการแพทย์"),"")</x:f>
        <x:v>100</x:v>
      </x:c>
      <x:c r="AP25" s="131" t="n">
        <x:f>IFERROR(100*COUNTIFS('Raw_Data'!$AB$2:$AB$59,"&gt;=4",'Raw_Data'!$AB$2:$AB$59,"&lt;=5",'Raw_Data'!$A$2:$A$59,"Yes",'Raw_Data'!$D$2:$D$59,"โภชนาการ",'Raw_Data'!$E$2:$E$59,"สายสนับสนุนทางการแพทย์")/COUNTIFS('Raw_Data'!$AB$2:$AB$59,"&gt;=1",'Raw_Data'!$AB$2:$AB$59,"&lt;=5",'Raw_Data'!$A$2:$A$59,"Yes",'Raw_Data'!$D$2:$D$59,"โภชนาการ",'Raw_Data'!$E$2:$E$59,"สายสนับสนุนทางการแพทย์"),"")</x:f>
        <x:v>0</x:v>
      </x:c>
      <x:c r="AQ25" s="131" t="n">
        <x:f>IFERROR(100*COUNTIFS('Raw_Data'!$AB$2:$AB$59,"&gt;=4",'Raw_Data'!$AB$2:$AB$59,"&lt;=5",'Raw_Data'!$A$2:$A$59,"Yes",'Raw_Data'!$D$2:$D$59,"ห้องยา",'Raw_Data'!$E$2:$E$59,"สายสนับสนุนทางการแพทย์")/COUNTIFS('Raw_Data'!$AB$2:$AB$59,"&gt;=1",'Raw_Data'!$AB$2:$AB$59,"&lt;=5",'Raw_Data'!$A$2:$A$59,"Yes",'Raw_Data'!$D$2:$D$59,"ห้องยา",'Raw_Data'!$E$2:$E$59,"สายสนับสนุนทางการแพทย์"),"")</x:f>
        <x:v>100</x:v>
      </x:c>
      <x:c r="AR25" s="131" t="n">
        <x:f>IFERROR(100*COUNTIFS('Raw_Data'!$AB$2:$AB$59,"&gt;=4",'Raw_Data'!$AB$2:$AB$59,"&lt;=5",'Raw_Data'!$A$2:$A$59,"Yes",'Raw_Data'!$D$2:$D$59,"ห้องแลป",'Raw_Data'!$E$2:$E$59,"สายสนับสนุนทางการแพทย์")/COUNTIFS('Raw_Data'!$AB$2:$AB$59,"&gt;=1",'Raw_Data'!$AB$2:$AB$59,"&lt;=5",'Raw_Data'!$A$2:$A$59,"Yes",'Raw_Data'!$D$2:$D$59,"ห้องแลป",'Raw_Data'!$E$2:$E$59,"สายสนับสนุนทางการแพทย์"),"")</x:f>
        <x:v>50</x:v>
      </x:c>
      <x:c r="AS25" s="131" t="n">
        <x:f>IFERROR(100*COUNTIFS('Raw_Data'!$AB$2:$AB$59,"&gt;=4",'Raw_Data'!$AB$2:$AB$59,"&lt;=5",'Raw_Data'!$A$2:$A$59,"Yes",'Raw_Data'!$D$2:$D$59,"ห้องเอ็กซเรย์",'Raw_Data'!$E$2:$E$59,"สายสนับสนุนทางการแพทย์")/COUNTIFS('Raw_Data'!$AB$2:$AB$59,"&gt;=1",'Raw_Data'!$AB$2:$AB$59,"&lt;=5",'Raw_Data'!$A$2:$A$59,"Yes",'Raw_Data'!$D$2:$D$59,"ห้องเอ็กซเรย์",'Raw_Data'!$E$2:$E$59,"สายสนับสนุนทางการแพทย์"),"")</x:f>
        <x:v>0</x:v>
      </x:c>
      <x:c r="AT25" s="131" t="n">
        <x:f>IFERROR(100*COUNTIFS('Raw_Data'!$AB$2:$AB$59,"&gt;=4",'Raw_Data'!$AB$2:$AB$59,"&lt;=5",'Raw_Data'!$A$2:$A$59,"Yes",'Raw_Data'!$D$2:$D$59,"ERและเปล",'Raw_Data'!$E$2:$E$59,"สายสนับสนุนทางการแพทย์")/COUNTIFS('Raw_Data'!$AB$2:$AB$59,"&gt;=1",'Raw_Data'!$AB$2:$AB$59,"&lt;=5",'Raw_Data'!$A$2:$A$59,"Yes",'Raw_Data'!$D$2:$D$59,"ERและเปล",'Raw_Data'!$E$2:$E$59,"สายสนับสนุนทางการแพทย์"),"")</x:f>
        <x:v>0</x:v>
      </x:c>
      <x:c r="AU25" s="131" t="n">
        <x:f>IFERROR(100*COUNTIFS('Raw_Data'!$AB$2:$AB$59,"&gt;=4",'Raw_Data'!$AB$2:$AB$59,"&lt;=5",'Raw_Data'!$A$2:$A$59,"Yes",'Raw_Data'!$D$2:$D$59,"ICU",'Raw_Data'!$E$2:$E$59,"สายสนับสนุนทางการแพทย์")/COUNTIFS('Raw_Data'!$AB$2:$AB$59,"&gt;=1",'Raw_Data'!$AB$2:$AB$59,"&lt;=5",'Raw_Data'!$A$2:$A$59,"Yes",'Raw_Data'!$D$2:$D$59,"ICU",'Raw_Data'!$E$2:$E$59,"สายสนับสนุนทางการแพทย์"),"")</x:f>
        <x:v>100</x:v>
      </x:c>
      <x:c r="AV25" s="131" t="n">
        <x:f>IFERROR(100*COUNTIFS('Raw_Data'!$AB$2:$AB$59,"&gt;=4",'Raw_Data'!$AB$2:$AB$59,"&lt;=5",'Raw_Data'!$A$2:$A$59,"Yes",'Raw_Data'!$D$2:$D$59,"IPD",'Raw_Data'!$E$2:$E$59,"สายสนับสนุนทางการแพทย์")/COUNTIFS('Raw_Data'!$AB$2:$AB$59,"&gt;=1",'Raw_Data'!$AB$2:$AB$59,"&lt;=5",'Raw_Data'!$A$2:$A$59,"Yes",'Raw_Data'!$D$2:$D$59,"IPD",'Raw_Data'!$E$2:$E$59,"สายสนับสนุนทางการแพทย์"),"")</x:f>
        <x:v>50</x:v>
      </x:c>
      <x:c r="AW25" s="131" t="n">
        <x:f>IFERROR(100*COUNTIFS('Raw_Data'!$AB$2:$AB$59,"&gt;=4",'Raw_Data'!$AB$2:$AB$59,"&lt;=5",'Raw_Data'!$A$2:$A$59,"Yes",'Raw_Data'!$D$2:$D$59,"IT",'Raw_Data'!$E$2:$E$59,"สายสนับสนุนทางการแพทย์")/COUNTIFS('Raw_Data'!$AB$2:$AB$59,"&gt;=1",'Raw_Data'!$AB$2:$AB$59,"&lt;=5",'Raw_Data'!$A$2:$A$59,"Yes",'Raw_Data'!$D$2:$D$59,"IT",'Raw_Data'!$E$2:$E$59,"สายสนับสนุนทางการแพทย์"),"")</x:f>
        <x:v>100</x:v>
      </x:c>
    </x:row>
    <x:row r="26" ht="42" customHeight="1">
      <x:c r="A26" s="123"/>
      <x:c r="B26" s="124" t="str">
        <x:v>C6. เมื่อบุคลากรของหน่วยงานที่ฉันปฏิบัติงานอยู่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หรือบทบาทหน้าที่สูงกว่าเปิดกว้างในการรับฟัง</x:v>
      </x:c>
      <x:c r="C26" s="131" t="n">
        <x:f>IFERROR(100*COUNTIFS('Raw_Data'!$AC$2:$AC$59,"&gt;=4",'Raw_Data'!$AC$2:$AC$59,"&lt;=5",'Raw_Data'!$A$2:$A$59,"Yes")/COUNTIFS('Raw_Data'!$AC$2:$AC$59,"&gt;=1",'Raw_Data'!$AC$2:$AC$59,"&lt;=5",'Raw_Data'!$A$2:$A$59,"Yes"),"")</x:f>
        <x:v>55.172413793103445</x:v>
      </x:c>
      <x:c r="D26" s="131" t="n">
        <x:f>IFERROR(100*COUNTIFS('Raw_Data'!$AC$2:$AC$59,"&gt;=4",'Raw_Data'!$AC$2:$AC$59,"&lt;=5",'Raw_Data'!$A$2:$A$59,"Yes",'Raw_Data'!$D$2:$D$59,"การเงิน")/COUNTIFS('Raw_Data'!$AC$2:$AC$59,"&gt;=1",'Raw_Data'!$AC$2:$AC$59,"&lt;=5",'Raw_Data'!$A$2:$A$59,"Yes",'Raw_Data'!$D$2:$D$59,"การเงิน"),"")</x:f>
        <x:v>33.333333333333336</x:v>
      </x:c>
      <x:c r="E26" s="131" t="n">
        <x:f>IFERROR(100*COUNTIFS('Raw_Data'!$AC$2:$AC$59,"&gt;=4",'Raw_Data'!$AC$2:$AC$59,"&lt;=5",'Raw_Data'!$A$2:$A$59,"Yes",'Raw_Data'!$D$2:$D$59,"เคหรักษ์")/COUNTIFS('Raw_Data'!$AC$2:$AC$59,"&gt;=1",'Raw_Data'!$AC$2:$AC$59,"&lt;=5",'Raw_Data'!$A$2:$A$59,"Yes",'Raw_Data'!$D$2:$D$59,"เคหรักษ์"),"")</x:f>
        <x:v>50</x:v>
      </x:c>
      <x:c r="F26" s="131" t="n">
        <x:f>IFERROR(100*COUNTIFS('Raw_Data'!$AC$2:$AC$59,"&gt;=4",'Raw_Data'!$AC$2:$AC$59,"&lt;=5",'Raw_Data'!$A$2:$A$59,"Yes",'Raw_Data'!$D$2:$D$59,"จ่ายกลาง")/COUNTIFS('Raw_Data'!$AC$2:$AC$59,"&gt;=1",'Raw_Data'!$AC$2:$AC$59,"&lt;=5",'Raw_Data'!$A$2:$A$59,"Yes",'Raw_Data'!$D$2:$D$59,"จ่ายกลาง"),"")</x:f>
        <x:v>100</x:v>
      </x:c>
      <x:c r="G26" s="131" t="n">
        <x:f>IFERROR(100*COUNTIFS('Raw_Data'!$AC$2:$AC$59,"&gt;=4",'Raw_Data'!$AC$2:$AC$59,"&lt;=5",'Raw_Data'!$A$2:$A$59,"Yes",'Raw_Data'!$D$2:$D$59,"ช่างและสนาม")/COUNTIFS('Raw_Data'!$AC$2:$AC$59,"&gt;=1",'Raw_Data'!$AC$2:$AC$59,"&lt;=5",'Raw_Data'!$A$2:$A$59,"Yes",'Raw_Data'!$D$2:$D$59,"ช่างและสนาม"),"")</x:f>
        <x:v>50</x:v>
      </x:c>
      <x:c r="H26" s="131" t="n">
        <x:f>IFERROR(100*COUNTIFS('Raw_Data'!$AC$2:$AC$59,"&gt;=4",'Raw_Data'!$AC$2:$AC$59,"&lt;=5",'Raw_Data'!$A$2:$A$59,"Yes",'Raw_Data'!$D$2:$D$59,"ผู้ป่วยสัมพันธ์")/COUNTIFS('Raw_Data'!$AC$2:$AC$59,"&gt;=1",'Raw_Data'!$AC$2:$AC$59,"&lt;=5",'Raw_Data'!$A$2:$A$59,"Yes",'Raw_Data'!$D$2:$D$59,"ผู้ป่วยสัมพันธ์"),"")</x:f>
        <x:v>75</x:v>
      </x:c>
      <x:c r="I26" s="131" t="n">
        <x:f>IFERROR(100*COUNTIFS('Raw_Data'!$AC$2:$AC$59,"&gt;=4",'Raw_Data'!$AC$2:$AC$59,"&lt;=5",'Raw_Data'!$A$2:$A$59,"Yes",'Raw_Data'!$D$2:$D$59,"ฝ่ายการพยาบาล")/COUNTIFS('Raw_Data'!$AC$2:$AC$59,"&gt;=1",'Raw_Data'!$AC$2:$AC$59,"&lt;=5",'Raw_Data'!$A$2:$A$59,"Yes",'Raw_Data'!$D$2:$D$59,"ฝ่ายการพยาบาล"),"")</x:f>
        <x:v>100</x:v>
      </x:c>
      <x:c r="J26" s="131" t="n">
        <x:f>IFERROR(100*COUNTIFS('Raw_Data'!$AC$2:$AC$59,"&gt;=4",'Raw_Data'!$AC$2:$AC$59,"&lt;=5",'Raw_Data'!$A$2:$A$59,"Yes",'Raw_Data'!$D$2:$D$59,"โภชนาการ")/COUNTIFS('Raw_Data'!$AC$2:$AC$59,"&gt;=1",'Raw_Data'!$AC$2:$AC$59,"&lt;=5",'Raw_Data'!$A$2:$A$59,"Yes",'Raw_Data'!$D$2:$D$59,"โภชนาการ"),"")</x:f>
        <x:v>100</x:v>
      </x:c>
      <x:c r="K26" s="131" t="n">
        <x:f>IFERROR(100*COUNTIFS('Raw_Data'!$AC$2:$AC$59,"&gt;=4",'Raw_Data'!$AC$2:$AC$59,"&lt;=5",'Raw_Data'!$A$2:$A$59,"Yes",'Raw_Data'!$D$2:$D$59,"ยานพาหนะ")/COUNTIFS('Raw_Data'!$AC$2:$AC$59,"&gt;=1",'Raw_Data'!$AC$2:$AC$59,"&lt;=5",'Raw_Data'!$A$2:$A$59,"Yes",'Raw_Data'!$D$2:$D$59,"ยานพาหนะ"),"")</x:f>
        <x:v>100</x:v>
      </x:c>
      <x:c r="L26" s="131" t="n">
        <x:f>IFERROR(100*COUNTIFS('Raw_Data'!$AC$2:$AC$59,"&gt;=4",'Raw_Data'!$AC$2:$AC$59,"&lt;=5",'Raw_Data'!$A$2:$A$59,"Yes",'Raw_Data'!$D$2:$D$59,"สื่อสารการตลาด")/COUNTIFS('Raw_Data'!$AC$2:$AC$59,"&gt;=1",'Raw_Data'!$AC$2:$AC$59,"&lt;=5",'Raw_Data'!$A$2:$A$59,"Yes",'Raw_Data'!$D$2:$D$59,"สื่อสารการตลาด"),"")</x:f>
        <x:v>0</x:v>
      </x:c>
      <x:c r="M26" s="131" t="n">
        <x:f>IFERROR(100*COUNTIFS('Raw_Data'!$AC$2:$AC$59,"&gt;=4",'Raw_Data'!$AC$2:$AC$59,"&lt;=5",'Raw_Data'!$A$2:$A$59,"Yes",'Raw_Data'!$D$2:$D$59,"ห้องยา")/COUNTIFS('Raw_Data'!$AC$2:$AC$59,"&gt;=1",'Raw_Data'!$AC$2:$AC$59,"&lt;=5",'Raw_Data'!$A$2:$A$59,"Yes",'Raw_Data'!$D$2:$D$59,"ห้องยา"),"")</x:f>
        <x:v>100</x:v>
      </x:c>
      <x:c r="N26" s="131" t="n">
        <x:f>IFERROR(100*COUNTIFS('Raw_Data'!$AC$2:$AC$59,"&gt;=4",'Raw_Data'!$AC$2:$AC$59,"&lt;=5",'Raw_Data'!$A$2:$A$59,"Yes",'Raw_Data'!$D$2:$D$59,"ห้องแลป")/COUNTIFS('Raw_Data'!$AC$2:$AC$59,"&gt;=1",'Raw_Data'!$AC$2:$AC$59,"&lt;=5",'Raw_Data'!$A$2:$A$59,"Yes",'Raw_Data'!$D$2:$D$59,"ห้องแลป"),"")</x:f>
        <x:v>50</x:v>
      </x:c>
      <x:c r="O26" s="131" t="n">
        <x:f>IFERROR(100*COUNTIFS('Raw_Data'!$AC$2:$AC$59,"&gt;=4",'Raw_Data'!$AC$2:$AC$59,"&lt;=5",'Raw_Data'!$A$2:$A$59,"Yes",'Raw_Data'!$D$2:$D$59,"ห้องเอ็กซเรย์")/COUNTIFS('Raw_Data'!$AC$2:$AC$59,"&gt;=1",'Raw_Data'!$AC$2:$AC$59,"&lt;=5",'Raw_Data'!$A$2:$A$59,"Yes",'Raw_Data'!$D$2:$D$59,"ห้องเอ็กซเรย์"),"")</x:f>
        <x:v>66.66666666666667</x:v>
      </x:c>
      <x:c r="P26" s="131" t="n">
        <x:f>IFERROR(100*COUNTIFS('Raw_Data'!$AC$2:$AC$59,"&gt;=4",'Raw_Data'!$AC$2:$AC$59,"&lt;=5",'Raw_Data'!$A$2:$A$59,"Yes",'Raw_Data'!$D$2:$D$59,"ERและเปล")/COUNTIFS('Raw_Data'!$AC$2:$AC$59,"&gt;=1",'Raw_Data'!$AC$2:$AC$59,"&lt;=5",'Raw_Data'!$A$2:$A$59,"Yes",'Raw_Data'!$D$2:$D$59,"ERและเปล"),"")</x:f>
        <x:v>27.272727272727273</x:v>
      </x:c>
      <x:c r="Q26" s="131" t="n">
        <x:f>IFERROR(100*COUNTIFS('Raw_Data'!$AC$2:$AC$59,"&gt;=4",'Raw_Data'!$AC$2:$AC$59,"&lt;=5",'Raw_Data'!$A$2:$A$59,"Yes",'Raw_Data'!$D$2:$D$59,"HR")/COUNTIFS('Raw_Data'!$AC$2:$AC$59,"&gt;=1",'Raw_Data'!$AC$2:$AC$59,"&lt;=5",'Raw_Data'!$A$2:$A$59,"Yes",'Raw_Data'!$D$2:$D$59,"HR"),"")</x:f>
        <x:v>0</x:v>
      </x:c>
      <x:c r="R26" s="131" t="n">
        <x:f>IFERROR(100*COUNTIFS('Raw_Data'!$AC$2:$AC$59,"&gt;=4",'Raw_Data'!$AC$2:$AC$59,"&lt;=5",'Raw_Data'!$A$2:$A$59,"Yes",'Raw_Data'!$D$2:$D$59,"ICU")/COUNTIFS('Raw_Data'!$AC$2:$AC$59,"&gt;=1",'Raw_Data'!$AC$2:$AC$59,"&lt;=5",'Raw_Data'!$A$2:$A$59,"Yes",'Raw_Data'!$D$2:$D$59,"ICU"),"")</x:f>
        <x:v>50</x:v>
      </x:c>
      <x:c r="S26" s="131" t="n">
        <x:f>IFERROR(100*COUNTIFS('Raw_Data'!$AC$2:$AC$59,"&gt;=4",'Raw_Data'!$AC$2:$AC$59,"&lt;=5",'Raw_Data'!$A$2:$A$59,"Yes",'Raw_Data'!$D$2:$D$59,"IPD")/COUNTIFS('Raw_Data'!$AC$2:$AC$59,"&gt;=1",'Raw_Data'!$AC$2:$AC$59,"&lt;=5",'Raw_Data'!$A$2:$A$59,"Yes",'Raw_Data'!$D$2:$D$59,"IPD"),"")</x:f>
        <x:v>66.66666666666667</x:v>
      </x:c>
      <x:c r="T26" s="131" t="n">
        <x:f>IFERROR(100*COUNTIFS('Raw_Data'!$AC$2:$AC$59,"&gt;=4",'Raw_Data'!$AC$2:$AC$59,"&lt;=5",'Raw_Data'!$A$2:$A$59,"Yes",'Raw_Data'!$D$2:$D$59,"IT")/COUNTIFS('Raw_Data'!$AC$2:$AC$59,"&gt;=1",'Raw_Data'!$AC$2:$AC$59,"&lt;=5",'Raw_Data'!$A$2:$A$59,"Yes",'Raw_Data'!$D$2:$D$59,"IT"),"")</x:f>
        <x:v>100</x:v>
      </x:c>
      <x:c r="U26" s="131" t="n">
        <x:f>IFERROR(100*COUNTIFS('Raw_Data'!$AC$2:$AC$59,"&gt;=4",'Raw_Data'!$AC$2:$AC$59,"&lt;=5",'Raw_Data'!$A$2:$A$59,"Yes",'Raw_Data'!$D$2:$D$59,"OR")/COUNTIFS('Raw_Data'!$AC$2:$AC$59,"&gt;=1",'Raw_Data'!$AC$2:$AC$59,"&lt;=5",'Raw_Data'!$A$2:$A$59,"Yes",'Raw_Data'!$D$2:$D$59,"OR"),"")</x:f>
        <x:v>0</x:v>
      </x:c>
      <x:c r="V26" s="131" t="n">
        <x:f>IFERROR(100*COUNTIFS('Raw_Data'!$AC$2:$AC$59,"&gt;=4",'Raw_Data'!$AC$2:$AC$59,"&lt;=5",'Raw_Data'!$A$2:$A$59,"Yes",'Raw_Data'!$D$2:$D$59,"IPD",'Raw_Data'!$E$2:$E$59,"ผู้บริหาร")/COUNTIFS('Raw_Data'!$AC$2:$AC$59,"&gt;=1",'Raw_Data'!$AC$2:$AC$59,"&lt;=5",'Raw_Data'!$A$2:$A$59,"Yes",'Raw_Data'!$D$2:$D$59,"IPD",'Raw_Data'!$E$2:$E$59,"ผู้บริหาร"),"")</x:f>
        <x:v>100</x:v>
      </x:c>
      <x:c r="W26" s="131" t="n">
        <x:f>IFERROR(100*COUNTIFS('Raw_Data'!$AC$2:$AC$59,"&gt;=4",'Raw_Data'!$AC$2:$AC$59,"&lt;=5",'Raw_Data'!$A$2:$A$59,"Yes",'Raw_Data'!$D$2:$D$59,"ฝ่ายการพยาบาล",'Raw_Data'!$E$2:$E$59,"สายวิชาชีพสาธารณสุข")/COUNTIFS('Raw_Data'!$AC$2:$AC$59,"&gt;=1",'Raw_Data'!$AC$2:$AC$59,"&lt;=5",'Raw_Data'!$A$2:$A$59,"Yes",'Raw_Data'!$D$2:$D$59,"ฝ่ายการพยาบาล",'Raw_Data'!$E$2:$E$59,"สายวิชาชีพสาธารณสุข"),"")</x:f>
        <x:v>100</x:v>
      </x:c>
      <x:c r="X26" s="131" t="n">
        <x:f>IFERROR(100*COUNTIFS('Raw_Data'!$AC$2:$AC$59,"&gt;=4",'Raw_Data'!$AC$2:$AC$59,"&lt;=5",'Raw_Data'!$A$2:$A$59,"Yes",'Raw_Data'!$D$2:$D$59,"ERและเปล",'Raw_Data'!$E$2:$E$59,"สายวิชาชีพสาธารณสุข")/COUNTIFS('Raw_Data'!$AC$2:$AC$59,"&gt;=1",'Raw_Data'!$AC$2:$AC$59,"&lt;=5",'Raw_Data'!$A$2:$A$59,"Yes",'Raw_Data'!$D$2:$D$59,"ERและเปล",'Raw_Data'!$E$2:$E$59,"สายวิชาชีพสาธารณสุข"),"")</x:f>
        <x:v>28.571428571428573</x:v>
      </x:c>
      <x:c r="Y26" s="131" t="n">
        <x:f>IFERROR(100*COUNTIFS('Raw_Data'!$AC$2:$AC$59,"&gt;=4",'Raw_Data'!$AC$2:$AC$59,"&lt;=5",'Raw_Data'!$A$2:$A$59,"Yes",'Raw_Data'!$D$2:$D$59,"ICU",'Raw_Data'!$E$2:$E$59,"สายวิชาชีพสาธารณสุข")/COUNTIFS('Raw_Data'!$AC$2:$AC$59,"&gt;=1",'Raw_Data'!$AC$2:$AC$59,"&lt;=5",'Raw_Data'!$A$2:$A$59,"Yes",'Raw_Data'!$D$2:$D$59,"ICU",'Raw_Data'!$E$2:$E$59,"สายวิชาชีพสาธารณสุข"),"")</x:f>
        <x:v>50</x:v>
      </x:c>
      <x:c r="Z26" s="131" t="n">
        <x:f>IFERROR(100*COUNTIFS('Raw_Data'!$AC$2:$AC$59,"&gt;=4",'Raw_Data'!$AC$2:$AC$59,"&lt;=5",'Raw_Data'!$A$2:$A$59,"Yes",'Raw_Data'!$D$2:$D$59,"IPD",'Raw_Data'!$E$2:$E$59,"สายวิชาชีพสาธารณสุข")/COUNTIFS('Raw_Data'!$AC$2:$AC$59,"&gt;=1",'Raw_Data'!$AC$2:$AC$59,"&lt;=5",'Raw_Data'!$A$2:$A$59,"Yes",'Raw_Data'!$D$2:$D$59,"IPD",'Raw_Data'!$E$2:$E$59,"สายวิชาชีพสาธารณสุข"),"")</x:f>
        <x:v>100</x:v>
      </x:c>
      <x:c r="AA26" s="131" t="n">
        <x:f>IFERROR(100*COUNTIFS('Raw_Data'!$AC$2:$AC$59,"&gt;=4",'Raw_Data'!$AC$2:$AC$59,"&lt;=5",'Raw_Data'!$A$2:$A$59,"Yes",'Raw_Data'!$D$2:$D$59,"OR",'Raw_Data'!$E$2:$E$59,"สายวิชาชีพสาธารณสุข")/COUNTIFS('Raw_Data'!$AC$2:$AC$59,"&gt;=1",'Raw_Data'!$AC$2:$AC$59,"&lt;=5",'Raw_Data'!$A$2:$A$59,"Yes",'Raw_Data'!$D$2:$D$59,"OR",'Raw_Data'!$E$2:$E$59,"สายวิชาชีพสาธารณสุข"),"")</x:f>
        <x:v>0</x:v>
      </x:c>
      <x:c r="AB26" s="131" t="n">
        <x:f>IFERROR(100*COUNTIFS('Raw_Data'!$AC$2:$AC$59,"&gt;=4",'Raw_Data'!$AC$2:$AC$59,"&lt;=5",'Raw_Data'!$A$2:$A$59,"Yes",'Raw_Data'!$D$2:$D$59,"การเงิน",'Raw_Data'!$E$2:$E$59,"สายสนับสนุนทั่วไป")/COUNTIFS('Raw_Data'!$AC$2:$AC$59,"&gt;=1",'Raw_Data'!$AC$2:$AC$59,"&lt;=5",'Raw_Data'!$A$2:$A$59,"Yes",'Raw_Data'!$D$2:$D$59,"การเงิน",'Raw_Data'!$E$2:$E$59,"สายสนับสนุนทั่วไป"),"")</x:f>
        <x:v>33.333333333333336</x:v>
      </x:c>
      <x:c r="AC26" s="131" t="n">
        <x:f>IFERROR(100*COUNTIFS('Raw_Data'!$AC$2:$AC$59,"&gt;=4",'Raw_Data'!$AC$2:$AC$59,"&lt;=5",'Raw_Data'!$A$2:$A$59,"Yes",'Raw_Data'!$D$2:$D$59,"เคหรักษ์",'Raw_Data'!$E$2:$E$59,"สายสนับสนุนทั่วไป")/COUNTIFS('Raw_Data'!$AC$2:$AC$59,"&gt;=1",'Raw_Data'!$AC$2:$AC$59,"&lt;=5",'Raw_Data'!$A$2:$A$59,"Yes",'Raw_Data'!$D$2:$D$59,"เคหรักษ์",'Raw_Data'!$E$2:$E$59,"สายสนับสนุนทั่วไป"),"")</x:f>
        <x:v>50</x:v>
      </x:c>
      <x:c r="AD26" s="131" t="n">
        <x:f>IFERROR(100*COUNTIFS('Raw_Data'!$AC$2:$AC$59,"&gt;=4",'Raw_Data'!$AC$2:$AC$59,"&lt;=5",'Raw_Data'!$A$2:$A$59,"Yes",'Raw_Data'!$D$2:$D$59,"จ่ายกลาง",'Raw_Data'!$E$2:$E$59,"สายสนับสนุนทั่วไป")/COUNTIFS('Raw_Data'!$AC$2:$AC$59,"&gt;=1",'Raw_Data'!$AC$2:$AC$59,"&lt;=5",'Raw_Data'!$A$2:$A$59,"Yes",'Raw_Data'!$D$2:$D$59,"จ่ายกลาง",'Raw_Data'!$E$2:$E$59,"สายสนับสนุนทั่วไป"),"")</x:f>
        <x:v>100</x:v>
      </x:c>
      <x:c r="AE26" s="131" t="n">
        <x:f>IFERROR(100*COUNTIFS('Raw_Data'!$AC$2:$AC$59,"&gt;=4",'Raw_Data'!$AC$2:$AC$59,"&lt;=5",'Raw_Data'!$A$2:$A$59,"Yes",'Raw_Data'!$D$2:$D$59,"ช่างและสนาม",'Raw_Data'!$E$2:$E$59,"สายสนับสนุนทั่วไป")/COUNTIFS('Raw_Data'!$AC$2:$AC$59,"&gt;=1",'Raw_Data'!$AC$2:$AC$59,"&lt;=5",'Raw_Data'!$A$2:$A$59,"Yes",'Raw_Data'!$D$2:$D$59,"ช่างและสนาม",'Raw_Data'!$E$2:$E$59,"สายสนับสนุนทั่วไป"),"")</x:f>
        <x:v>50</x:v>
      </x:c>
      <x:c r="AF26" s="131" t="n">
        <x:f>IFERROR(100*COUNTIFS('Raw_Data'!$AC$2:$AC$59,"&gt;=4",'Raw_Data'!$AC$2:$AC$59,"&lt;=5",'Raw_Data'!$A$2:$A$59,"Yes",'Raw_Data'!$D$2:$D$59,"ผู้ป่วยสัมพันธ์",'Raw_Data'!$E$2:$E$59,"สายสนับสนุนทั่วไป")/COUNTIFS('Raw_Data'!$AC$2:$AC$59,"&gt;=1",'Raw_Data'!$AC$2:$AC$59,"&lt;=5",'Raw_Data'!$A$2:$A$59,"Yes",'Raw_Data'!$D$2:$D$59,"ผู้ป่วยสัมพันธ์",'Raw_Data'!$E$2:$E$59,"สายสนับสนุนทั่วไป"),"")</x:f>
        <x:v>100</x:v>
      </x:c>
      <x:c r="AG26" s="131" t="n">
        <x:f>IFERROR(100*COUNTIFS('Raw_Data'!$AC$2:$AC$59,"&gt;=4",'Raw_Data'!$AC$2:$AC$59,"&lt;=5",'Raw_Data'!$A$2:$A$59,"Yes",'Raw_Data'!$D$2:$D$59,"ยานพาหนะ",'Raw_Data'!$E$2:$E$59,"สายสนับสนุนทั่วไป")/COUNTIFS('Raw_Data'!$AC$2:$AC$59,"&gt;=1",'Raw_Data'!$AC$2:$AC$59,"&lt;=5",'Raw_Data'!$A$2:$A$59,"Yes",'Raw_Data'!$D$2:$D$59,"ยานพาหนะ",'Raw_Data'!$E$2:$E$59,"สายสนับสนุนทั่วไป"),"")</x:f>
        <x:v>100</x:v>
      </x:c>
      <x:c r="AH26" s="131" t="n">
        <x:f>IFERROR(100*COUNTIFS('Raw_Data'!$AC$2:$AC$59,"&gt;=4",'Raw_Data'!$AC$2:$AC$59,"&lt;=5",'Raw_Data'!$A$2:$A$59,"Yes",'Raw_Data'!$D$2:$D$59,"สื่อสารการตลาด",'Raw_Data'!$E$2:$E$59,"สายสนับสนุนทั่วไป")/COUNTIFS('Raw_Data'!$AC$2:$AC$59,"&gt;=1",'Raw_Data'!$AC$2:$AC$59,"&lt;=5",'Raw_Data'!$A$2:$A$59,"Yes",'Raw_Data'!$D$2:$D$59,"สื่อสารการตลาด",'Raw_Data'!$E$2:$E$59,"สายสนับสนุนทั่วไป"),"")</x:f>
        <x:v>0</x:v>
      </x:c>
      <x:c r="AI26" s="131" t="n">
        <x:f>IFERROR(100*COUNTIFS('Raw_Data'!$AC$2:$AC$59,"&gt;=4",'Raw_Data'!$AC$2:$AC$59,"&lt;=5",'Raw_Data'!$A$2:$A$59,"Yes",'Raw_Data'!$D$2:$D$59,"ERและเปล",'Raw_Data'!$E$2:$E$59,"สายสนับสนุนทั่วไป")/COUNTIFS('Raw_Data'!$AC$2:$AC$59,"&gt;=1",'Raw_Data'!$AC$2:$AC$59,"&lt;=5",'Raw_Data'!$A$2:$A$59,"Yes",'Raw_Data'!$D$2:$D$59,"ERและเปล",'Raw_Data'!$E$2:$E$59,"สายสนับสนุนทั่วไป"),"")</x:f>
        <x:v>33.333333333333336</x:v>
      </x:c>
      <x:c r="AJ26" s="131" t="n">
        <x:f>IFERROR(100*COUNTIFS('Raw_Data'!$AC$2:$AC$59,"&gt;=4",'Raw_Data'!$AC$2:$AC$59,"&lt;=5",'Raw_Data'!$A$2:$A$59,"Yes",'Raw_Data'!$D$2:$D$59,"HR",'Raw_Data'!$E$2:$E$59,"สายสนับสนุนทั่วไป")/COUNTIFS('Raw_Data'!$AC$2:$AC$59,"&gt;=1",'Raw_Data'!$AC$2:$AC$59,"&lt;=5",'Raw_Data'!$A$2:$A$59,"Yes",'Raw_Data'!$D$2:$D$59,"HR",'Raw_Data'!$E$2:$E$59,"สายสนับสนุนทั่วไป"),"")</x:f>
        <x:v>0</x:v>
      </x:c>
      <x:c r="AK26" s="131" t="n">
        <x:f>IFERROR(100*COUNTIFS('Raw_Data'!$AC$2:$AC$59,"&gt;=4",'Raw_Data'!$AC$2:$AC$59,"&lt;=5",'Raw_Data'!$A$2:$A$59,"Yes",'Raw_Data'!$D$2:$D$59,"ICU",'Raw_Data'!$E$2:$E$59,"สายสนับสนุนทั่วไป")/COUNTIFS('Raw_Data'!$AC$2:$AC$59,"&gt;=1",'Raw_Data'!$AC$2:$AC$59,"&lt;=5",'Raw_Data'!$A$2:$A$59,"Yes",'Raw_Data'!$D$2:$D$59,"ICU",'Raw_Data'!$E$2:$E$59,"สายสนับสนุนทั่วไป"),"")</x:f>
        <x:v>0</x:v>
      </x:c>
      <x:c r="AL26" s="131" t="n">
        <x:f>IFERROR(100*COUNTIFS('Raw_Data'!$AC$2:$AC$59,"&gt;=4",'Raw_Data'!$AC$2:$AC$59,"&lt;=5",'Raw_Data'!$A$2:$A$59,"Yes",'Raw_Data'!$D$2:$D$59,"IPD",'Raw_Data'!$E$2:$E$59,"สายสนับสนุนทั่วไป")/COUNTIFS('Raw_Data'!$AC$2:$AC$59,"&gt;=1",'Raw_Data'!$AC$2:$AC$59,"&lt;=5",'Raw_Data'!$A$2:$A$59,"Yes",'Raw_Data'!$D$2:$D$59,"IPD",'Raw_Data'!$E$2:$E$59,"สายสนับสนุนทั่วไป"),"")</x:f>
        <x:v>0</x:v>
      </x:c>
      <x:c r="AM26" s="131" t="n">
        <x:f>IFERROR(100*COUNTIFS('Raw_Data'!$AC$2:$AC$59,"&gt;=4",'Raw_Data'!$AC$2:$AC$59,"&lt;=5",'Raw_Data'!$A$2:$A$59,"Yes",'Raw_Data'!$D$2:$D$59,"IT",'Raw_Data'!$E$2:$E$59,"สายสนับสนุนทั่วไป")/COUNTIFS('Raw_Data'!$AC$2:$AC$59,"&gt;=1",'Raw_Data'!$AC$2:$AC$59,"&lt;=5",'Raw_Data'!$A$2:$A$59,"Yes",'Raw_Data'!$D$2:$D$59,"IT",'Raw_Data'!$E$2:$E$59,"สายสนับสนุนทั่วไป"),"")</x:f>
        <x:v>100</x:v>
      </x:c>
      <x:c r="AN26" s="131" t="n">
        <x:f>IFERROR(100*COUNTIFS('Raw_Data'!$AC$2:$AC$59,"&gt;=4",'Raw_Data'!$AC$2:$AC$59,"&lt;=5",'Raw_Data'!$A$2:$A$59,"Yes",'Raw_Data'!$D$2:$D$59,"ผู้ป่วยสัมพันธ์",'Raw_Data'!$E$2:$E$59,"สายสนับสนุนทางการแพทย์")/COUNTIFS('Raw_Data'!$AC$2:$AC$59,"&gt;=1",'Raw_Data'!$AC$2:$AC$59,"&lt;=5",'Raw_Data'!$A$2:$A$59,"Yes",'Raw_Data'!$D$2:$D$59,"ผู้ป่วยสัมพันธ์",'Raw_Data'!$E$2:$E$59,"สายสนับสนุนทางการแพทย์"),"")</x:f>
        <x:v>66.66666666666667</x:v>
      </x:c>
      <x:c r="AO26" s="131" t="n">
        <x:f>IFERROR(100*COUNTIFS('Raw_Data'!$AC$2:$AC$59,"&gt;=4",'Raw_Data'!$AC$2:$AC$59,"&lt;=5",'Raw_Data'!$A$2:$A$59,"Yes",'Raw_Data'!$D$2:$D$59,"ฝ่ายการพยาบาล",'Raw_Data'!$E$2:$E$59,"สายสนับสนุนทางการแพทย์")/COUNTIFS('Raw_Data'!$AC$2:$AC$59,"&gt;=1",'Raw_Data'!$AC$2:$AC$59,"&lt;=5",'Raw_Data'!$A$2:$A$59,"Yes",'Raw_Data'!$D$2:$D$59,"ฝ่ายการพยาบาล",'Raw_Data'!$E$2:$E$59,"สายสนับสนุนทางการแพทย์"),"")</x:f>
        <x:v>100</x:v>
      </x:c>
      <x:c r="AP26" s="131" t="n">
        <x:f>IFERROR(100*COUNTIFS('Raw_Data'!$AC$2:$AC$59,"&gt;=4",'Raw_Data'!$AC$2:$AC$59,"&lt;=5",'Raw_Data'!$A$2:$A$59,"Yes",'Raw_Data'!$D$2:$D$59,"โภชนาการ",'Raw_Data'!$E$2:$E$59,"สายสนับสนุนทางการแพทย์")/COUNTIFS('Raw_Data'!$AC$2:$AC$59,"&gt;=1",'Raw_Data'!$AC$2:$AC$59,"&lt;=5",'Raw_Data'!$A$2:$A$59,"Yes",'Raw_Data'!$D$2:$D$59,"โภชนาการ",'Raw_Data'!$E$2:$E$59,"สายสนับสนุนทางการแพทย์"),"")</x:f>
        <x:v>100</x:v>
      </x:c>
      <x:c r="AQ26" s="131" t="n">
        <x:f>IFERROR(100*COUNTIFS('Raw_Data'!$AC$2:$AC$59,"&gt;=4",'Raw_Data'!$AC$2:$AC$59,"&lt;=5",'Raw_Data'!$A$2:$A$59,"Yes",'Raw_Data'!$D$2:$D$59,"ห้องยา",'Raw_Data'!$E$2:$E$59,"สายสนับสนุนทางการแพทย์")/COUNTIFS('Raw_Data'!$AC$2:$AC$59,"&gt;=1",'Raw_Data'!$AC$2:$AC$59,"&lt;=5",'Raw_Data'!$A$2:$A$59,"Yes",'Raw_Data'!$D$2:$D$59,"ห้องยา",'Raw_Data'!$E$2:$E$59,"สายสนับสนุนทางการแพทย์"),"")</x:f>
        <x:v>100</x:v>
      </x:c>
      <x:c r="AR26" s="131" t="n">
        <x:f>IFERROR(100*COUNTIFS('Raw_Data'!$AC$2:$AC$59,"&gt;=4",'Raw_Data'!$AC$2:$AC$59,"&lt;=5",'Raw_Data'!$A$2:$A$59,"Yes",'Raw_Data'!$D$2:$D$59,"ห้องแลป",'Raw_Data'!$E$2:$E$59,"สายสนับสนุนทางการแพทย์")/COUNTIFS('Raw_Data'!$AC$2:$AC$59,"&gt;=1",'Raw_Data'!$AC$2:$AC$59,"&lt;=5",'Raw_Data'!$A$2:$A$59,"Yes",'Raw_Data'!$D$2:$D$59,"ห้องแลป",'Raw_Data'!$E$2:$E$59,"สายสนับสนุนทางการแพทย์"),"")</x:f>
        <x:v>50</x:v>
      </x:c>
      <x:c r="AS26" s="131" t="n">
        <x:f>IFERROR(100*COUNTIFS('Raw_Data'!$AC$2:$AC$59,"&gt;=4",'Raw_Data'!$AC$2:$AC$59,"&lt;=5",'Raw_Data'!$A$2:$A$59,"Yes",'Raw_Data'!$D$2:$D$59,"ห้องเอ็กซเรย์",'Raw_Data'!$E$2:$E$59,"สายสนับสนุนทางการแพทย์")/COUNTIFS('Raw_Data'!$AC$2:$AC$59,"&gt;=1",'Raw_Data'!$AC$2:$AC$59,"&lt;=5",'Raw_Data'!$A$2:$A$59,"Yes",'Raw_Data'!$D$2:$D$59,"ห้องเอ็กซเรย์",'Raw_Data'!$E$2:$E$59,"สายสนับสนุนทางการแพทย์"),"")</x:f>
        <x:v>66.66666666666667</x:v>
      </x:c>
      <x:c r="AT26" s="131" t="n">
        <x:f>IFERROR(100*COUNTIFS('Raw_Data'!$AC$2:$AC$59,"&gt;=4",'Raw_Data'!$AC$2:$AC$59,"&lt;=5",'Raw_Data'!$A$2:$A$59,"Yes",'Raw_Data'!$D$2:$D$59,"ERและเปล",'Raw_Data'!$E$2:$E$59,"สายสนับสนุนทางการแพทย์")/COUNTIFS('Raw_Data'!$AC$2:$AC$59,"&gt;=1",'Raw_Data'!$AC$2:$AC$59,"&lt;=5",'Raw_Data'!$A$2:$A$59,"Yes",'Raw_Data'!$D$2:$D$59,"ERและเปล",'Raw_Data'!$E$2:$E$59,"สายสนับสนุนทางการแพทย์"),"")</x:f>
        <x:v>0</x:v>
      </x:c>
      <x:c r="AU26" s="131" t="n">
        <x:f>IFERROR(100*COUNTIFS('Raw_Data'!$AC$2:$AC$59,"&gt;=4",'Raw_Data'!$AC$2:$AC$59,"&lt;=5",'Raw_Data'!$A$2:$A$59,"Yes",'Raw_Data'!$D$2:$D$59,"ICU",'Raw_Data'!$E$2:$E$59,"สายสนับสนุนทางการแพทย์")/COUNTIFS('Raw_Data'!$AC$2:$AC$59,"&gt;=1",'Raw_Data'!$AC$2:$AC$59,"&lt;=5",'Raw_Data'!$A$2:$A$59,"Yes",'Raw_Data'!$D$2:$D$59,"ICU",'Raw_Data'!$E$2:$E$59,"สายสนับสนุนทางการแพทย์"),"")</x:f>
        <x:v>100</x:v>
      </x:c>
      <x:c r="AV26" s="131" t="n">
        <x:f>IFERROR(100*COUNTIFS('Raw_Data'!$AC$2:$AC$59,"&gt;=4",'Raw_Data'!$AC$2:$AC$59,"&lt;=5",'Raw_Data'!$A$2:$A$59,"Yes",'Raw_Data'!$D$2:$D$59,"IPD",'Raw_Data'!$E$2:$E$59,"สายสนับสนุนทางการแพทย์")/COUNTIFS('Raw_Data'!$AC$2:$AC$59,"&gt;=1",'Raw_Data'!$AC$2:$AC$59,"&lt;=5",'Raw_Data'!$A$2:$A$59,"Yes",'Raw_Data'!$D$2:$D$59,"IPD",'Raw_Data'!$E$2:$E$59,"สายสนับสนุนทางการแพทย์"),"")</x:f>
        <x:v>50</x:v>
      </x:c>
      <x:c r="AW26" s="131" t="n">
        <x:f>IFERROR(100*COUNTIFS('Raw_Data'!$AC$2:$AC$59,"&gt;=4",'Raw_Data'!$AC$2:$AC$59,"&lt;=5",'Raw_Data'!$A$2:$A$59,"Yes",'Raw_Data'!$D$2:$D$59,"IT",'Raw_Data'!$E$2:$E$59,"สายสนับสนุนทางการแพทย์")/COUNTIFS('Raw_Data'!$AC$2:$AC$59,"&gt;=1",'Raw_Data'!$AC$2:$AC$59,"&lt;=5",'Raw_Data'!$A$2:$A$59,"Yes",'Raw_Data'!$D$2:$D$59,"IT",'Raw_Data'!$E$2:$E$59,"สายสนับสนุนทางการแพทย์"),"")</x:f>
        <x:v>100</x:v>
      </x:c>
    </x:row>
    <x:row r="27" ht="42" customHeight="1">
      <x:c r="A27" s="123"/>
      <x:c r="B27" s="124" t="str">
        <x:v>C7. ในหน่วยงานที่ฉันปฏิบัติงานอยู่ บุคลากรกลัวที่จะตั้งคำถามเมื่อพบสิ่งที่ไม่ถูกต้องหรือผิดปกติ</x:v>
      </x:c>
      <x:c r="C27" s="131" t="n">
        <x:f>IFERROR(100*COUNTIFS('Raw_Data'!$AD$2:$AD$59,"&gt;=1",'Raw_Data'!$AD$2:$AD$59,"&lt;=2",'Raw_Data'!$A$2:$A$59,"Yes")/COUNTIFS('Raw_Data'!$AD$2:$AD$59,"&gt;=1",'Raw_Data'!$AD$2:$AD$59,"&lt;=5",'Raw_Data'!$A$2:$A$59,"Yes"),"")</x:f>
        <x:v>39.6551724137931</x:v>
      </x:c>
      <x:c r="D27" s="131" t="n">
        <x:f>IFERROR(100*COUNTIFS('Raw_Data'!$AD$2:$AD$59,"&gt;=1",'Raw_Data'!$AD$2:$AD$59,"&lt;=2",'Raw_Data'!$A$2:$A$59,"Yes",'Raw_Data'!$D$2:$D$59,"การเงิน")/COUNTIFS('Raw_Data'!$AD$2:$AD$59,"&gt;=1",'Raw_Data'!$AD$2:$AD$59,"&lt;=5",'Raw_Data'!$A$2:$A$59,"Yes",'Raw_Data'!$D$2:$D$59,"การเงิน"),"")</x:f>
        <x:v>66.66666666666667</x:v>
      </x:c>
      <x:c r="E27" s="131" t="n">
        <x:f>IFERROR(100*COUNTIFS('Raw_Data'!$AD$2:$AD$59,"&gt;=1",'Raw_Data'!$AD$2:$AD$59,"&lt;=2",'Raw_Data'!$A$2:$A$59,"Yes",'Raw_Data'!$D$2:$D$59,"เคหรักษ์")/COUNTIFS('Raw_Data'!$AD$2:$AD$59,"&gt;=1",'Raw_Data'!$AD$2:$AD$59,"&lt;=5",'Raw_Data'!$A$2:$A$59,"Yes",'Raw_Data'!$D$2:$D$59,"เคหรักษ์"),"")</x:f>
        <x:v>0</x:v>
      </x:c>
      <x:c r="F27" s="131" t="n">
        <x:f>IFERROR(100*COUNTIFS('Raw_Data'!$AD$2:$AD$59,"&gt;=1",'Raw_Data'!$AD$2:$AD$59,"&lt;=2",'Raw_Data'!$A$2:$A$59,"Yes",'Raw_Data'!$D$2:$D$59,"จ่ายกลาง")/COUNTIFS('Raw_Data'!$AD$2:$AD$59,"&gt;=1",'Raw_Data'!$AD$2:$AD$59,"&lt;=5",'Raw_Data'!$A$2:$A$59,"Yes",'Raw_Data'!$D$2:$D$59,"จ่ายกลาง"),"")</x:f>
        <x:v>0</x:v>
      </x:c>
      <x:c r="G27" s="131" t="n">
        <x:f>IFERROR(100*COUNTIFS('Raw_Data'!$AD$2:$AD$59,"&gt;=1",'Raw_Data'!$AD$2:$AD$59,"&lt;=2",'Raw_Data'!$A$2:$A$59,"Yes",'Raw_Data'!$D$2:$D$59,"ช่างและสนาม")/COUNTIFS('Raw_Data'!$AD$2:$AD$59,"&gt;=1",'Raw_Data'!$AD$2:$AD$59,"&lt;=5",'Raw_Data'!$A$2:$A$59,"Yes",'Raw_Data'!$D$2:$D$59,"ช่างและสนาม"),"")</x:f>
        <x:v>50</x:v>
      </x:c>
      <x:c r="H27" s="131" t="n">
        <x:f>IFERROR(100*COUNTIFS('Raw_Data'!$AD$2:$AD$59,"&gt;=1",'Raw_Data'!$AD$2:$AD$59,"&lt;=2",'Raw_Data'!$A$2:$A$59,"Yes",'Raw_Data'!$D$2:$D$59,"ผู้ป่วยสัมพันธ์")/COUNTIFS('Raw_Data'!$AD$2:$AD$59,"&gt;=1",'Raw_Data'!$AD$2:$AD$59,"&lt;=5",'Raw_Data'!$A$2:$A$59,"Yes",'Raw_Data'!$D$2:$D$59,"ผู้ป่วยสัมพันธ์"),"")</x:f>
        <x:v>75</x:v>
      </x:c>
      <x:c r="I27" s="131" t="n">
        <x:f>IFERROR(100*COUNTIFS('Raw_Data'!$AD$2:$AD$59,"&gt;=1",'Raw_Data'!$AD$2:$AD$59,"&lt;=2",'Raw_Data'!$A$2:$A$59,"Yes",'Raw_Data'!$D$2:$D$59,"ฝ่ายการพยาบาล")/COUNTIFS('Raw_Data'!$AD$2:$AD$59,"&gt;=1",'Raw_Data'!$AD$2:$AD$59,"&lt;=5",'Raw_Data'!$A$2:$A$59,"Yes",'Raw_Data'!$D$2:$D$59,"ฝ่ายการพยาบาล"),"")</x:f>
        <x:v>50</x:v>
      </x:c>
      <x:c r="J27" s="131" t="n">
        <x:f>IFERROR(100*COUNTIFS('Raw_Data'!$AD$2:$AD$59,"&gt;=1",'Raw_Data'!$AD$2:$AD$59,"&lt;=2",'Raw_Data'!$A$2:$A$59,"Yes",'Raw_Data'!$D$2:$D$59,"โภชนาการ")/COUNTIFS('Raw_Data'!$AD$2:$AD$59,"&gt;=1",'Raw_Data'!$AD$2:$AD$59,"&lt;=5",'Raw_Data'!$A$2:$A$59,"Yes",'Raw_Data'!$D$2:$D$59,"โภชนาการ"),"")</x:f>
        <x:v>100</x:v>
      </x:c>
      <x:c r="K27" s="131" t="n">
        <x:f>IFERROR(100*COUNTIFS('Raw_Data'!$AD$2:$AD$59,"&gt;=1",'Raw_Data'!$AD$2:$AD$59,"&lt;=2",'Raw_Data'!$A$2:$A$59,"Yes",'Raw_Data'!$D$2:$D$59,"ยานพาหนะ")/COUNTIFS('Raw_Data'!$AD$2:$AD$59,"&gt;=1",'Raw_Data'!$AD$2:$AD$59,"&lt;=5",'Raw_Data'!$A$2:$A$59,"Yes",'Raw_Data'!$D$2:$D$59,"ยานพาหนะ"),"")</x:f>
        <x:v>100</x:v>
      </x:c>
      <x:c r="L27" s="131" t="n">
        <x:f>IFERROR(100*COUNTIFS('Raw_Data'!$AD$2:$AD$59,"&gt;=1",'Raw_Data'!$AD$2:$AD$59,"&lt;=2",'Raw_Data'!$A$2:$A$59,"Yes",'Raw_Data'!$D$2:$D$59,"สื่อสารการตลาด")/COUNTIFS('Raw_Data'!$AD$2:$AD$59,"&gt;=1",'Raw_Data'!$AD$2:$AD$59,"&lt;=5",'Raw_Data'!$A$2:$A$59,"Yes",'Raw_Data'!$D$2:$D$59,"สื่อสารการตลาด"),"")</x:f>
        <x:v>0</x:v>
      </x:c>
      <x:c r="M27" s="131" t="n">
        <x:f>IFERROR(100*COUNTIFS('Raw_Data'!$AD$2:$AD$59,"&gt;=1",'Raw_Data'!$AD$2:$AD$59,"&lt;=2",'Raw_Data'!$A$2:$A$59,"Yes",'Raw_Data'!$D$2:$D$59,"ห้องยา")/COUNTIFS('Raw_Data'!$AD$2:$AD$59,"&gt;=1",'Raw_Data'!$AD$2:$AD$59,"&lt;=5",'Raw_Data'!$A$2:$A$59,"Yes",'Raw_Data'!$D$2:$D$59,"ห้องยา"),"")</x:f>
        <x:v>50</x:v>
      </x:c>
      <x:c r="N27" s="131" t="n">
        <x:f>IFERROR(100*COUNTIFS('Raw_Data'!$AD$2:$AD$59,"&gt;=1",'Raw_Data'!$AD$2:$AD$59,"&lt;=2",'Raw_Data'!$A$2:$A$59,"Yes",'Raw_Data'!$D$2:$D$59,"ห้องแลป")/COUNTIFS('Raw_Data'!$AD$2:$AD$59,"&gt;=1",'Raw_Data'!$AD$2:$AD$59,"&lt;=5",'Raw_Data'!$A$2:$A$59,"Yes",'Raw_Data'!$D$2:$D$59,"ห้องแลป"),"")</x:f>
        <x:v>0</x:v>
      </x:c>
      <x:c r="O27" s="131" t="n">
        <x:f>IFERROR(100*COUNTIFS('Raw_Data'!$AD$2:$AD$59,"&gt;=1",'Raw_Data'!$AD$2:$AD$59,"&lt;=2",'Raw_Data'!$A$2:$A$59,"Yes",'Raw_Data'!$D$2:$D$59,"ห้องเอ็กซเรย์")/COUNTIFS('Raw_Data'!$AD$2:$AD$59,"&gt;=1",'Raw_Data'!$AD$2:$AD$59,"&lt;=5",'Raw_Data'!$A$2:$A$59,"Yes",'Raw_Data'!$D$2:$D$59,"ห้องเอ็กซเรย์"),"")</x:f>
        <x:v>0</x:v>
      </x:c>
      <x:c r="P27" s="131" t="n">
        <x:f>IFERROR(100*COUNTIFS('Raw_Data'!$AD$2:$AD$59,"&gt;=1",'Raw_Data'!$AD$2:$AD$59,"&lt;=2",'Raw_Data'!$A$2:$A$59,"Yes",'Raw_Data'!$D$2:$D$59,"ERและเปล")/COUNTIFS('Raw_Data'!$AD$2:$AD$59,"&gt;=1",'Raw_Data'!$AD$2:$AD$59,"&lt;=5",'Raw_Data'!$A$2:$A$59,"Yes",'Raw_Data'!$D$2:$D$59,"ERและเปล"),"")</x:f>
        <x:v>18.181818181818183</x:v>
      </x:c>
      <x:c r="Q27" s="131" t="n">
        <x:f>IFERROR(100*COUNTIFS('Raw_Data'!$AD$2:$AD$59,"&gt;=1",'Raw_Data'!$AD$2:$AD$59,"&lt;=2",'Raw_Data'!$A$2:$A$59,"Yes",'Raw_Data'!$D$2:$D$59,"HR")/COUNTIFS('Raw_Data'!$AD$2:$AD$59,"&gt;=1",'Raw_Data'!$AD$2:$AD$59,"&lt;=5",'Raw_Data'!$A$2:$A$59,"Yes",'Raw_Data'!$D$2:$D$59,"HR"),"")</x:f>
        <x:v>0</x:v>
      </x:c>
      <x:c r="R27" s="131" t="n">
        <x:f>IFERROR(100*COUNTIFS('Raw_Data'!$AD$2:$AD$59,"&gt;=1",'Raw_Data'!$AD$2:$AD$59,"&lt;=2",'Raw_Data'!$A$2:$A$59,"Yes",'Raw_Data'!$D$2:$D$59,"ICU")/COUNTIFS('Raw_Data'!$AD$2:$AD$59,"&gt;=1",'Raw_Data'!$AD$2:$AD$59,"&lt;=5",'Raw_Data'!$A$2:$A$59,"Yes",'Raw_Data'!$D$2:$D$59,"ICU"),"")</x:f>
        <x:v>50</x:v>
      </x:c>
      <x:c r="S27" s="131" t="n">
        <x:f>IFERROR(100*COUNTIFS('Raw_Data'!$AD$2:$AD$59,"&gt;=1",'Raw_Data'!$AD$2:$AD$59,"&lt;=2",'Raw_Data'!$A$2:$A$59,"Yes",'Raw_Data'!$D$2:$D$59,"IPD")/COUNTIFS('Raw_Data'!$AD$2:$AD$59,"&gt;=1",'Raw_Data'!$AD$2:$AD$59,"&lt;=5",'Raw_Data'!$A$2:$A$59,"Yes",'Raw_Data'!$D$2:$D$59,"IPD"),"")</x:f>
        <x:v>50</x:v>
      </x:c>
      <x:c r="T27" s="131" t="n">
        <x:f>IFERROR(100*COUNTIFS('Raw_Data'!$AD$2:$AD$59,"&gt;=1",'Raw_Data'!$AD$2:$AD$59,"&lt;=2",'Raw_Data'!$A$2:$A$59,"Yes",'Raw_Data'!$D$2:$D$59,"IT")/COUNTIFS('Raw_Data'!$AD$2:$AD$59,"&gt;=1",'Raw_Data'!$AD$2:$AD$59,"&lt;=5",'Raw_Data'!$A$2:$A$59,"Yes",'Raw_Data'!$D$2:$D$59,"IT"),"")</x:f>
        <x:v>100</x:v>
      </x:c>
      <x:c r="U27" s="131" t="n">
        <x:f>IFERROR(100*COUNTIFS('Raw_Data'!$AD$2:$AD$59,"&gt;=1",'Raw_Data'!$AD$2:$AD$59,"&lt;=2",'Raw_Data'!$A$2:$A$59,"Yes",'Raw_Data'!$D$2:$D$59,"OR")/COUNTIFS('Raw_Data'!$AD$2:$AD$59,"&gt;=1",'Raw_Data'!$AD$2:$AD$59,"&lt;=5",'Raw_Data'!$A$2:$A$59,"Yes",'Raw_Data'!$D$2:$D$59,"OR"),"")</x:f>
        <x:v>25</x:v>
      </x:c>
      <x:c r="V27" s="131" t="n">
        <x:f>IFERROR(100*COUNTIFS('Raw_Data'!$AD$2:$AD$59,"&gt;=1",'Raw_Data'!$AD$2:$AD$59,"&lt;=2",'Raw_Data'!$A$2:$A$59,"Yes",'Raw_Data'!$D$2:$D$59,"IPD",'Raw_Data'!$E$2:$E$59,"ผู้บริหาร")/COUNTIFS('Raw_Data'!$AD$2:$AD$59,"&gt;=1",'Raw_Data'!$AD$2:$AD$59,"&lt;=5",'Raw_Data'!$A$2:$A$59,"Yes",'Raw_Data'!$D$2:$D$59,"IPD",'Raw_Data'!$E$2:$E$59,"ผู้บริหาร"),"")</x:f>
        <x:v>0</x:v>
      </x:c>
      <x:c r="W27" s="131" t="n">
        <x:f>IFERROR(100*COUNTIFS('Raw_Data'!$AD$2:$AD$59,"&gt;=1",'Raw_Data'!$AD$2:$AD$59,"&lt;=2",'Raw_Data'!$A$2:$A$59,"Yes",'Raw_Data'!$D$2:$D$59,"ฝ่ายการพยาบาล",'Raw_Data'!$E$2:$E$59,"สายวิชาชีพสาธารณสุข")/COUNTIFS('Raw_Data'!$AD$2:$AD$59,"&gt;=1",'Raw_Data'!$AD$2:$AD$59,"&lt;=5",'Raw_Data'!$A$2:$A$59,"Yes",'Raw_Data'!$D$2:$D$59,"ฝ่ายการพยาบาล",'Raw_Data'!$E$2:$E$59,"สายวิชาชีพสาธารณสุข"),"")</x:f>
        <x:v>0</x:v>
      </x:c>
      <x:c r="X27" s="131" t="n">
        <x:f>IFERROR(100*COUNTIFS('Raw_Data'!$AD$2:$AD$59,"&gt;=1",'Raw_Data'!$AD$2:$AD$59,"&lt;=2",'Raw_Data'!$A$2:$A$59,"Yes",'Raw_Data'!$D$2:$D$59,"ERและเปล",'Raw_Data'!$E$2:$E$59,"สายวิชาชีพสาธารณสุข")/COUNTIFS('Raw_Data'!$AD$2:$AD$59,"&gt;=1",'Raw_Data'!$AD$2:$AD$59,"&lt;=5",'Raw_Data'!$A$2:$A$59,"Yes",'Raw_Data'!$D$2:$D$59,"ERและเปล",'Raw_Data'!$E$2:$E$59,"สายวิชาชีพสาธารณสุข"),"")</x:f>
        <x:v>14.285714285714286</x:v>
      </x:c>
      <x:c r="Y27" s="131" t="n">
        <x:f>IFERROR(100*COUNTIFS('Raw_Data'!$AD$2:$AD$59,"&gt;=1",'Raw_Data'!$AD$2:$AD$59,"&lt;=2",'Raw_Data'!$A$2:$A$59,"Yes",'Raw_Data'!$D$2:$D$59,"ICU",'Raw_Data'!$E$2:$E$59,"สายวิชาชีพสาธารณสุข")/COUNTIFS('Raw_Data'!$AD$2:$AD$59,"&gt;=1",'Raw_Data'!$AD$2:$AD$59,"&lt;=5",'Raw_Data'!$A$2:$A$59,"Yes",'Raw_Data'!$D$2:$D$59,"ICU",'Raw_Data'!$E$2:$E$59,"สายวิชาชีพสาธารณสุข"),"")</x:f>
        <x:v>50</x:v>
      </x:c>
      <x:c r="Z27" s="131" t="n">
        <x:f>IFERROR(100*COUNTIFS('Raw_Data'!$AD$2:$AD$59,"&gt;=1",'Raw_Data'!$AD$2:$AD$59,"&lt;=2",'Raw_Data'!$A$2:$A$59,"Yes",'Raw_Data'!$D$2:$D$59,"IPD",'Raw_Data'!$E$2:$E$59,"สายวิชาชีพสาธารณสุข")/COUNTIFS('Raw_Data'!$AD$2:$AD$59,"&gt;=1",'Raw_Data'!$AD$2:$AD$59,"&lt;=5",'Raw_Data'!$A$2:$A$59,"Yes",'Raw_Data'!$D$2:$D$59,"IPD",'Raw_Data'!$E$2:$E$59,"สายวิชาชีพสาธารณสุข"),"")</x:f>
        <x:v>100</x:v>
      </x:c>
      <x:c r="AA27" s="131" t="n">
        <x:f>IFERROR(100*COUNTIFS('Raw_Data'!$AD$2:$AD$59,"&gt;=1",'Raw_Data'!$AD$2:$AD$59,"&lt;=2",'Raw_Data'!$A$2:$A$59,"Yes",'Raw_Data'!$D$2:$D$59,"OR",'Raw_Data'!$E$2:$E$59,"สายวิชาชีพสาธารณสุข")/COUNTIFS('Raw_Data'!$AD$2:$AD$59,"&gt;=1",'Raw_Data'!$AD$2:$AD$59,"&lt;=5",'Raw_Data'!$A$2:$A$59,"Yes",'Raw_Data'!$D$2:$D$59,"OR",'Raw_Data'!$E$2:$E$59,"สายวิชาชีพสาธารณสุข"),"")</x:f>
        <x:v>25</x:v>
      </x:c>
      <x:c r="AB27" s="131" t="n">
        <x:f>IFERROR(100*COUNTIFS('Raw_Data'!$AD$2:$AD$59,"&gt;=1",'Raw_Data'!$AD$2:$AD$59,"&lt;=2",'Raw_Data'!$A$2:$A$59,"Yes",'Raw_Data'!$D$2:$D$59,"การเงิน",'Raw_Data'!$E$2:$E$59,"สายสนับสนุนทั่วไป")/COUNTIFS('Raw_Data'!$AD$2:$AD$59,"&gt;=1",'Raw_Data'!$AD$2:$AD$59,"&lt;=5",'Raw_Data'!$A$2:$A$59,"Yes",'Raw_Data'!$D$2:$D$59,"การเงิน",'Raw_Data'!$E$2:$E$59,"สายสนับสนุนทั่วไป"),"")</x:f>
        <x:v>66.66666666666667</x:v>
      </x:c>
      <x:c r="AC27" s="131" t="n">
        <x:f>IFERROR(100*COUNTIFS('Raw_Data'!$AD$2:$AD$59,"&gt;=1",'Raw_Data'!$AD$2:$AD$59,"&lt;=2",'Raw_Data'!$A$2:$A$59,"Yes",'Raw_Data'!$D$2:$D$59,"เคหรักษ์",'Raw_Data'!$E$2:$E$59,"สายสนับสนุนทั่วไป")/COUNTIFS('Raw_Data'!$AD$2:$AD$59,"&gt;=1",'Raw_Data'!$AD$2:$AD$59,"&lt;=5",'Raw_Data'!$A$2:$A$59,"Yes",'Raw_Data'!$D$2:$D$59,"เคหรักษ์",'Raw_Data'!$E$2:$E$59,"สายสนับสนุนทั่วไป"),"")</x:f>
        <x:v>0</x:v>
      </x:c>
      <x:c r="AD27" s="131" t="n">
        <x:f>IFERROR(100*COUNTIFS('Raw_Data'!$AD$2:$AD$59,"&gt;=1",'Raw_Data'!$AD$2:$AD$59,"&lt;=2",'Raw_Data'!$A$2:$A$59,"Yes",'Raw_Data'!$D$2:$D$59,"จ่ายกลาง",'Raw_Data'!$E$2:$E$59,"สายสนับสนุนทั่วไป")/COUNTIFS('Raw_Data'!$AD$2:$AD$59,"&gt;=1",'Raw_Data'!$AD$2:$AD$59,"&lt;=5",'Raw_Data'!$A$2:$A$59,"Yes",'Raw_Data'!$D$2:$D$59,"จ่ายกลาง",'Raw_Data'!$E$2:$E$59,"สายสนับสนุนทั่วไป"),"")</x:f>
        <x:v>0</x:v>
      </x:c>
      <x:c r="AE27" s="131" t="n">
        <x:f>IFERROR(100*COUNTIFS('Raw_Data'!$AD$2:$AD$59,"&gt;=1",'Raw_Data'!$AD$2:$AD$59,"&lt;=2",'Raw_Data'!$A$2:$A$59,"Yes",'Raw_Data'!$D$2:$D$59,"ช่างและสนาม",'Raw_Data'!$E$2:$E$59,"สายสนับสนุนทั่วไป")/COUNTIFS('Raw_Data'!$AD$2:$AD$59,"&gt;=1",'Raw_Data'!$AD$2:$AD$59,"&lt;=5",'Raw_Data'!$A$2:$A$59,"Yes",'Raw_Data'!$D$2:$D$59,"ช่างและสนาม",'Raw_Data'!$E$2:$E$59,"สายสนับสนุนทั่วไป"),"")</x:f>
        <x:v>50</x:v>
      </x:c>
      <x:c r="AF27" s="131" t="n">
        <x:f>IFERROR(100*COUNTIFS('Raw_Data'!$AD$2:$AD$59,"&gt;=1",'Raw_Data'!$AD$2:$AD$59,"&lt;=2",'Raw_Data'!$A$2:$A$59,"Yes",'Raw_Data'!$D$2:$D$59,"ผู้ป่วยสัมพันธ์",'Raw_Data'!$E$2:$E$59,"สายสนับสนุนทั่วไป")/COUNTIFS('Raw_Data'!$AD$2:$AD$59,"&gt;=1",'Raw_Data'!$AD$2:$AD$59,"&lt;=5",'Raw_Data'!$A$2:$A$59,"Yes",'Raw_Data'!$D$2:$D$59,"ผู้ป่วยสัมพันธ์",'Raw_Data'!$E$2:$E$59,"สายสนับสนุนทั่วไป"),"")</x:f>
        <x:v>0</x:v>
      </x:c>
      <x:c r="AG27" s="131" t="n">
        <x:f>IFERROR(100*COUNTIFS('Raw_Data'!$AD$2:$AD$59,"&gt;=1",'Raw_Data'!$AD$2:$AD$59,"&lt;=2",'Raw_Data'!$A$2:$A$59,"Yes",'Raw_Data'!$D$2:$D$59,"ยานพาหนะ",'Raw_Data'!$E$2:$E$59,"สายสนับสนุนทั่วไป")/COUNTIFS('Raw_Data'!$AD$2:$AD$59,"&gt;=1",'Raw_Data'!$AD$2:$AD$59,"&lt;=5",'Raw_Data'!$A$2:$A$59,"Yes",'Raw_Data'!$D$2:$D$59,"ยานพาหนะ",'Raw_Data'!$E$2:$E$59,"สายสนับสนุนทั่วไป"),"")</x:f>
        <x:v>100</x:v>
      </x:c>
      <x:c r="AH27" s="131" t="n">
        <x:f>IFERROR(100*COUNTIFS('Raw_Data'!$AD$2:$AD$59,"&gt;=1",'Raw_Data'!$AD$2:$AD$59,"&lt;=2",'Raw_Data'!$A$2:$A$59,"Yes",'Raw_Data'!$D$2:$D$59,"สื่อสารการตลาด",'Raw_Data'!$E$2:$E$59,"สายสนับสนุนทั่วไป")/COUNTIFS('Raw_Data'!$AD$2:$AD$59,"&gt;=1",'Raw_Data'!$AD$2:$AD$59,"&lt;=5",'Raw_Data'!$A$2:$A$59,"Yes",'Raw_Data'!$D$2:$D$59,"สื่อสารการตลาด",'Raw_Data'!$E$2:$E$59,"สายสนับสนุนทั่วไป"),"")</x:f>
        <x:v>0</x:v>
      </x:c>
      <x:c r="AI27" s="131" t="n">
        <x:f>IFERROR(100*COUNTIFS('Raw_Data'!$AD$2:$AD$59,"&gt;=1",'Raw_Data'!$AD$2:$AD$59,"&lt;=2",'Raw_Data'!$A$2:$A$59,"Yes",'Raw_Data'!$D$2:$D$59,"ERและเปล",'Raw_Data'!$E$2:$E$59,"สายสนับสนุนทั่วไป")/COUNTIFS('Raw_Data'!$AD$2:$AD$59,"&gt;=1",'Raw_Data'!$AD$2:$AD$59,"&lt;=5",'Raw_Data'!$A$2:$A$59,"Yes",'Raw_Data'!$D$2:$D$59,"ERและเปล",'Raw_Data'!$E$2:$E$59,"สายสนับสนุนทั่วไป"),"")</x:f>
        <x:v>33.333333333333336</x:v>
      </x:c>
      <x:c r="AJ27" s="131" t="n">
        <x:f>IFERROR(100*COUNTIFS('Raw_Data'!$AD$2:$AD$59,"&gt;=1",'Raw_Data'!$AD$2:$AD$59,"&lt;=2",'Raw_Data'!$A$2:$A$59,"Yes",'Raw_Data'!$D$2:$D$59,"HR",'Raw_Data'!$E$2:$E$59,"สายสนับสนุนทั่วไป")/COUNTIFS('Raw_Data'!$AD$2:$AD$59,"&gt;=1",'Raw_Data'!$AD$2:$AD$59,"&lt;=5",'Raw_Data'!$A$2:$A$59,"Yes",'Raw_Data'!$D$2:$D$59,"HR",'Raw_Data'!$E$2:$E$59,"สายสนับสนุนทั่วไป"),"")</x:f>
        <x:v>0</x:v>
      </x:c>
      <x:c r="AK27" s="131" t="n">
        <x:f>IFERROR(100*COUNTIFS('Raw_Data'!$AD$2:$AD$59,"&gt;=1",'Raw_Data'!$AD$2:$AD$59,"&lt;=2",'Raw_Data'!$A$2:$A$59,"Yes",'Raw_Data'!$D$2:$D$59,"ICU",'Raw_Data'!$E$2:$E$59,"สายสนับสนุนทั่วไป")/COUNTIFS('Raw_Data'!$AD$2:$AD$59,"&gt;=1",'Raw_Data'!$AD$2:$AD$59,"&lt;=5",'Raw_Data'!$A$2:$A$59,"Yes",'Raw_Data'!$D$2:$D$59,"ICU",'Raw_Data'!$E$2:$E$59,"สายสนับสนุนทั่วไป"),"")</x:f>
        <x:v>0</x:v>
      </x:c>
      <x:c r="AL27" s="131" t="n">
        <x:f>IFERROR(100*COUNTIFS('Raw_Data'!$AD$2:$AD$59,"&gt;=1",'Raw_Data'!$AD$2:$AD$59,"&lt;=2",'Raw_Data'!$A$2:$A$59,"Yes",'Raw_Data'!$D$2:$D$59,"IPD",'Raw_Data'!$E$2:$E$59,"สายสนับสนุนทั่วไป")/COUNTIFS('Raw_Data'!$AD$2:$AD$59,"&gt;=1",'Raw_Data'!$AD$2:$AD$59,"&lt;=5",'Raw_Data'!$A$2:$A$59,"Yes",'Raw_Data'!$D$2:$D$59,"IPD",'Raw_Data'!$E$2:$E$59,"สายสนับสนุนทั่วไป"),"")</x:f>
        <x:v>0</x:v>
      </x:c>
      <x:c r="AM27" s="131" t="n">
        <x:f>IFERROR(100*COUNTIFS('Raw_Data'!$AD$2:$AD$59,"&gt;=1",'Raw_Data'!$AD$2:$AD$59,"&lt;=2",'Raw_Data'!$A$2:$A$59,"Yes",'Raw_Data'!$D$2:$D$59,"IT",'Raw_Data'!$E$2:$E$59,"สายสนับสนุนทั่วไป")/COUNTIFS('Raw_Data'!$AD$2:$AD$59,"&gt;=1",'Raw_Data'!$AD$2:$AD$59,"&lt;=5",'Raw_Data'!$A$2:$A$59,"Yes",'Raw_Data'!$D$2:$D$59,"IT",'Raw_Data'!$E$2:$E$59,"สายสนับสนุนทั่วไป"),"")</x:f>
        <x:v>100</x:v>
      </x:c>
      <x:c r="AN27" s="131" t="n">
        <x:f>IFERROR(100*COUNTIFS('Raw_Data'!$AD$2:$AD$59,"&gt;=1",'Raw_Data'!$AD$2:$AD$59,"&lt;=2",'Raw_Data'!$A$2:$A$59,"Yes",'Raw_Data'!$D$2:$D$59,"ผู้ป่วยสัมพันธ์",'Raw_Data'!$E$2:$E$59,"สายสนับสนุนทางการแพทย์")/COUNTIFS('Raw_Data'!$AD$2:$AD$59,"&gt;=1",'Raw_Data'!$AD$2:$AD$59,"&lt;=5",'Raw_Data'!$A$2:$A$59,"Yes",'Raw_Data'!$D$2:$D$59,"ผู้ป่วยสัมพันธ์",'Raw_Data'!$E$2:$E$59,"สายสนับสนุนทางการแพทย์"),"")</x:f>
        <x:v>100</x:v>
      </x:c>
      <x:c r="AO27" s="131" t="n">
        <x:f>IFERROR(100*COUNTIFS('Raw_Data'!$AD$2:$AD$59,"&gt;=1",'Raw_Data'!$AD$2:$AD$59,"&lt;=2",'Raw_Data'!$A$2:$A$59,"Yes",'Raw_Data'!$D$2:$D$59,"ฝ่ายการพยาบาล",'Raw_Data'!$E$2:$E$59,"สายสนับสนุนทางการแพทย์")/COUNTIFS('Raw_Data'!$AD$2:$AD$59,"&gt;=1",'Raw_Data'!$AD$2:$AD$59,"&lt;=5",'Raw_Data'!$A$2:$A$59,"Yes",'Raw_Data'!$D$2:$D$59,"ฝ่ายการพยาบาล",'Raw_Data'!$E$2:$E$59,"สายสนับสนุนทางการแพทย์"),"")</x:f>
        <x:v>100</x:v>
      </x:c>
      <x:c r="AP27" s="131" t="n">
        <x:f>IFERROR(100*COUNTIFS('Raw_Data'!$AD$2:$AD$59,"&gt;=1",'Raw_Data'!$AD$2:$AD$59,"&lt;=2",'Raw_Data'!$A$2:$A$59,"Yes",'Raw_Data'!$D$2:$D$59,"โภชนาการ",'Raw_Data'!$E$2:$E$59,"สายสนับสนุนทางการแพทย์")/COUNTIFS('Raw_Data'!$AD$2:$AD$59,"&gt;=1",'Raw_Data'!$AD$2:$AD$59,"&lt;=5",'Raw_Data'!$A$2:$A$59,"Yes",'Raw_Data'!$D$2:$D$59,"โภชนาการ",'Raw_Data'!$E$2:$E$59,"สายสนับสนุนทางการแพทย์"),"")</x:f>
        <x:v>100</x:v>
      </x:c>
      <x:c r="AQ27" s="131" t="n">
        <x:f>IFERROR(100*COUNTIFS('Raw_Data'!$AD$2:$AD$59,"&gt;=1",'Raw_Data'!$AD$2:$AD$59,"&lt;=2",'Raw_Data'!$A$2:$A$59,"Yes",'Raw_Data'!$D$2:$D$59,"ห้องยา",'Raw_Data'!$E$2:$E$59,"สายสนับสนุนทางการแพทย์")/COUNTIFS('Raw_Data'!$AD$2:$AD$59,"&gt;=1",'Raw_Data'!$AD$2:$AD$59,"&lt;=5",'Raw_Data'!$A$2:$A$59,"Yes",'Raw_Data'!$D$2:$D$59,"ห้องยา",'Raw_Data'!$E$2:$E$59,"สายสนับสนุนทางการแพทย์"),"")</x:f>
        <x:v>50</x:v>
      </x:c>
      <x:c r="AR27" s="131" t="n">
        <x:f>IFERROR(100*COUNTIFS('Raw_Data'!$AD$2:$AD$59,"&gt;=1",'Raw_Data'!$AD$2:$AD$59,"&lt;=2",'Raw_Data'!$A$2:$A$59,"Yes",'Raw_Data'!$D$2:$D$59,"ห้องแลป",'Raw_Data'!$E$2:$E$59,"สายสนับสนุนทางการแพทย์")/COUNTIFS('Raw_Data'!$AD$2:$AD$59,"&gt;=1",'Raw_Data'!$AD$2:$AD$59,"&lt;=5",'Raw_Data'!$A$2:$A$59,"Yes",'Raw_Data'!$D$2:$D$59,"ห้องแลป",'Raw_Data'!$E$2:$E$59,"สายสนับสนุนทางการแพทย์"),"")</x:f>
        <x:v>0</x:v>
      </x:c>
      <x:c r="AS27" s="131" t="n">
        <x:f>IFERROR(100*COUNTIFS('Raw_Data'!$AD$2:$AD$59,"&gt;=1",'Raw_Data'!$AD$2:$AD$59,"&lt;=2",'Raw_Data'!$A$2:$A$59,"Yes",'Raw_Data'!$D$2:$D$59,"ห้องเอ็กซเรย์",'Raw_Data'!$E$2:$E$59,"สายสนับสนุนทางการแพทย์")/COUNTIFS('Raw_Data'!$AD$2:$AD$59,"&gt;=1",'Raw_Data'!$AD$2:$AD$59,"&lt;=5",'Raw_Data'!$A$2:$A$59,"Yes",'Raw_Data'!$D$2:$D$59,"ห้องเอ็กซเรย์",'Raw_Data'!$E$2:$E$59,"สายสนับสนุนทางการแพทย์"),"")</x:f>
        <x:v>0</x:v>
      </x:c>
      <x:c r="AT27" s="131" t="n">
        <x:f>IFERROR(100*COUNTIFS('Raw_Data'!$AD$2:$AD$59,"&gt;=1",'Raw_Data'!$AD$2:$AD$59,"&lt;=2",'Raw_Data'!$A$2:$A$59,"Yes",'Raw_Data'!$D$2:$D$59,"ERและเปล",'Raw_Data'!$E$2:$E$59,"สายสนับสนุนทางการแพทย์")/COUNTIFS('Raw_Data'!$AD$2:$AD$59,"&gt;=1",'Raw_Data'!$AD$2:$AD$59,"&lt;=5",'Raw_Data'!$A$2:$A$59,"Yes",'Raw_Data'!$D$2:$D$59,"ERและเปล",'Raw_Data'!$E$2:$E$59,"สายสนับสนุนทางการแพทย์"),"")</x:f>
        <x:v>0</x:v>
      </x:c>
      <x:c r="AU27" s="131" t="n">
        <x:f>IFERROR(100*COUNTIFS('Raw_Data'!$AD$2:$AD$59,"&gt;=1",'Raw_Data'!$AD$2:$AD$59,"&lt;=2",'Raw_Data'!$A$2:$A$59,"Yes",'Raw_Data'!$D$2:$D$59,"ICU",'Raw_Data'!$E$2:$E$59,"สายสนับสนุนทางการแพทย์")/COUNTIFS('Raw_Data'!$AD$2:$AD$59,"&gt;=1",'Raw_Data'!$AD$2:$AD$59,"&lt;=5",'Raw_Data'!$A$2:$A$59,"Yes",'Raw_Data'!$D$2:$D$59,"ICU",'Raw_Data'!$E$2:$E$59,"สายสนับสนุนทางการแพทย์"),"")</x:f>
        <x:v>100</x:v>
      </x:c>
      <x:c r="AV27" s="131" t="n">
        <x:f>IFERROR(100*COUNTIFS('Raw_Data'!$AD$2:$AD$59,"&gt;=1",'Raw_Data'!$AD$2:$AD$59,"&lt;=2",'Raw_Data'!$A$2:$A$59,"Yes",'Raw_Data'!$D$2:$D$59,"IPD",'Raw_Data'!$E$2:$E$59,"สายสนับสนุนทางการแพทย์")/COUNTIFS('Raw_Data'!$AD$2:$AD$59,"&gt;=1",'Raw_Data'!$AD$2:$AD$59,"&lt;=5",'Raw_Data'!$A$2:$A$59,"Yes",'Raw_Data'!$D$2:$D$59,"IPD",'Raw_Data'!$E$2:$E$59,"สายสนับสนุนทางการแพทย์"),"")</x:f>
        <x:v>50</x:v>
      </x:c>
      <x:c r="AW27" s="131" t="n">
        <x:f>IFERROR(100*COUNTIFS('Raw_Data'!$AD$2:$AD$59,"&gt;=1",'Raw_Data'!$AD$2:$AD$59,"&lt;=2",'Raw_Data'!$A$2:$A$59,"Yes",'Raw_Data'!$D$2:$D$59,"IT",'Raw_Data'!$E$2:$E$59,"สายสนับสนุนทางการแพทย์")/COUNTIFS('Raw_Data'!$AD$2:$AD$59,"&gt;=1",'Raw_Data'!$AD$2:$AD$59,"&lt;=5",'Raw_Data'!$A$2:$A$59,"Yes",'Raw_Data'!$D$2:$D$59,"IT",'Raw_Data'!$E$2:$E$59,"สายสนับสนุนทางการแพทย์"),"")</x:f>
        <x:v>100</x:v>
      </x:c>
    </x:row>
    <x:row r="28" ht="42" customHeight="1">
      <x:c r="A28" s="123" t="str">
        <x:v>8. การรายงานเหตุการณ์ความปลอดภัยของผู้ป่วย/ผู้รับบริการ</x:v>
      </x:c>
      <x:c r="B28" s="124" t="str">
        <x:v>D1. เมื่อเกิดความผิดพลาดหรือคลาดเคลื่อนขึ้นแต่มีการดักจับหรือแก้ไขได้ก่อนถึงตัวผู้ป่วย มีการรายงานอุบัติการณ์ดังกล่าวบ่อยเพียงใด</x:v>
      </x:c>
      <x:c r="C28" s="131" t="n">
        <x:f>IFERROR(100*COUNTIFS('Raw_Data'!$AE$2:$AE$59,"&gt;=4",'Raw_Data'!$AE$2:$AE$59,"&lt;=5",'Raw_Data'!$A$2:$A$59,"Yes")/COUNTIFS('Raw_Data'!$AE$2:$AE$59,"&gt;=1",'Raw_Data'!$AE$2:$AE$59,"&lt;=5",'Raw_Data'!$A$2:$A$59,"Yes"),"")</x:f>
        <x:v>43.10344827586207</x:v>
      </x:c>
      <x:c r="D28" s="131" t="n">
        <x:f>IFERROR(100*COUNTIFS('Raw_Data'!$AE$2:$AE$59,"&gt;=4",'Raw_Data'!$AE$2:$AE$59,"&lt;=5",'Raw_Data'!$A$2:$A$59,"Yes",'Raw_Data'!$D$2:$D$59,"การเงิน")/COUNTIFS('Raw_Data'!$AE$2:$AE$59,"&gt;=1",'Raw_Data'!$AE$2:$AE$59,"&lt;=5",'Raw_Data'!$A$2:$A$59,"Yes",'Raw_Data'!$D$2:$D$59,"การเงิน"),"")</x:f>
        <x:v>0</x:v>
      </x:c>
      <x:c r="E28" s="131" t="n">
        <x:f>IFERROR(100*COUNTIFS('Raw_Data'!$AE$2:$AE$59,"&gt;=4",'Raw_Data'!$AE$2:$AE$59,"&lt;=5",'Raw_Data'!$A$2:$A$59,"Yes",'Raw_Data'!$D$2:$D$59,"เคหรักษ์")/COUNTIFS('Raw_Data'!$AE$2:$AE$59,"&gt;=1",'Raw_Data'!$AE$2:$AE$59,"&lt;=5",'Raw_Data'!$A$2:$A$59,"Yes",'Raw_Data'!$D$2:$D$59,"เคหรักษ์"),"")</x:f>
        <x:v>50</x:v>
      </x:c>
      <x:c r="F28" s="131" t="n">
        <x:f>IFERROR(100*COUNTIFS('Raw_Data'!$AE$2:$AE$59,"&gt;=4",'Raw_Data'!$AE$2:$AE$59,"&lt;=5",'Raw_Data'!$A$2:$A$59,"Yes",'Raw_Data'!$D$2:$D$59,"จ่ายกลาง")/COUNTIFS('Raw_Data'!$AE$2:$AE$59,"&gt;=1",'Raw_Data'!$AE$2:$AE$59,"&lt;=5",'Raw_Data'!$A$2:$A$59,"Yes",'Raw_Data'!$D$2:$D$59,"จ่ายกลาง"),"")</x:f>
        <x:v>0</x:v>
      </x:c>
      <x:c r="G28" s="131" t="n">
        <x:f>IFERROR(100*COUNTIFS('Raw_Data'!$AE$2:$AE$59,"&gt;=4",'Raw_Data'!$AE$2:$AE$59,"&lt;=5",'Raw_Data'!$A$2:$A$59,"Yes",'Raw_Data'!$D$2:$D$59,"ช่างและสนาม")/COUNTIFS('Raw_Data'!$AE$2:$AE$59,"&gt;=1",'Raw_Data'!$AE$2:$AE$59,"&lt;=5",'Raw_Data'!$A$2:$A$59,"Yes",'Raw_Data'!$D$2:$D$59,"ช่างและสนาม"),"")</x:f>
        <x:v>0</x:v>
      </x:c>
      <x:c r="H28" s="131" t="n">
        <x:f>IFERROR(100*COUNTIFS('Raw_Data'!$AE$2:$AE$59,"&gt;=4",'Raw_Data'!$AE$2:$AE$59,"&lt;=5",'Raw_Data'!$A$2:$A$59,"Yes",'Raw_Data'!$D$2:$D$59,"ผู้ป่วยสัมพันธ์")/COUNTIFS('Raw_Data'!$AE$2:$AE$59,"&gt;=1",'Raw_Data'!$AE$2:$AE$59,"&lt;=5",'Raw_Data'!$A$2:$A$59,"Yes",'Raw_Data'!$D$2:$D$59,"ผู้ป่วยสัมพันธ์"),"")</x:f>
        <x:v>50</x:v>
      </x:c>
      <x:c r="I28" s="131" t="n">
        <x:f>IFERROR(100*COUNTIFS('Raw_Data'!$AE$2:$AE$59,"&gt;=4",'Raw_Data'!$AE$2:$AE$59,"&lt;=5",'Raw_Data'!$A$2:$A$59,"Yes",'Raw_Data'!$D$2:$D$59,"ฝ่ายการพยาบาล")/COUNTIFS('Raw_Data'!$AE$2:$AE$59,"&gt;=1",'Raw_Data'!$AE$2:$AE$59,"&lt;=5",'Raw_Data'!$A$2:$A$59,"Yes",'Raw_Data'!$D$2:$D$59,"ฝ่ายการพยาบาล"),"")</x:f>
        <x:v>50</x:v>
      </x:c>
      <x:c r="J28" s="131" t="n">
        <x:f>IFERROR(100*COUNTIFS('Raw_Data'!$AE$2:$AE$59,"&gt;=4",'Raw_Data'!$AE$2:$AE$59,"&lt;=5",'Raw_Data'!$A$2:$A$59,"Yes",'Raw_Data'!$D$2:$D$59,"โภชนาการ")/COUNTIFS('Raw_Data'!$AE$2:$AE$59,"&gt;=1",'Raw_Data'!$AE$2:$AE$59,"&lt;=5",'Raw_Data'!$A$2:$A$59,"Yes",'Raw_Data'!$D$2:$D$59,"โภชนาการ"),"")</x:f>
        <x:v>100</x:v>
      </x:c>
      <x:c r="K28" s="131" t="n">
        <x:f>IFERROR(100*COUNTIFS('Raw_Data'!$AE$2:$AE$59,"&gt;=4",'Raw_Data'!$AE$2:$AE$59,"&lt;=5",'Raw_Data'!$A$2:$A$59,"Yes",'Raw_Data'!$D$2:$D$59,"ยานพาหนะ")/COUNTIFS('Raw_Data'!$AE$2:$AE$59,"&gt;=1",'Raw_Data'!$AE$2:$AE$59,"&lt;=5",'Raw_Data'!$A$2:$A$59,"Yes",'Raw_Data'!$D$2:$D$59,"ยานพาหนะ"),"")</x:f>
        <x:v>100</x:v>
      </x:c>
      <x:c r="L28" s="131" t="n">
        <x:f>IFERROR(100*COUNTIFS('Raw_Data'!$AE$2:$AE$59,"&gt;=4",'Raw_Data'!$AE$2:$AE$59,"&lt;=5",'Raw_Data'!$A$2:$A$59,"Yes",'Raw_Data'!$D$2:$D$59,"สื่อสารการตลาด")/COUNTIFS('Raw_Data'!$AE$2:$AE$59,"&gt;=1",'Raw_Data'!$AE$2:$AE$59,"&lt;=5",'Raw_Data'!$A$2:$A$59,"Yes",'Raw_Data'!$D$2:$D$59,"สื่อสารการตลาด"),"")</x:f>
        <x:v>0</x:v>
      </x:c>
      <x:c r="M28" s="131" t="n">
        <x:f>IFERROR(100*COUNTIFS('Raw_Data'!$AE$2:$AE$59,"&gt;=4",'Raw_Data'!$AE$2:$AE$59,"&lt;=5",'Raw_Data'!$A$2:$A$59,"Yes",'Raw_Data'!$D$2:$D$59,"ห้องยา")/COUNTIFS('Raw_Data'!$AE$2:$AE$59,"&gt;=1",'Raw_Data'!$AE$2:$AE$59,"&lt;=5",'Raw_Data'!$A$2:$A$59,"Yes",'Raw_Data'!$D$2:$D$59,"ห้องยา"),"")</x:f>
        <x:v>83.33333333333333</x:v>
      </x:c>
      <x:c r="N28" s="131" t="n">
        <x:f>IFERROR(100*COUNTIFS('Raw_Data'!$AE$2:$AE$59,"&gt;=4",'Raw_Data'!$AE$2:$AE$59,"&lt;=5",'Raw_Data'!$A$2:$A$59,"Yes",'Raw_Data'!$D$2:$D$59,"ห้องแลป")/COUNTIFS('Raw_Data'!$AE$2:$AE$59,"&gt;=1",'Raw_Data'!$AE$2:$AE$59,"&lt;=5",'Raw_Data'!$A$2:$A$59,"Yes",'Raw_Data'!$D$2:$D$59,"ห้องแลป"),"")</x:f>
        <x:v>50</x:v>
      </x:c>
      <x:c r="O28" s="131" t="n">
        <x:f>IFERROR(100*COUNTIFS('Raw_Data'!$AE$2:$AE$59,"&gt;=4",'Raw_Data'!$AE$2:$AE$59,"&lt;=5",'Raw_Data'!$A$2:$A$59,"Yes",'Raw_Data'!$D$2:$D$59,"ห้องเอ็กซเรย์")/COUNTIFS('Raw_Data'!$AE$2:$AE$59,"&gt;=1",'Raw_Data'!$AE$2:$AE$59,"&lt;=5",'Raw_Data'!$A$2:$A$59,"Yes",'Raw_Data'!$D$2:$D$59,"ห้องเอ็กซเรย์"),"")</x:f>
        <x:v>66.66666666666667</x:v>
      </x:c>
      <x:c r="P28" s="131" t="n">
        <x:f>IFERROR(100*COUNTIFS('Raw_Data'!$AE$2:$AE$59,"&gt;=4",'Raw_Data'!$AE$2:$AE$59,"&lt;=5",'Raw_Data'!$A$2:$A$59,"Yes",'Raw_Data'!$D$2:$D$59,"ERและเปล")/COUNTIFS('Raw_Data'!$AE$2:$AE$59,"&gt;=1",'Raw_Data'!$AE$2:$AE$59,"&lt;=5",'Raw_Data'!$A$2:$A$59,"Yes",'Raw_Data'!$D$2:$D$59,"ERและเปล"),"")</x:f>
        <x:v>18.181818181818183</x:v>
      </x:c>
      <x:c r="Q28" s="131" t="n">
        <x:f>IFERROR(100*COUNTIFS('Raw_Data'!$AE$2:$AE$59,"&gt;=4",'Raw_Data'!$AE$2:$AE$59,"&lt;=5",'Raw_Data'!$A$2:$A$59,"Yes",'Raw_Data'!$D$2:$D$59,"HR")/COUNTIFS('Raw_Data'!$AE$2:$AE$59,"&gt;=1",'Raw_Data'!$AE$2:$AE$59,"&lt;=5",'Raw_Data'!$A$2:$A$59,"Yes",'Raw_Data'!$D$2:$D$59,"HR"),"")</x:f>
        <x:v>0</x:v>
      </x:c>
      <x:c r="R28" s="131" t="n">
        <x:f>IFERROR(100*COUNTIFS('Raw_Data'!$AE$2:$AE$59,"&gt;=4",'Raw_Data'!$AE$2:$AE$59,"&lt;=5",'Raw_Data'!$A$2:$A$59,"Yes",'Raw_Data'!$D$2:$D$59,"ICU")/COUNTIFS('Raw_Data'!$AE$2:$AE$59,"&gt;=1",'Raw_Data'!$AE$2:$AE$59,"&lt;=5",'Raw_Data'!$A$2:$A$59,"Yes",'Raw_Data'!$D$2:$D$59,"ICU"),"")</x:f>
        <x:v>50</x:v>
      </x:c>
      <x:c r="S28" s="131" t="n">
        <x:f>IFERROR(100*COUNTIFS('Raw_Data'!$AE$2:$AE$59,"&gt;=4",'Raw_Data'!$AE$2:$AE$59,"&lt;=5",'Raw_Data'!$A$2:$A$59,"Yes",'Raw_Data'!$D$2:$D$59,"IPD")/COUNTIFS('Raw_Data'!$AE$2:$AE$59,"&gt;=1",'Raw_Data'!$AE$2:$AE$59,"&lt;=5",'Raw_Data'!$A$2:$A$59,"Yes",'Raw_Data'!$D$2:$D$59,"IPD"),"")</x:f>
        <x:v>33.333333333333336</x:v>
      </x:c>
      <x:c r="T28" s="131" t="n">
        <x:f>IFERROR(100*COUNTIFS('Raw_Data'!$AE$2:$AE$59,"&gt;=4",'Raw_Data'!$AE$2:$AE$59,"&lt;=5",'Raw_Data'!$A$2:$A$59,"Yes",'Raw_Data'!$D$2:$D$59,"IT")/COUNTIFS('Raw_Data'!$AE$2:$AE$59,"&gt;=1",'Raw_Data'!$AE$2:$AE$59,"&lt;=5",'Raw_Data'!$A$2:$A$59,"Yes",'Raw_Data'!$D$2:$D$59,"IT"),"")</x:f>
        <x:v>100</x:v>
      </x:c>
      <x:c r="U28" s="131" t="n">
        <x:f>IFERROR(100*COUNTIFS('Raw_Data'!$AE$2:$AE$59,"&gt;=4",'Raw_Data'!$AE$2:$AE$59,"&lt;=5",'Raw_Data'!$A$2:$A$59,"Yes",'Raw_Data'!$D$2:$D$59,"OR")/COUNTIFS('Raw_Data'!$AE$2:$AE$59,"&gt;=1",'Raw_Data'!$AE$2:$AE$59,"&lt;=5",'Raw_Data'!$A$2:$A$59,"Yes",'Raw_Data'!$D$2:$D$59,"OR"),"")</x:f>
        <x:v>75</x:v>
      </x:c>
      <x:c r="V28" s="131" t="n">
        <x:f>IFERROR(100*COUNTIFS('Raw_Data'!$AE$2:$AE$59,"&gt;=4",'Raw_Data'!$AE$2:$AE$59,"&lt;=5",'Raw_Data'!$A$2:$A$59,"Yes",'Raw_Data'!$D$2:$D$59,"IPD",'Raw_Data'!$E$2:$E$59,"ผู้บริหาร")/COUNTIFS('Raw_Data'!$AE$2:$AE$59,"&gt;=1",'Raw_Data'!$AE$2:$AE$59,"&lt;=5",'Raw_Data'!$A$2:$A$59,"Yes",'Raw_Data'!$D$2:$D$59,"IPD",'Raw_Data'!$E$2:$E$59,"ผู้บริหาร"),"")</x:f>
        <x:v>100</x:v>
      </x:c>
      <x:c r="W28" s="131" t="n">
        <x:f>IFERROR(100*COUNTIFS('Raw_Data'!$AE$2:$AE$59,"&gt;=4",'Raw_Data'!$AE$2:$AE$59,"&lt;=5",'Raw_Data'!$A$2:$A$59,"Yes",'Raw_Data'!$D$2:$D$59,"ฝ่ายการพยาบาล",'Raw_Data'!$E$2:$E$59,"สายวิชาชีพสาธารณสุข")/COUNTIFS('Raw_Data'!$AE$2:$AE$59,"&gt;=1",'Raw_Data'!$AE$2:$AE$59,"&lt;=5",'Raw_Data'!$A$2:$A$59,"Yes",'Raw_Data'!$D$2:$D$59,"ฝ่ายการพยาบาล",'Raw_Data'!$E$2:$E$59,"สายวิชาชีพสาธารณสุข"),"")</x:f>
        <x:v>0</x:v>
      </x:c>
      <x:c r="X28" s="131" t="n">
        <x:f>IFERROR(100*COUNTIFS('Raw_Data'!$AE$2:$AE$59,"&gt;=4",'Raw_Data'!$AE$2:$AE$59,"&lt;=5",'Raw_Data'!$A$2:$A$59,"Yes",'Raw_Data'!$D$2:$D$59,"ERและเปล",'Raw_Data'!$E$2:$E$59,"สายวิชาชีพสาธารณสุข")/COUNTIFS('Raw_Data'!$AE$2:$AE$59,"&gt;=1",'Raw_Data'!$AE$2:$AE$59,"&lt;=5",'Raw_Data'!$A$2:$A$59,"Yes",'Raw_Data'!$D$2:$D$59,"ERและเปล",'Raw_Data'!$E$2:$E$59,"สายวิชาชีพสาธารณสุข"),"")</x:f>
        <x:v>28.571428571428573</x:v>
      </x:c>
      <x:c r="Y28" s="131" t="n">
        <x:f>IFERROR(100*COUNTIFS('Raw_Data'!$AE$2:$AE$59,"&gt;=4",'Raw_Data'!$AE$2:$AE$59,"&lt;=5",'Raw_Data'!$A$2:$A$59,"Yes",'Raw_Data'!$D$2:$D$59,"ICU",'Raw_Data'!$E$2:$E$59,"สายวิชาชีพสาธารณสุข")/COUNTIFS('Raw_Data'!$AE$2:$AE$59,"&gt;=1",'Raw_Data'!$AE$2:$AE$59,"&lt;=5",'Raw_Data'!$A$2:$A$59,"Yes",'Raw_Data'!$D$2:$D$59,"ICU",'Raw_Data'!$E$2:$E$59,"สายวิชาชีพสาธารณสุข"),"")</x:f>
        <x:v>100</x:v>
      </x:c>
      <x:c r="Z28" s="131" t="n">
        <x:f>IFERROR(100*COUNTIFS('Raw_Data'!$AE$2:$AE$59,"&gt;=4",'Raw_Data'!$AE$2:$AE$59,"&lt;=5",'Raw_Data'!$A$2:$A$59,"Yes",'Raw_Data'!$D$2:$D$59,"IPD",'Raw_Data'!$E$2:$E$59,"สายวิชาชีพสาธารณสุข")/COUNTIFS('Raw_Data'!$AE$2:$AE$59,"&gt;=1",'Raw_Data'!$AE$2:$AE$59,"&lt;=5",'Raw_Data'!$A$2:$A$59,"Yes",'Raw_Data'!$D$2:$D$59,"IPD",'Raw_Data'!$E$2:$E$59,"สายวิชาชีพสาธารณสุข"),"")</x:f>
        <x:v>0</x:v>
      </x:c>
      <x:c r="AA28" s="131" t="n">
        <x:f>IFERROR(100*COUNTIFS('Raw_Data'!$AE$2:$AE$59,"&gt;=4",'Raw_Data'!$AE$2:$AE$59,"&lt;=5",'Raw_Data'!$A$2:$A$59,"Yes",'Raw_Data'!$D$2:$D$59,"OR",'Raw_Data'!$E$2:$E$59,"สายวิชาชีพสาธารณสุข")/COUNTIFS('Raw_Data'!$AE$2:$AE$59,"&gt;=1",'Raw_Data'!$AE$2:$AE$59,"&lt;=5",'Raw_Data'!$A$2:$A$59,"Yes",'Raw_Data'!$D$2:$D$59,"OR",'Raw_Data'!$E$2:$E$59,"สายวิชาชีพสาธารณสุข"),"")</x:f>
        <x:v>75</x:v>
      </x:c>
      <x:c r="AB28" s="131" t="n">
        <x:f>IFERROR(100*COUNTIFS('Raw_Data'!$AE$2:$AE$59,"&gt;=4",'Raw_Data'!$AE$2:$AE$59,"&lt;=5",'Raw_Data'!$A$2:$A$59,"Yes",'Raw_Data'!$D$2:$D$59,"การเงิน",'Raw_Data'!$E$2:$E$59,"สายสนับสนุนทั่วไป")/COUNTIFS('Raw_Data'!$AE$2:$AE$59,"&gt;=1",'Raw_Data'!$AE$2:$AE$59,"&lt;=5",'Raw_Data'!$A$2:$A$59,"Yes",'Raw_Data'!$D$2:$D$59,"การเงิน",'Raw_Data'!$E$2:$E$59,"สายสนับสนุนทั่วไป"),"")</x:f>
        <x:v>0</x:v>
      </x:c>
      <x:c r="AC28" s="131" t="n">
        <x:f>IFERROR(100*COUNTIFS('Raw_Data'!$AE$2:$AE$59,"&gt;=4",'Raw_Data'!$AE$2:$AE$59,"&lt;=5",'Raw_Data'!$A$2:$A$59,"Yes",'Raw_Data'!$D$2:$D$59,"เคหรักษ์",'Raw_Data'!$E$2:$E$59,"สายสนับสนุนทั่วไป")/COUNTIFS('Raw_Data'!$AE$2:$AE$59,"&gt;=1",'Raw_Data'!$AE$2:$AE$59,"&lt;=5",'Raw_Data'!$A$2:$A$59,"Yes",'Raw_Data'!$D$2:$D$59,"เคหรักษ์",'Raw_Data'!$E$2:$E$59,"สายสนับสนุนทั่วไป"),"")</x:f>
        <x:v>50</x:v>
      </x:c>
      <x:c r="AD28" s="131" t="n">
        <x:f>IFERROR(100*COUNTIFS('Raw_Data'!$AE$2:$AE$59,"&gt;=4",'Raw_Data'!$AE$2:$AE$59,"&lt;=5",'Raw_Data'!$A$2:$A$59,"Yes",'Raw_Data'!$D$2:$D$59,"จ่ายกลาง",'Raw_Data'!$E$2:$E$59,"สายสนับสนุนทั่วไป")/COUNTIFS('Raw_Data'!$AE$2:$AE$59,"&gt;=1",'Raw_Data'!$AE$2:$AE$59,"&lt;=5",'Raw_Data'!$A$2:$A$59,"Yes",'Raw_Data'!$D$2:$D$59,"จ่ายกลาง",'Raw_Data'!$E$2:$E$59,"สายสนับสนุนทั่วไป"),"")</x:f>
        <x:v>0</x:v>
      </x:c>
      <x:c r="AE28" s="131" t="n">
        <x:f>IFERROR(100*COUNTIFS('Raw_Data'!$AE$2:$AE$59,"&gt;=4",'Raw_Data'!$AE$2:$AE$59,"&lt;=5",'Raw_Data'!$A$2:$A$59,"Yes",'Raw_Data'!$D$2:$D$59,"ช่างและสนาม",'Raw_Data'!$E$2:$E$59,"สายสนับสนุนทั่วไป")/COUNTIFS('Raw_Data'!$AE$2:$AE$59,"&gt;=1",'Raw_Data'!$AE$2:$AE$59,"&lt;=5",'Raw_Data'!$A$2:$A$59,"Yes",'Raw_Data'!$D$2:$D$59,"ช่างและสนาม",'Raw_Data'!$E$2:$E$59,"สายสนับสนุนทั่วไป"),"")</x:f>
        <x:v>0</x:v>
      </x:c>
      <x:c r="AF28" s="131" t="n">
        <x:f>IFERROR(100*COUNTIFS('Raw_Data'!$AE$2:$AE$59,"&gt;=4",'Raw_Data'!$AE$2:$AE$59,"&lt;=5",'Raw_Data'!$A$2:$A$59,"Yes",'Raw_Data'!$D$2:$D$59,"ผู้ป่วยสัมพันธ์",'Raw_Data'!$E$2:$E$59,"สายสนับสนุนทั่วไป")/COUNTIFS('Raw_Data'!$AE$2:$AE$59,"&gt;=1",'Raw_Data'!$AE$2:$AE$59,"&lt;=5",'Raw_Data'!$A$2:$A$59,"Yes",'Raw_Data'!$D$2:$D$59,"ผู้ป่วยสัมพันธ์",'Raw_Data'!$E$2:$E$59,"สายสนับสนุนทั่วไป"),"")</x:f>
        <x:v>0</x:v>
      </x:c>
      <x:c r="AG28" s="131" t="n">
        <x:f>IFERROR(100*COUNTIFS('Raw_Data'!$AE$2:$AE$59,"&gt;=4",'Raw_Data'!$AE$2:$AE$59,"&lt;=5",'Raw_Data'!$A$2:$A$59,"Yes",'Raw_Data'!$D$2:$D$59,"ยานพาหนะ",'Raw_Data'!$E$2:$E$59,"สายสนับสนุนทั่วไป")/COUNTIFS('Raw_Data'!$AE$2:$AE$59,"&gt;=1",'Raw_Data'!$AE$2:$AE$59,"&lt;=5",'Raw_Data'!$A$2:$A$59,"Yes",'Raw_Data'!$D$2:$D$59,"ยานพาหนะ",'Raw_Data'!$E$2:$E$59,"สายสนับสนุนทั่วไป"),"")</x:f>
        <x:v>100</x:v>
      </x:c>
      <x:c r="AH28" s="131" t="n">
        <x:f>IFERROR(100*COUNTIFS('Raw_Data'!$AE$2:$AE$59,"&gt;=4",'Raw_Data'!$AE$2:$AE$59,"&lt;=5",'Raw_Data'!$A$2:$A$59,"Yes",'Raw_Data'!$D$2:$D$59,"สื่อสารการตลาด",'Raw_Data'!$E$2:$E$59,"สายสนับสนุนทั่วไป")/COUNTIFS('Raw_Data'!$AE$2:$AE$59,"&gt;=1",'Raw_Data'!$AE$2:$AE$59,"&lt;=5",'Raw_Data'!$A$2:$A$59,"Yes",'Raw_Data'!$D$2:$D$59,"สื่อสารการตลาด",'Raw_Data'!$E$2:$E$59,"สายสนับสนุนทั่วไป"),"")</x:f>
        <x:v>0</x:v>
      </x:c>
      <x:c r="AI28" s="131" t="n">
        <x:f>IFERROR(100*COUNTIFS('Raw_Data'!$AE$2:$AE$59,"&gt;=4",'Raw_Data'!$AE$2:$AE$59,"&lt;=5",'Raw_Data'!$A$2:$A$59,"Yes",'Raw_Data'!$D$2:$D$59,"ERและเปล",'Raw_Data'!$E$2:$E$59,"สายสนับสนุนทั่วไป")/COUNTIFS('Raw_Data'!$AE$2:$AE$59,"&gt;=1",'Raw_Data'!$AE$2:$AE$59,"&lt;=5",'Raw_Data'!$A$2:$A$59,"Yes",'Raw_Data'!$D$2:$D$59,"ERและเปล",'Raw_Data'!$E$2:$E$59,"สายสนับสนุนทั่วไป"),"")</x:f>
        <x:v>0</x:v>
      </x:c>
      <x:c r="AJ28" s="131" t="n">
        <x:f>IFERROR(100*COUNTIFS('Raw_Data'!$AE$2:$AE$59,"&gt;=4",'Raw_Data'!$AE$2:$AE$59,"&lt;=5",'Raw_Data'!$A$2:$A$59,"Yes",'Raw_Data'!$D$2:$D$59,"HR",'Raw_Data'!$E$2:$E$59,"สายสนับสนุนทั่วไป")/COUNTIFS('Raw_Data'!$AE$2:$AE$59,"&gt;=1",'Raw_Data'!$AE$2:$AE$59,"&lt;=5",'Raw_Data'!$A$2:$A$59,"Yes",'Raw_Data'!$D$2:$D$59,"HR",'Raw_Data'!$E$2:$E$59,"สายสนับสนุนทั่วไป"),"")</x:f>
        <x:v>0</x:v>
      </x:c>
      <x:c r="AK28" s="131" t="n">
        <x:f>IFERROR(100*COUNTIFS('Raw_Data'!$AE$2:$AE$59,"&gt;=4",'Raw_Data'!$AE$2:$AE$59,"&lt;=5",'Raw_Data'!$A$2:$A$59,"Yes",'Raw_Data'!$D$2:$D$59,"ICU",'Raw_Data'!$E$2:$E$59,"สายสนับสนุนทั่วไป")/COUNTIFS('Raw_Data'!$AE$2:$AE$59,"&gt;=1",'Raw_Data'!$AE$2:$AE$59,"&lt;=5",'Raw_Data'!$A$2:$A$59,"Yes",'Raw_Data'!$D$2:$D$59,"ICU",'Raw_Data'!$E$2:$E$59,"สายสนับสนุนทั่วไป"),"")</x:f>
        <x:v>0</x:v>
      </x:c>
      <x:c r="AL28" s="131" t="n">
        <x:f>IFERROR(100*COUNTIFS('Raw_Data'!$AE$2:$AE$59,"&gt;=4",'Raw_Data'!$AE$2:$AE$59,"&lt;=5",'Raw_Data'!$A$2:$A$59,"Yes",'Raw_Data'!$D$2:$D$59,"IPD",'Raw_Data'!$E$2:$E$59,"สายสนับสนุนทั่วไป")/COUNTIFS('Raw_Data'!$AE$2:$AE$59,"&gt;=1",'Raw_Data'!$AE$2:$AE$59,"&lt;=5",'Raw_Data'!$A$2:$A$59,"Yes",'Raw_Data'!$D$2:$D$59,"IPD",'Raw_Data'!$E$2:$E$59,"สายสนับสนุนทั่วไป"),"")</x:f>
        <x:v>0</x:v>
      </x:c>
      <x:c r="AM28" s="131" t="n">
        <x:f>IFERROR(100*COUNTIFS('Raw_Data'!$AE$2:$AE$59,"&gt;=4",'Raw_Data'!$AE$2:$AE$59,"&lt;=5",'Raw_Data'!$A$2:$A$59,"Yes",'Raw_Data'!$D$2:$D$59,"IT",'Raw_Data'!$E$2:$E$59,"สายสนับสนุนทั่วไป")/COUNTIFS('Raw_Data'!$AE$2:$AE$59,"&gt;=1",'Raw_Data'!$AE$2:$AE$59,"&lt;=5",'Raw_Data'!$A$2:$A$59,"Yes",'Raw_Data'!$D$2:$D$59,"IT",'Raw_Data'!$E$2:$E$59,"สายสนับสนุนทั่วไป"),"")</x:f>
        <x:v>100</x:v>
      </x:c>
      <x:c r="AN28" s="131" t="n">
        <x:f>IFERROR(100*COUNTIFS('Raw_Data'!$AE$2:$AE$59,"&gt;=4",'Raw_Data'!$AE$2:$AE$59,"&lt;=5",'Raw_Data'!$A$2:$A$59,"Yes",'Raw_Data'!$D$2:$D$59,"ผู้ป่วยสัมพันธ์",'Raw_Data'!$E$2:$E$59,"สายสนับสนุนทางการแพทย์")/COUNTIFS('Raw_Data'!$AE$2:$AE$59,"&gt;=1",'Raw_Data'!$AE$2:$AE$59,"&lt;=5",'Raw_Data'!$A$2:$A$59,"Yes",'Raw_Data'!$D$2:$D$59,"ผู้ป่วยสัมพันธ์",'Raw_Data'!$E$2:$E$59,"สายสนับสนุนทางการแพทย์"),"")</x:f>
        <x:v>66.66666666666667</x:v>
      </x:c>
      <x:c r="AO28" s="131" t="n">
        <x:f>IFERROR(100*COUNTIFS('Raw_Data'!$AE$2:$AE$59,"&gt;=4",'Raw_Data'!$AE$2:$AE$59,"&lt;=5",'Raw_Data'!$A$2:$A$59,"Yes",'Raw_Data'!$D$2:$D$59,"ฝ่ายการพยาบาล",'Raw_Data'!$E$2:$E$59,"สายสนับสนุนทางการแพทย์")/COUNTIFS('Raw_Data'!$AE$2:$AE$59,"&gt;=1",'Raw_Data'!$AE$2:$AE$59,"&lt;=5",'Raw_Data'!$A$2:$A$59,"Yes",'Raw_Data'!$D$2:$D$59,"ฝ่ายการพยาบาล",'Raw_Data'!$E$2:$E$59,"สายสนับสนุนทางการแพทย์"),"")</x:f>
        <x:v>100</x:v>
      </x:c>
      <x:c r="AP28" s="131" t="n">
        <x:f>IFERROR(100*COUNTIFS('Raw_Data'!$AE$2:$AE$59,"&gt;=4",'Raw_Data'!$AE$2:$AE$59,"&lt;=5",'Raw_Data'!$A$2:$A$59,"Yes",'Raw_Data'!$D$2:$D$59,"โภชนาการ",'Raw_Data'!$E$2:$E$59,"สายสนับสนุนทางการแพทย์")/COUNTIFS('Raw_Data'!$AE$2:$AE$59,"&gt;=1",'Raw_Data'!$AE$2:$AE$59,"&lt;=5",'Raw_Data'!$A$2:$A$59,"Yes",'Raw_Data'!$D$2:$D$59,"โภชนาการ",'Raw_Data'!$E$2:$E$59,"สายสนับสนุนทางการแพทย์"),"")</x:f>
        <x:v>100</x:v>
      </x:c>
      <x:c r="AQ28" s="131" t="n">
        <x:f>IFERROR(100*COUNTIFS('Raw_Data'!$AE$2:$AE$59,"&gt;=4",'Raw_Data'!$AE$2:$AE$59,"&lt;=5",'Raw_Data'!$A$2:$A$59,"Yes",'Raw_Data'!$D$2:$D$59,"ห้องยา",'Raw_Data'!$E$2:$E$59,"สายสนับสนุนทางการแพทย์")/COUNTIFS('Raw_Data'!$AE$2:$AE$59,"&gt;=1",'Raw_Data'!$AE$2:$AE$59,"&lt;=5",'Raw_Data'!$A$2:$A$59,"Yes",'Raw_Data'!$D$2:$D$59,"ห้องยา",'Raw_Data'!$E$2:$E$59,"สายสนับสนุนทางการแพทย์"),"")</x:f>
        <x:v>83.33333333333333</x:v>
      </x:c>
      <x:c r="AR28" s="131" t="n">
        <x:f>IFERROR(100*COUNTIFS('Raw_Data'!$AE$2:$AE$59,"&gt;=4",'Raw_Data'!$AE$2:$AE$59,"&lt;=5",'Raw_Data'!$A$2:$A$59,"Yes",'Raw_Data'!$D$2:$D$59,"ห้องแลป",'Raw_Data'!$E$2:$E$59,"สายสนับสนุนทางการแพทย์")/COUNTIFS('Raw_Data'!$AE$2:$AE$59,"&gt;=1",'Raw_Data'!$AE$2:$AE$59,"&lt;=5",'Raw_Data'!$A$2:$A$59,"Yes",'Raw_Data'!$D$2:$D$59,"ห้องแลป",'Raw_Data'!$E$2:$E$59,"สายสนับสนุนทางการแพทย์"),"")</x:f>
        <x:v>50</x:v>
      </x:c>
      <x:c r="AS28" s="131" t="n">
        <x:f>IFERROR(100*COUNTIFS('Raw_Data'!$AE$2:$AE$59,"&gt;=4",'Raw_Data'!$AE$2:$AE$59,"&lt;=5",'Raw_Data'!$A$2:$A$59,"Yes",'Raw_Data'!$D$2:$D$59,"ห้องเอ็กซเรย์",'Raw_Data'!$E$2:$E$59,"สายสนับสนุนทางการแพทย์")/COUNTIFS('Raw_Data'!$AE$2:$AE$59,"&gt;=1",'Raw_Data'!$AE$2:$AE$59,"&lt;=5",'Raw_Data'!$A$2:$A$59,"Yes",'Raw_Data'!$D$2:$D$59,"ห้องเอ็กซเรย์",'Raw_Data'!$E$2:$E$59,"สายสนับสนุนทางการแพทย์"),"")</x:f>
        <x:v>66.66666666666667</x:v>
      </x:c>
      <x:c r="AT28" s="131" t="n">
        <x:f>IFERROR(100*COUNTIFS('Raw_Data'!$AE$2:$AE$59,"&gt;=4",'Raw_Data'!$AE$2:$AE$59,"&lt;=5",'Raw_Data'!$A$2:$A$59,"Yes",'Raw_Data'!$D$2:$D$59,"ERและเปล",'Raw_Data'!$E$2:$E$59,"สายสนับสนุนทางการแพทย์")/COUNTIFS('Raw_Data'!$AE$2:$AE$59,"&gt;=1",'Raw_Data'!$AE$2:$AE$59,"&lt;=5",'Raw_Data'!$A$2:$A$59,"Yes",'Raw_Data'!$D$2:$D$59,"ERและเปล",'Raw_Data'!$E$2:$E$59,"สายสนับสนุนทางการแพทย์"),"")</x:f>
        <x:v>0</x:v>
      </x:c>
      <x:c r="AU28" s="131" t="n">
        <x:f>IFERROR(100*COUNTIFS('Raw_Data'!$AE$2:$AE$59,"&gt;=4",'Raw_Data'!$AE$2:$AE$59,"&lt;=5",'Raw_Data'!$A$2:$A$59,"Yes",'Raw_Data'!$D$2:$D$59,"ICU",'Raw_Data'!$E$2:$E$59,"สายสนับสนุนทางการแพทย์")/COUNTIFS('Raw_Data'!$AE$2:$AE$59,"&gt;=1",'Raw_Data'!$AE$2:$AE$59,"&lt;=5",'Raw_Data'!$A$2:$A$59,"Yes",'Raw_Data'!$D$2:$D$59,"ICU",'Raw_Data'!$E$2:$E$59,"สายสนับสนุนทางการแพทย์"),"")</x:f>
        <x:v>0</x:v>
      </x:c>
      <x:c r="AV28" s="131" t="n">
        <x:f>IFERROR(100*COUNTIFS('Raw_Data'!$AE$2:$AE$59,"&gt;=4",'Raw_Data'!$AE$2:$AE$59,"&lt;=5",'Raw_Data'!$A$2:$A$59,"Yes",'Raw_Data'!$D$2:$D$59,"IPD",'Raw_Data'!$E$2:$E$59,"สายสนับสนุนทางการแพทย์")/COUNTIFS('Raw_Data'!$AE$2:$AE$59,"&gt;=1",'Raw_Data'!$AE$2:$AE$59,"&lt;=5",'Raw_Data'!$A$2:$A$59,"Yes",'Raw_Data'!$D$2:$D$59,"IPD",'Raw_Data'!$E$2:$E$59,"สายสนับสนุนทางการแพทย์"),"")</x:f>
        <x:v>50</x:v>
      </x:c>
      <x:c r="AW28" s="131" t="n">
        <x:f>IFERROR(100*COUNTIFS('Raw_Data'!$AE$2:$AE$59,"&gt;=4",'Raw_Data'!$AE$2:$AE$59,"&lt;=5",'Raw_Data'!$A$2:$A$59,"Yes",'Raw_Data'!$D$2:$D$59,"IT",'Raw_Data'!$E$2:$E$59,"สายสนับสนุนทางการแพทย์")/COUNTIFS('Raw_Data'!$AE$2:$AE$59,"&gt;=1",'Raw_Data'!$AE$2:$AE$59,"&lt;=5",'Raw_Data'!$A$2:$A$59,"Yes",'Raw_Data'!$D$2:$D$59,"IT",'Raw_Data'!$E$2:$E$59,"สายสนับสนุนทางการแพทย์"),"")</x:f>
        <x:v>100</x:v>
      </x:c>
    </x:row>
    <x:row r="29" ht="42" customHeight="1">
      <x:c r="A29" s="123"/>
      <x:c r="B29" s="124" t="str">
        <x:v>D2. 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มีการรายงานอุบัติการณ์ดังกล่าวบ่อยเพียงใด</x:v>
      </x:c>
      <x:c r="C29" s="131" t="n">
        <x:f>IFERROR(100*COUNTIFS('Raw_Data'!$AF$2:$AF$59,"&gt;=4",'Raw_Data'!$AF$2:$AF$59,"&lt;=5",'Raw_Data'!$A$2:$A$59,"Yes")/COUNTIFS('Raw_Data'!$AF$2:$AF$59,"&gt;=1",'Raw_Data'!$AF$2:$AF$59,"&lt;=5",'Raw_Data'!$A$2:$A$59,"Yes"),"")</x:f>
        <x:v>43.10344827586207</x:v>
      </x:c>
      <x:c r="D29" s="131" t="n">
        <x:f>IFERROR(100*COUNTIFS('Raw_Data'!$AF$2:$AF$59,"&gt;=4",'Raw_Data'!$AF$2:$AF$59,"&lt;=5",'Raw_Data'!$A$2:$A$59,"Yes",'Raw_Data'!$D$2:$D$59,"การเงิน")/COUNTIFS('Raw_Data'!$AF$2:$AF$59,"&gt;=1",'Raw_Data'!$AF$2:$AF$59,"&lt;=5",'Raw_Data'!$A$2:$A$59,"Yes",'Raw_Data'!$D$2:$D$59,"การเงิน"),"")</x:f>
        <x:v>33.333333333333336</x:v>
      </x:c>
      <x:c r="E29" s="131" t="n">
        <x:f>IFERROR(100*COUNTIFS('Raw_Data'!$AF$2:$AF$59,"&gt;=4",'Raw_Data'!$AF$2:$AF$59,"&lt;=5",'Raw_Data'!$A$2:$A$59,"Yes",'Raw_Data'!$D$2:$D$59,"เคหรักษ์")/COUNTIFS('Raw_Data'!$AF$2:$AF$59,"&gt;=1",'Raw_Data'!$AF$2:$AF$59,"&lt;=5",'Raw_Data'!$A$2:$A$59,"Yes",'Raw_Data'!$D$2:$D$59,"เคหรักษ์"),"")</x:f>
        <x:v>50</x:v>
      </x:c>
      <x:c r="F29" s="131" t="n">
        <x:f>IFERROR(100*COUNTIFS('Raw_Data'!$AF$2:$AF$59,"&gt;=4",'Raw_Data'!$AF$2:$AF$59,"&lt;=5",'Raw_Data'!$A$2:$A$59,"Yes",'Raw_Data'!$D$2:$D$59,"จ่ายกลาง")/COUNTIFS('Raw_Data'!$AF$2:$AF$59,"&gt;=1",'Raw_Data'!$AF$2:$AF$59,"&lt;=5",'Raw_Data'!$A$2:$A$59,"Yes",'Raw_Data'!$D$2:$D$59,"จ่ายกลาง"),"")</x:f>
        <x:v>0</x:v>
      </x:c>
      <x:c r="G29" s="131" t="n">
        <x:f>IFERROR(100*COUNTIFS('Raw_Data'!$AF$2:$AF$59,"&gt;=4",'Raw_Data'!$AF$2:$AF$59,"&lt;=5",'Raw_Data'!$A$2:$A$59,"Yes",'Raw_Data'!$D$2:$D$59,"ช่างและสนาม")/COUNTIFS('Raw_Data'!$AF$2:$AF$59,"&gt;=1",'Raw_Data'!$AF$2:$AF$59,"&lt;=5",'Raw_Data'!$A$2:$A$59,"Yes",'Raw_Data'!$D$2:$D$59,"ช่างและสนาม"),"")</x:f>
        <x:v>0</x:v>
      </x:c>
      <x:c r="H29" s="131" t="n">
        <x:f>IFERROR(100*COUNTIFS('Raw_Data'!$AF$2:$AF$59,"&gt;=4",'Raw_Data'!$AF$2:$AF$59,"&lt;=5",'Raw_Data'!$A$2:$A$59,"Yes",'Raw_Data'!$D$2:$D$59,"ผู้ป่วยสัมพันธ์")/COUNTIFS('Raw_Data'!$AF$2:$AF$59,"&gt;=1",'Raw_Data'!$AF$2:$AF$59,"&lt;=5",'Raw_Data'!$A$2:$A$59,"Yes",'Raw_Data'!$D$2:$D$59,"ผู้ป่วยสัมพันธ์"),"")</x:f>
        <x:v>25</x:v>
      </x:c>
      <x:c r="I29" s="131" t="n">
        <x:f>IFERROR(100*COUNTIFS('Raw_Data'!$AF$2:$AF$59,"&gt;=4",'Raw_Data'!$AF$2:$AF$59,"&lt;=5",'Raw_Data'!$A$2:$A$59,"Yes",'Raw_Data'!$D$2:$D$59,"ฝ่ายการพยาบาล")/COUNTIFS('Raw_Data'!$AF$2:$AF$59,"&gt;=1",'Raw_Data'!$AF$2:$AF$59,"&lt;=5",'Raw_Data'!$A$2:$A$59,"Yes",'Raw_Data'!$D$2:$D$59,"ฝ่ายการพยาบาล"),"")</x:f>
        <x:v>100</x:v>
      </x:c>
      <x:c r="J29" s="131" t="n">
        <x:f>IFERROR(100*COUNTIFS('Raw_Data'!$AF$2:$AF$59,"&gt;=4",'Raw_Data'!$AF$2:$AF$59,"&lt;=5",'Raw_Data'!$A$2:$A$59,"Yes",'Raw_Data'!$D$2:$D$59,"โภชนาการ")/COUNTIFS('Raw_Data'!$AF$2:$AF$59,"&gt;=1",'Raw_Data'!$AF$2:$AF$59,"&lt;=5",'Raw_Data'!$A$2:$A$59,"Yes",'Raw_Data'!$D$2:$D$59,"โภชนาการ"),"")</x:f>
        <x:v>100</x:v>
      </x:c>
      <x:c r="K29" s="131" t="n">
        <x:f>IFERROR(100*COUNTIFS('Raw_Data'!$AF$2:$AF$59,"&gt;=4",'Raw_Data'!$AF$2:$AF$59,"&lt;=5",'Raw_Data'!$A$2:$A$59,"Yes",'Raw_Data'!$D$2:$D$59,"ยานพาหนะ")/COUNTIFS('Raw_Data'!$AF$2:$AF$59,"&gt;=1",'Raw_Data'!$AF$2:$AF$59,"&lt;=5",'Raw_Data'!$A$2:$A$59,"Yes",'Raw_Data'!$D$2:$D$59,"ยานพาหนะ"),"")</x:f>
        <x:v>100</x:v>
      </x:c>
      <x:c r="L29" s="131" t="n">
        <x:f>IFERROR(100*COUNTIFS('Raw_Data'!$AF$2:$AF$59,"&gt;=4",'Raw_Data'!$AF$2:$AF$59,"&lt;=5",'Raw_Data'!$A$2:$A$59,"Yes",'Raw_Data'!$D$2:$D$59,"สื่อสารการตลาด")/COUNTIFS('Raw_Data'!$AF$2:$AF$59,"&gt;=1",'Raw_Data'!$AF$2:$AF$59,"&lt;=5",'Raw_Data'!$A$2:$A$59,"Yes",'Raw_Data'!$D$2:$D$59,"สื่อสารการตลาด"),"")</x:f>
        <x:v>0</x:v>
      </x:c>
      <x:c r="M29" s="131" t="n">
        <x:f>IFERROR(100*COUNTIFS('Raw_Data'!$AF$2:$AF$59,"&gt;=4",'Raw_Data'!$AF$2:$AF$59,"&lt;=5",'Raw_Data'!$A$2:$A$59,"Yes",'Raw_Data'!$D$2:$D$59,"ห้องยา")/COUNTIFS('Raw_Data'!$AF$2:$AF$59,"&gt;=1",'Raw_Data'!$AF$2:$AF$59,"&lt;=5",'Raw_Data'!$A$2:$A$59,"Yes",'Raw_Data'!$D$2:$D$59,"ห้องยา"),"")</x:f>
        <x:v>66.66666666666667</x:v>
      </x:c>
      <x:c r="N29" s="131" t="n">
        <x:f>IFERROR(100*COUNTIFS('Raw_Data'!$AF$2:$AF$59,"&gt;=4",'Raw_Data'!$AF$2:$AF$59,"&lt;=5",'Raw_Data'!$A$2:$A$59,"Yes",'Raw_Data'!$D$2:$D$59,"ห้องแลป")/COUNTIFS('Raw_Data'!$AF$2:$AF$59,"&gt;=1",'Raw_Data'!$AF$2:$AF$59,"&lt;=5",'Raw_Data'!$A$2:$A$59,"Yes",'Raw_Data'!$D$2:$D$59,"ห้องแลป"),"")</x:f>
        <x:v>50</x:v>
      </x:c>
      <x:c r="O29" s="131" t="n">
        <x:f>IFERROR(100*COUNTIFS('Raw_Data'!$AF$2:$AF$59,"&gt;=4",'Raw_Data'!$AF$2:$AF$59,"&lt;=5",'Raw_Data'!$A$2:$A$59,"Yes",'Raw_Data'!$D$2:$D$59,"ห้องเอ็กซเรย์")/COUNTIFS('Raw_Data'!$AF$2:$AF$59,"&gt;=1",'Raw_Data'!$AF$2:$AF$59,"&lt;=5",'Raw_Data'!$A$2:$A$59,"Yes",'Raw_Data'!$D$2:$D$59,"ห้องเอ็กซเรย์"),"")</x:f>
        <x:v>0</x:v>
      </x:c>
      <x:c r="P29" s="131" t="n">
        <x:f>IFERROR(100*COUNTIFS('Raw_Data'!$AF$2:$AF$59,"&gt;=4",'Raw_Data'!$AF$2:$AF$59,"&lt;=5",'Raw_Data'!$A$2:$A$59,"Yes",'Raw_Data'!$D$2:$D$59,"ERและเปล")/COUNTIFS('Raw_Data'!$AF$2:$AF$59,"&gt;=1",'Raw_Data'!$AF$2:$AF$59,"&lt;=5",'Raw_Data'!$A$2:$A$59,"Yes",'Raw_Data'!$D$2:$D$59,"ERและเปล"),"")</x:f>
        <x:v>45.45454545454545</x:v>
      </x:c>
      <x:c r="Q29" s="131" t="n">
        <x:f>IFERROR(100*COUNTIFS('Raw_Data'!$AF$2:$AF$59,"&gt;=4",'Raw_Data'!$AF$2:$AF$59,"&lt;=5",'Raw_Data'!$A$2:$A$59,"Yes",'Raw_Data'!$D$2:$D$59,"HR")/COUNTIFS('Raw_Data'!$AF$2:$AF$59,"&gt;=1",'Raw_Data'!$AF$2:$AF$59,"&lt;=5",'Raw_Data'!$A$2:$A$59,"Yes",'Raw_Data'!$D$2:$D$59,"HR"),"")</x:f>
        <x:v>100</x:v>
      </x:c>
      <x:c r="R29" s="131" t="n">
        <x:f>IFERROR(100*COUNTIFS('Raw_Data'!$AF$2:$AF$59,"&gt;=4",'Raw_Data'!$AF$2:$AF$59,"&lt;=5",'Raw_Data'!$A$2:$A$59,"Yes",'Raw_Data'!$D$2:$D$59,"ICU")/COUNTIFS('Raw_Data'!$AF$2:$AF$59,"&gt;=1",'Raw_Data'!$AF$2:$AF$59,"&lt;=5",'Raw_Data'!$A$2:$A$59,"Yes",'Raw_Data'!$D$2:$D$59,"ICU"),"")</x:f>
        <x:v>25</x:v>
      </x:c>
      <x:c r="S29" s="131" t="n">
        <x:f>IFERROR(100*COUNTIFS('Raw_Data'!$AF$2:$AF$59,"&gt;=4",'Raw_Data'!$AF$2:$AF$59,"&lt;=5",'Raw_Data'!$A$2:$A$59,"Yes",'Raw_Data'!$D$2:$D$59,"IPD")/COUNTIFS('Raw_Data'!$AF$2:$AF$59,"&gt;=1",'Raw_Data'!$AF$2:$AF$59,"&lt;=5",'Raw_Data'!$A$2:$A$59,"Yes",'Raw_Data'!$D$2:$D$59,"IPD"),"")</x:f>
        <x:v>33.333333333333336</x:v>
      </x:c>
      <x:c r="T29" s="131" t="n">
        <x:f>IFERROR(100*COUNTIFS('Raw_Data'!$AF$2:$AF$59,"&gt;=4",'Raw_Data'!$AF$2:$AF$59,"&lt;=5",'Raw_Data'!$A$2:$A$59,"Yes",'Raw_Data'!$D$2:$D$59,"IT")/COUNTIFS('Raw_Data'!$AF$2:$AF$59,"&gt;=1",'Raw_Data'!$AF$2:$AF$59,"&lt;=5",'Raw_Data'!$A$2:$A$59,"Yes",'Raw_Data'!$D$2:$D$59,"IT"),"")</x:f>
        <x:v>50</x:v>
      </x:c>
      <x:c r="U29" s="131" t="n">
        <x:f>IFERROR(100*COUNTIFS('Raw_Data'!$AF$2:$AF$59,"&gt;=4",'Raw_Data'!$AF$2:$AF$59,"&lt;=5",'Raw_Data'!$A$2:$A$59,"Yes",'Raw_Data'!$D$2:$D$59,"OR")/COUNTIFS('Raw_Data'!$AF$2:$AF$59,"&gt;=1",'Raw_Data'!$AF$2:$AF$59,"&lt;=5",'Raw_Data'!$A$2:$A$59,"Yes",'Raw_Data'!$D$2:$D$59,"OR"),"")</x:f>
        <x:v>75</x:v>
      </x:c>
      <x:c r="V29" s="131" t="n">
        <x:f>IFERROR(100*COUNTIFS('Raw_Data'!$AF$2:$AF$59,"&gt;=4",'Raw_Data'!$AF$2:$AF$59,"&lt;=5",'Raw_Data'!$A$2:$A$59,"Yes",'Raw_Data'!$D$2:$D$59,"IPD",'Raw_Data'!$E$2:$E$59,"ผู้บริหาร")/COUNTIFS('Raw_Data'!$AF$2:$AF$59,"&gt;=1",'Raw_Data'!$AF$2:$AF$59,"&lt;=5",'Raw_Data'!$A$2:$A$59,"Yes",'Raw_Data'!$D$2:$D$59,"IPD",'Raw_Data'!$E$2:$E$59,"ผู้บริหาร"),"")</x:f>
        <x:v>100</x:v>
      </x:c>
      <x:c r="W29" s="131" t="n">
        <x:f>IFERROR(100*COUNTIFS('Raw_Data'!$AF$2:$AF$59,"&gt;=4",'Raw_Data'!$AF$2:$AF$59,"&lt;=5",'Raw_Data'!$A$2:$A$59,"Yes",'Raw_Data'!$D$2:$D$59,"ฝ่ายการพยาบาล",'Raw_Data'!$E$2:$E$59,"สายวิชาชีพสาธารณสุข")/COUNTIFS('Raw_Data'!$AF$2:$AF$59,"&gt;=1",'Raw_Data'!$AF$2:$AF$59,"&lt;=5",'Raw_Data'!$A$2:$A$59,"Yes",'Raw_Data'!$D$2:$D$59,"ฝ่ายการพยาบาล",'Raw_Data'!$E$2:$E$59,"สายวิชาชีพสาธารณสุข"),"")</x:f>
        <x:v>100</x:v>
      </x:c>
      <x:c r="X29" s="131" t="n">
        <x:f>IFERROR(100*COUNTIFS('Raw_Data'!$AF$2:$AF$59,"&gt;=4",'Raw_Data'!$AF$2:$AF$59,"&lt;=5",'Raw_Data'!$A$2:$A$59,"Yes",'Raw_Data'!$D$2:$D$59,"ERและเปล",'Raw_Data'!$E$2:$E$59,"สายวิชาชีพสาธารณสุข")/COUNTIFS('Raw_Data'!$AF$2:$AF$59,"&gt;=1",'Raw_Data'!$AF$2:$AF$59,"&lt;=5",'Raw_Data'!$A$2:$A$59,"Yes",'Raw_Data'!$D$2:$D$59,"ERและเปล",'Raw_Data'!$E$2:$E$59,"สายวิชาชีพสาธารณสุข"),"")</x:f>
        <x:v>57.142857142857146</x:v>
      </x:c>
      <x:c r="Y29" s="131" t="n">
        <x:f>IFERROR(100*COUNTIFS('Raw_Data'!$AF$2:$AF$59,"&gt;=4",'Raw_Data'!$AF$2:$AF$59,"&lt;=5",'Raw_Data'!$A$2:$A$59,"Yes",'Raw_Data'!$D$2:$D$59,"ICU",'Raw_Data'!$E$2:$E$59,"สายวิชาชีพสาธารณสุข")/COUNTIFS('Raw_Data'!$AF$2:$AF$59,"&gt;=1",'Raw_Data'!$AF$2:$AF$59,"&lt;=5",'Raw_Data'!$A$2:$A$59,"Yes",'Raw_Data'!$D$2:$D$59,"ICU",'Raw_Data'!$E$2:$E$59,"สายวิชาชีพสาธารณสุข"),"")</x:f>
        <x:v>50</x:v>
      </x:c>
      <x:c r="Z29" s="131" t="n">
        <x:f>IFERROR(100*COUNTIFS('Raw_Data'!$AF$2:$AF$59,"&gt;=4",'Raw_Data'!$AF$2:$AF$59,"&lt;=5",'Raw_Data'!$A$2:$A$59,"Yes",'Raw_Data'!$D$2:$D$59,"IPD",'Raw_Data'!$E$2:$E$59,"สายวิชาชีพสาธารณสุข")/COUNTIFS('Raw_Data'!$AF$2:$AF$59,"&gt;=1",'Raw_Data'!$AF$2:$AF$59,"&lt;=5",'Raw_Data'!$A$2:$A$59,"Yes",'Raw_Data'!$D$2:$D$59,"IPD",'Raw_Data'!$E$2:$E$59,"สายวิชาชีพสาธารณสุข"),"")</x:f>
        <x:v>0</x:v>
      </x:c>
      <x:c r="AA29" s="131" t="n">
        <x:f>IFERROR(100*COUNTIFS('Raw_Data'!$AF$2:$AF$59,"&gt;=4",'Raw_Data'!$AF$2:$AF$59,"&lt;=5",'Raw_Data'!$A$2:$A$59,"Yes",'Raw_Data'!$D$2:$D$59,"OR",'Raw_Data'!$E$2:$E$59,"สายวิชาชีพสาธารณสุข")/COUNTIFS('Raw_Data'!$AF$2:$AF$59,"&gt;=1",'Raw_Data'!$AF$2:$AF$59,"&lt;=5",'Raw_Data'!$A$2:$A$59,"Yes",'Raw_Data'!$D$2:$D$59,"OR",'Raw_Data'!$E$2:$E$59,"สายวิชาชีพสาธารณสุข"),"")</x:f>
        <x:v>75</x:v>
      </x:c>
      <x:c r="AB29" s="131" t="n">
        <x:f>IFERROR(100*COUNTIFS('Raw_Data'!$AF$2:$AF$59,"&gt;=4",'Raw_Data'!$AF$2:$AF$59,"&lt;=5",'Raw_Data'!$A$2:$A$59,"Yes",'Raw_Data'!$D$2:$D$59,"การเงิน",'Raw_Data'!$E$2:$E$59,"สายสนับสนุนทั่วไป")/COUNTIFS('Raw_Data'!$AF$2:$AF$59,"&gt;=1",'Raw_Data'!$AF$2:$AF$59,"&lt;=5",'Raw_Data'!$A$2:$A$59,"Yes",'Raw_Data'!$D$2:$D$59,"การเงิน",'Raw_Data'!$E$2:$E$59,"สายสนับสนุนทั่วไป"),"")</x:f>
        <x:v>33.333333333333336</x:v>
      </x:c>
      <x:c r="AC29" s="131" t="n">
        <x:f>IFERROR(100*COUNTIFS('Raw_Data'!$AF$2:$AF$59,"&gt;=4",'Raw_Data'!$AF$2:$AF$59,"&lt;=5",'Raw_Data'!$A$2:$A$59,"Yes",'Raw_Data'!$D$2:$D$59,"เคหรักษ์",'Raw_Data'!$E$2:$E$59,"สายสนับสนุนทั่วไป")/COUNTIFS('Raw_Data'!$AF$2:$AF$59,"&gt;=1",'Raw_Data'!$AF$2:$AF$59,"&lt;=5",'Raw_Data'!$A$2:$A$59,"Yes",'Raw_Data'!$D$2:$D$59,"เคหรักษ์",'Raw_Data'!$E$2:$E$59,"สายสนับสนุนทั่วไป"),"")</x:f>
        <x:v>50</x:v>
      </x:c>
      <x:c r="AD29" s="131" t="n">
        <x:f>IFERROR(100*COUNTIFS('Raw_Data'!$AF$2:$AF$59,"&gt;=4",'Raw_Data'!$AF$2:$AF$59,"&lt;=5",'Raw_Data'!$A$2:$A$59,"Yes",'Raw_Data'!$D$2:$D$59,"จ่ายกลาง",'Raw_Data'!$E$2:$E$59,"สายสนับสนุนทั่วไป")/COUNTIFS('Raw_Data'!$AF$2:$AF$59,"&gt;=1",'Raw_Data'!$AF$2:$AF$59,"&lt;=5",'Raw_Data'!$A$2:$A$59,"Yes",'Raw_Data'!$D$2:$D$59,"จ่ายกลาง",'Raw_Data'!$E$2:$E$59,"สายสนับสนุนทั่วไป"),"")</x:f>
        <x:v>0</x:v>
      </x:c>
      <x:c r="AE29" s="131" t="n">
        <x:f>IFERROR(100*COUNTIFS('Raw_Data'!$AF$2:$AF$59,"&gt;=4",'Raw_Data'!$AF$2:$AF$59,"&lt;=5",'Raw_Data'!$A$2:$A$59,"Yes",'Raw_Data'!$D$2:$D$59,"ช่างและสนาม",'Raw_Data'!$E$2:$E$59,"สายสนับสนุนทั่วไป")/COUNTIFS('Raw_Data'!$AF$2:$AF$59,"&gt;=1",'Raw_Data'!$AF$2:$AF$59,"&lt;=5",'Raw_Data'!$A$2:$A$59,"Yes",'Raw_Data'!$D$2:$D$59,"ช่างและสนาม",'Raw_Data'!$E$2:$E$59,"สายสนับสนุนทั่วไป"),"")</x:f>
        <x:v>0</x:v>
      </x:c>
      <x:c r="AF29" s="131" t="n">
        <x:f>IFERROR(100*COUNTIFS('Raw_Data'!$AF$2:$AF$59,"&gt;=4",'Raw_Data'!$AF$2:$AF$59,"&lt;=5",'Raw_Data'!$A$2:$A$59,"Yes",'Raw_Data'!$D$2:$D$59,"ผู้ป่วยสัมพันธ์",'Raw_Data'!$E$2:$E$59,"สายสนับสนุนทั่วไป")/COUNTIFS('Raw_Data'!$AF$2:$AF$59,"&gt;=1",'Raw_Data'!$AF$2:$AF$59,"&lt;=5",'Raw_Data'!$A$2:$A$59,"Yes",'Raw_Data'!$D$2:$D$59,"ผู้ป่วยสัมพันธ์",'Raw_Data'!$E$2:$E$59,"สายสนับสนุนทั่วไป"),"")</x:f>
        <x:v>0</x:v>
      </x:c>
      <x:c r="AG29" s="131" t="n">
        <x:f>IFERROR(100*COUNTIFS('Raw_Data'!$AF$2:$AF$59,"&gt;=4",'Raw_Data'!$AF$2:$AF$59,"&lt;=5",'Raw_Data'!$A$2:$A$59,"Yes",'Raw_Data'!$D$2:$D$59,"ยานพาหนะ",'Raw_Data'!$E$2:$E$59,"สายสนับสนุนทั่วไป")/COUNTIFS('Raw_Data'!$AF$2:$AF$59,"&gt;=1",'Raw_Data'!$AF$2:$AF$59,"&lt;=5",'Raw_Data'!$A$2:$A$59,"Yes",'Raw_Data'!$D$2:$D$59,"ยานพาหนะ",'Raw_Data'!$E$2:$E$59,"สายสนับสนุนทั่วไป"),"")</x:f>
        <x:v>100</x:v>
      </x:c>
      <x:c r="AH29" s="131" t="n">
        <x:f>IFERROR(100*COUNTIFS('Raw_Data'!$AF$2:$AF$59,"&gt;=4",'Raw_Data'!$AF$2:$AF$59,"&lt;=5",'Raw_Data'!$A$2:$A$59,"Yes",'Raw_Data'!$D$2:$D$59,"สื่อสารการตลาด",'Raw_Data'!$E$2:$E$59,"สายสนับสนุนทั่วไป")/COUNTIFS('Raw_Data'!$AF$2:$AF$59,"&gt;=1",'Raw_Data'!$AF$2:$AF$59,"&lt;=5",'Raw_Data'!$A$2:$A$59,"Yes",'Raw_Data'!$D$2:$D$59,"สื่อสารการตลาด",'Raw_Data'!$E$2:$E$59,"สายสนับสนุนทั่วไป"),"")</x:f>
        <x:v>0</x:v>
      </x:c>
      <x:c r="AI29" s="131" t="n">
        <x:f>IFERROR(100*COUNTIFS('Raw_Data'!$AF$2:$AF$59,"&gt;=4",'Raw_Data'!$AF$2:$AF$59,"&lt;=5",'Raw_Data'!$A$2:$A$59,"Yes",'Raw_Data'!$D$2:$D$59,"ERและเปล",'Raw_Data'!$E$2:$E$59,"สายสนับสนุนทั่วไป")/COUNTIFS('Raw_Data'!$AF$2:$AF$59,"&gt;=1",'Raw_Data'!$AF$2:$AF$59,"&lt;=5",'Raw_Data'!$A$2:$A$59,"Yes",'Raw_Data'!$D$2:$D$59,"ERและเปล",'Raw_Data'!$E$2:$E$59,"สายสนับสนุนทั่วไป"),"")</x:f>
        <x:v>0</x:v>
      </x:c>
      <x:c r="AJ29" s="131" t="n">
        <x:f>IFERROR(100*COUNTIFS('Raw_Data'!$AF$2:$AF$59,"&gt;=4",'Raw_Data'!$AF$2:$AF$59,"&lt;=5",'Raw_Data'!$A$2:$A$59,"Yes",'Raw_Data'!$D$2:$D$59,"HR",'Raw_Data'!$E$2:$E$59,"สายสนับสนุนทั่วไป")/COUNTIFS('Raw_Data'!$AF$2:$AF$59,"&gt;=1",'Raw_Data'!$AF$2:$AF$59,"&lt;=5",'Raw_Data'!$A$2:$A$59,"Yes",'Raw_Data'!$D$2:$D$59,"HR",'Raw_Data'!$E$2:$E$59,"สายสนับสนุนทั่วไป"),"")</x:f>
        <x:v>100</x:v>
      </x:c>
      <x:c r="AK29" s="131" t="n">
        <x:f>IFERROR(100*COUNTIFS('Raw_Data'!$AF$2:$AF$59,"&gt;=4",'Raw_Data'!$AF$2:$AF$59,"&lt;=5",'Raw_Data'!$A$2:$A$59,"Yes",'Raw_Data'!$D$2:$D$59,"ICU",'Raw_Data'!$E$2:$E$59,"สายสนับสนุนทั่วไป")/COUNTIFS('Raw_Data'!$AF$2:$AF$59,"&gt;=1",'Raw_Data'!$AF$2:$AF$59,"&lt;=5",'Raw_Data'!$A$2:$A$59,"Yes",'Raw_Data'!$D$2:$D$59,"ICU",'Raw_Data'!$E$2:$E$59,"สายสนับสนุนทั่วไป"),"")</x:f>
        <x:v>0</x:v>
      </x:c>
      <x:c r="AL29" s="131" t="n">
        <x:f>IFERROR(100*COUNTIFS('Raw_Data'!$AF$2:$AF$59,"&gt;=4",'Raw_Data'!$AF$2:$AF$59,"&lt;=5",'Raw_Data'!$A$2:$A$59,"Yes",'Raw_Data'!$D$2:$D$59,"IPD",'Raw_Data'!$E$2:$E$59,"สายสนับสนุนทั่วไป")/COUNTIFS('Raw_Data'!$AF$2:$AF$59,"&gt;=1",'Raw_Data'!$AF$2:$AF$59,"&lt;=5",'Raw_Data'!$A$2:$A$59,"Yes",'Raw_Data'!$D$2:$D$59,"IPD",'Raw_Data'!$E$2:$E$59,"สายสนับสนุนทั่วไป"),"")</x:f>
        <x:v>0</x:v>
      </x:c>
      <x:c r="AM29" s="131" t="n">
        <x:f>IFERROR(100*COUNTIFS('Raw_Data'!$AF$2:$AF$59,"&gt;=4",'Raw_Data'!$AF$2:$AF$59,"&lt;=5",'Raw_Data'!$A$2:$A$59,"Yes",'Raw_Data'!$D$2:$D$59,"IT",'Raw_Data'!$E$2:$E$59,"สายสนับสนุนทั่วไป")/COUNTIFS('Raw_Data'!$AF$2:$AF$59,"&gt;=1",'Raw_Data'!$AF$2:$AF$59,"&lt;=5",'Raw_Data'!$A$2:$A$59,"Yes",'Raw_Data'!$D$2:$D$59,"IT",'Raw_Data'!$E$2:$E$59,"สายสนับสนุนทั่วไป"),"")</x:f>
        <x:v>0</x:v>
      </x:c>
      <x:c r="AN29" s="131" t="n">
        <x:f>IFERROR(100*COUNTIFS('Raw_Data'!$AF$2:$AF$59,"&gt;=4",'Raw_Data'!$AF$2:$AF$59,"&lt;=5",'Raw_Data'!$A$2:$A$59,"Yes",'Raw_Data'!$D$2:$D$59,"ผู้ป่วยสัมพันธ์",'Raw_Data'!$E$2:$E$59,"สายสนับสนุนทางการแพทย์")/COUNTIFS('Raw_Data'!$AF$2:$AF$59,"&gt;=1",'Raw_Data'!$AF$2:$AF$59,"&lt;=5",'Raw_Data'!$A$2:$A$59,"Yes",'Raw_Data'!$D$2:$D$59,"ผู้ป่วยสัมพันธ์",'Raw_Data'!$E$2:$E$59,"สายสนับสนุนทางการแพทย์"),"")</x:f>
        <x:v>33.333333333333336</x:v>
      </x:c>
      <x:c r="AO29" s="131" t="n">
        <x:f>IFERROR(100*COUNTIFS('Raw_Data'!$AF$2:$AF$59,"&gt;=4",'Raw_Data'!$AF$2:$AF$59,"&lt;=5",'Raw_Data'!$A$2:$A$59,"Yes",'Raw_Data'!$D$2:$D$59,"ฝ่ายการพยาบาล",'Raw_Data'!$E$2:$E$59,"สายสนับสนุนทางการแพทย์")/COUNTIFS('Raw_Data'!$AF$2:$AF$59,"&gt;=1",'Raw_Data'!$AF$2:$AF$59,"&lt;=5",'Raw_Data'!$A$2:$A$59,"Yes",'Raw_Data'!$D$2:$D$59,"ฝ่ายการพยาบาล",'Raw_Data'!$E$2:$E$59,"สายสนับสนุนทางการแพทย์"),"")</x:f>
        <x:v>100</x:v>
      </x:c>
      <x:c r="AP29" s="131" t="n">
        <x:f>IFERROR(100*COUNTIFS('Raw_Data'!$AF$2:$AF$59,"&gt;=4",'Raw_Data'!$AF$2:$AF$59,"&lt;=5",'Raw_Data'!$A$2:$A$59,"Yes",'Raw_Data'!$D$2:$D$59,"โภชนาการ",'Raw_Data'!$E$2:$E$59,"สายสนับสนุนทางการแพทย์")/COUNTIFS('Raw_Data'!$AF$2:$AF$59,"&gt;=1",'Raw_Data'!$AF$2:$AF$59,"&lt;=5",'Raw_Data'!$A$2:$A$59,"Yes",'Raw_Data'!$D$2:$D$59,"โภชนาการ",'Raw_Data'!$E$2:$E$59,"สายสนับสนุนทางการแพทย์"),"")</x:f>
        <x:v>100</x:v>
      </x:c>
      <x:c r="AQ29" s="131" t="n">
        <x:f>IFERROR(100*COUNTIFS('Raw_Data'!$AF$2:$AF$59,"&gt;=4",'Raw_Data'!$AF$2:$AF$59,"&lt;=5",'Raw_Data'!$A$2:$A$59,"Yes",'Raw_Data'!$D$2:$D$59,"ห้องยา",'Raw_Data'!$E$2:$E$59,"สายสนับสนุนทางการแพทย์")/COUNTIFS('Raw_Data'!$AF$2:$AF$59,"&gt;=1",'Raw_Data'!$AF$2:$AF$59,"&lt;=5",'Raw_Data'!$A$2:$A$59,"Yes",'Raw_Data'!$D$2:$D$59,"ห้องยา",'Raw_Data'!$E$2:$E$59,"สายสนับสนุนทางการแพทย์"),"")</x:f>
        <x:v>66.66666666666667</x:v>
      </x:c>
      <x:c r="AR29" s="131" t="n">
        <x:f>IFERROR(100*COUNTIFS('Raw_Data'!$AF$2:$AF$59,"&gt;=4",'Raw_Data'!$AF$2:$AF$59,"&lt;=5",'Raw_Data'!$A$2:$A$59,"Yes",'Raw_Data'!$D$2:$D$59,"ห้องแลป",'Raw_Data'!$E$2:$E$59,"สายสนับสนุนทางการแพทย์")/COUNTIFS('Raw_Data'!$AF$2:$AF$59,"&gt;=1",'Raw_Data'!$AF$2:$AF$59,"&lt;=5",'Raw_Data'!$A$2:$A$59,"Yes",'Raw_Data'!$D$2:$D$59,"ห้องแลป",'Raw_Data'!$E$2:$E$59,"สายสนับสนุนทางการแพทย์"),"")</x:f>
        <x:v>50</x:v>
      </x:c>
      <x:c r="AS29" s="131" t="n">
        <x:f>IFERROR(100*COUNTIFS('Raw_Data'!$AF$2:$AF$59,"&gt;=4",'Raw_Data'!$AF$2:$AF$59,"&lt;=5",'Raw_Data'!$A$2:$A$59,"Yes",'Raw_Data'!$D$2:$D$59,"ห้องเอ็กซเรย์",'Raw_Data'!$E$2:$E$59,"สายสนับสนุนทางการแพทย์")/COUNTIFS('Raw_Data'!$AF$2:$AF$59,"&gt;=1",'Raw_Data'!$AF$2:$AF$59,"&lt;=5",'Raw_Data'!$A$2:$A$59,"Yes",'Raw_Data'!$D$2:$D$59,"ห้องเอ็กซเรย์",'Raw_Data'!$E$2:$E$59,"สายสนับสนุนทางการแพทย์"),"")</x:f>
        <x:v>0</x:v>
      </x:c>
      <x:c r="AT29" s="131" t="n">
        <x:f>IFERROR(100*COUNTIFS('Raw_Data'!$AF$2:$AF$59,"&gt;=4",'Raw_Data'!$AF$2:$AF$59,"&lt;=5",'Raw_Data'!$A$2:$A$59,"Yes",'Raw_Data'!$D$2:$D$59,"ERและเปล",'Raw_Data'!$E$2:$E$59,"สายสนับสนุนทางการแพทย์")/COUNTIFS('Raw_Data'!$AF$2:$AF$59,"&gt;=1",'Raw_Data'!$AF$2:$AF$59,"&lt;=5",'Raw_Data'!$A$2:$A$59,"Yes",'Raw_Data'!$D$2:$D$59,"ERและเปล",'Raw_Data'!$E$2:$E$59,"สายสนับสนุนทางการแพทย์"),"")</x:f>
        <x:v>100</x:v>
      </x:c>
      <x:c r="AU29" s="131" t="n">
        <x:f>IFERROR(100*COUNTIFS('Raw_Data'!$AF$2:$AF$59,"&gt;=4",'Raw_Data'!$AF$2:$AF$59,"&lt;=5",'Raw_Data'!$A$2:$A$59,"Yes",'Raw_Data'!$D$2:$D$59,"ICU",'Raw_Data'!$E$2:$E$59,"สายสนับสนุนทางการแพทย์")/COUNTIFS('Raw_Data'!$AF$2:$AF$59,"&gt;=1",'Raw_Data'!$AF$2:$AF$59,"&lt;=5",'Raw_Data'!$A$2:$A$59,"Yes",'Raw_Data'!$D$2:$D$59,"ICU",'Raw_Data'!$E$2:$E$59,"สายสนับสนุนทางการแพทย์"),"")</x:f>
        <x:v>0</x:v>
      </x:c>
      <x:c r="AV29" s="131" t="n">
        <x:f>IFERROR(100*COUNTIFS('Raw_Data'!$AF$2:$AF$59,"&gt;=4",'Raw_Data'!$AF$2:$AF$59,"&lt;=5",'Raw_Data'!$A$2:$A$59,"Yes",'Raw_Data'!$D$2:$D$59,"IPD",'Raw_Data'!$E$2:$E$59,"สายสนับสนุนทางการแพทย์")/COUNTIFS('Raw_Data'!$AF$2:$AF$59,"&gt;=1",'Raw_Data'!$AF$2:$AF$59,"&lt;=5",'Raw_Data'!$A$2:$A$59,"Yes",'Raw_Data'!$D$2:$D$59,"IPD",'Raw_Data'!$E$2:$E$59,"สายสนับสนุนทางการแพทย์"),"")</x:f>
        <x:v>50</x:v>
      </x:c>
      <x:c r="AW29" s="131" t="n">
        <x:f>IFERROR(100*COUNTIFS('Raw_Data'!$AF$2:$AF$59,"&gt;=4",'Raw_Data'!$AF$2:$AF$59,"&lt;=5",'Raw_Data'!$A$2:$A$59,"Yes",'Raw_Data'!$D$2:$D$59,"IT",'Raw_Data'!$E$2:$E$59,"สายสนับสนุนทางการแพทย์")/COUNTIFS('Raw_Data'!$AF$2:$AF$59,"&gt;=1",'Raw_Data'!$AF$2:$AF$59,"&lt;=5",'Raw_Data'!$A$2:$A$59,"Yes",'Raw_Data'!$D$2:$D$59,"IT",'Raw_Data'!$E$2:$E$59,"สายสนับสนุนทางการแพทย์"),"")</x:f>
        <x:v>100</x:v>
      </x:c>
    </x:row>
    <x:row r="30" ht="42" customHeight="1">
      <x:c r="A30" s="123" t="str">
        <x:v>9. การสนับสนุนจากทีมผู้บริหารของสถานพยาบาลในเรื่องความปลอดภัยของผู้ป่วย /ผู้รับบริการ</x:v>
      </x:c>
      <x:c r="B30" s="124" t="str">
        <x:v>F1. การกระทำหรือการดำเนินการของผู้บริหารสถานพยาบาลแสดงให้เห็นถึงการให้ความสำคัญสูงสุดในเรื่องความปลอดภัยของผู้ป่วย/ผู้รับบริการ</x:v>
      </x:c>
      <x:c r="C30" s="131" t="n">
        <x:f>IFERROR(100*COUNTIFS('Raw_Data'!$AG$2:$AG$59,"&gt;=4",'Raw_Data'!$AG$2:$AG$59,"&lt;=5",'Raw_Data'!$A$2:$A$59,"Yes")/COUNTIFS('Raw_Data'!$AG$2:$AG$59,"&gt;=1",'Raw_Data'!$AG$2:$AG$59,"&lt;=5",'Raw_Data'!$A$2:$A$59,"Yes"),"")</x:f>
        <x:v>82.75862068965517</x:v>
      </x:c>
      <x:c r="D30" s="131" t="n">
        <x:f>IFERROR(100*COUNTIFS('Raw_Data'!$AG$2:$AG$59,"&gt;=4",'Raw_Data'!$AG$2:$AG$59,"&lt;=5",'Raw_Data'!$A$2:$A$59,"Yes",'Raw_Data'!$D$2:$D$59,"การเงิน")/COUNTIFS('Raw_Data'!$AG$2:$AG$59,"&gt;=1",'Raw_Data'!$AG$2:$AG$59,"&lt;=5",'Raw_Data'!$A$2:$A$59,"Yes",'Raw_Data'!$D$2:$D$59,"การเงิน"),"")</x:f>
        <x:v>66.66666666666667</x:v>
      </x:c>
      <x:c r="E30" s="131" t="n">
        <x:f>IFERROR(100*COUNTIFS('Raw_Data'!$AG$2:$AG$59,"&gt;=4",'Raw_Data'!$AG$2:$AG$59,"&lt;=5",'Raw_Data'!$A$2:$A$59,"Yes",'Raw_Data'!$D$2:$D$59,"เคหรักษ์")/COUNTIFS('Raw_Data'!$AG$2:$AG$59,"&gt;=1",'Raw_Data'!$AG$2:$AG$59,"&lt;=5",'Raw_Data'!$A$2:$A$59,"Yes",'Raw_Data'!$D$2:$D$59,"เคหรักษ์"),"")</x:f>
        <x:v>50</x:v>
      </x:c>
      <x:c r="F30" s="131" t="n">
        <x:f>IFERROR(100*COUNTIFS('Raw_Data'!$AG$2:$AG$59,"&gt;=4",'Raw_Data'!$AG$2:$AG$59,"&lt;=5",'Raw_Data'!$A$2:$A$59,"Yes",'Raw_Data'!$D$2:$D$59,"จ่ายกลาง")/COUNTIFS('Raw_Data'!$AG$2:$AG$59,"&gt;=1",'Raw_Data'!$AG$2:$AG$59,"&lt;=5",'Raw_Data'!$A$2:$A$59,"Yes",'Raw_Data'!$D$2:$D$59,"จ่ายกลาง"),"")</x:f>
        <x:v>100</x:v>
      </x:c>
      <x:c r="G30" s="131" t="n">
        <x:f>IFERROR(100*COUNTIFS('Raw_Data'!$AG$2:$AG$59,"&gt;=4",'Raw_Data'!$AG$2:$AG$59,"&lt;=5",'Raw_Data'!$A$2:$A$59,"Yes",'Raw_Data'!$D$2:$D$59,"ช่างและสนาม")/COUNTIFS('Raw_Data'!$AG$2:$AG$59,"&gt;=1",'Raw_Data'!$AG$2:$AG$59,"&lt;=5",'Raw_Data'!$A$2:$A$59,"Yes",'Raw_Data'!$D$2:$D$59,"ช่างและสนาม"),"")</x:f>
        <x:v>50</x:v>
      </x:c>
      <x:c r="H30" s="131" t="n">
        <x:f>IFERROR(100*COUNTIFS('Raw_Data'!$AG$2:$AG$59,"&gt;=4",'Raw_Data'!$AG$2:$AG$59,"&lt;=5",'Raw_Data'!$A$2:$A$59,"Yes",'Raw_Data'!$D$2:$D$59,"ผู้ป่วยสัมพันธ์")/COUNTIFS('Raw_Data'!$AG$2:$AG$59,"&gt;=1",'Raw_Data'!$AG$2:$AG$59,"&lt;=5",'Raw_Data'!$A$2:$A$59,"Yes",'Raw_Data'!$D$2:$D$59,"ผู้ป่วยสัมพันธ์"),"")</x:f>
        <x:v>100</x:v>
      </x:c>
      <x:c r="I30" s="131" t="n">
        <x:f>IFERROR(100*COUNTIFS('Raw_Data'!$AG$2:$AG$59,"&gt;=4",'Raw_Data'!$AG$2:$AG$59,"&lt;=5",'Raw_Data'!$A$2:$A$59,"Yes",'Raw_Data'!$D$2:$D$59,"ฝ่ายการพยาบาล")/COUNTIFS('Raw_Data'!$AG$2:$AG$59,"&gt;=1",'Raw_Data'!$AG$2:$AG$59,"&lt;=5",'Raw_Data'!$A$2:$A$59,"Yes",'Raw_Data'!$D$2:$D$59,"ฝ่ายการพยาบาล"),"")</x:f>
        <x:v>100</x:v>
      </x:c>
      <x:c r="J30" s="131" t="n">
        <x:f>IFERROR(100*COUNTIFS('Raw_Data'!$AG$2:$AG$59,"&gt;=4",'Raw_Data'!$AG$2:$AG$59,"&lt;=5",'Raw_Data'!$A$2:$A$59,"Yes",'Raw_Data'!$D$2:$D$59,"โภชนาการ")/COUNTIFS('Raw_Data'!$AG$2:$AG$59,"&gt;=1",'Raw_Data'!$AG$2:$AG$59,"&lt;=5",'Raw_Data'!$A$2:$A$59,"Yes",'Raw_Data'!$D$2:$D$59,"โภชนาการ"),"")</x:f>
        <x:v>100</x:v>
      </x:c>
      <x:c r="K30" s="131" t="n">
        <x:f>IFERROR(100*COUNTIFS('Raw_Data'!$AG$2:$AG$59,"&gt;=4",'Raw_Data'!$AG$2:$AG$59,"&lt;=5",'Raw_Data'!$A$2:$A$59,"Yes",'Raw_Data'!$D$2:$D$59,"ยานพาหนะ")/COUNTIFS('Raw_Data'!$AG$2:$AG$59,"&gt;=1",'Raw_Data'!$AG$2:$AG$59,"&lt;=5",'Raw_Data'!$A$2:$A$59,"Yes",'Raw_Data'!$D$2:$D$59,"ยานพาหนะ"),"")</x:f>
        <x:v>100</x:v>
      </x:c>
      <x:c r="L30" s="131" t="n">
        <x:f>IFERROR(100*COUNTIFS('Raw_Data'!$AG$2:$AG$59,"&gt;=4",'Raw_Data'!$AG$2:$AG$59,"&lt;=5",'Raw_Data'!$A$2:$A$59,"Yes",'Raw_Data'!$D$2:$D$59,"สื่อสารการตลาด")/COUNTIFS('Raw_Data'!$AG$2:$AG$59,"&gt;=1",'Raw_Data'!$AG$2:$AG$59,"&lt;=5",'Raw_Data'!$A$2:$A$59,"Yes",'Raw_Data'!$D$2:$D$59,"สื่อสารการตลาด"),"")</x:f>
        <x:v>100</x:v>
      </x:c>
      <x:c r="M30" s="131" t="n">
        <x:f>IFERROR(100*COUNTIFS('Raw_Data'!$AG$2:$AG$59,"&gt;=4",'Raw_Data'!$AG$2:$AG$59,"&lt;=5",'Raw_Data'!$A$2:$A$59,"Yes",'Raw_Data'!$D$2:$D$59,"ห้องยา")/COUNTIFS('Raw_Data'!$AG$2:$AG$59,"&gt;=1",'Raw_Data'!$AG$2:$AG$59,"&lt;=5",'Raw_Data'!$A$2:$A$59,"Yes",'Raw_Data'!$D$2:$D$59,"ห้องยา"),"")</x:f>
        <x:v>100</x:v>
      </x:c>
      <x:c r="N30" s="131" t="n">
        <x:f>IFERROR(100*COUNTIFS('Raw_Data'!$AG$2:$AG$59,"&gt;=4",'Raw_Data'!$AG$2:$AG$59,"&lt;=5",'Raw_Data'!$A$2:$A$59,"Yes",'Raw_Data'!$D$2:$D$59,"ห้องแลป")/COUNTIFS('Raw_Data'!$AG$2:$AG$59,"&gt;=1",'Raw_Data'!$AG$2:$AG$59,"&lt;=5",'Raw_Data'!$A$2:$A$59,"Yes",'Raw_Data'!$D$2:$D$59,"ห้องแลป"),"")</x:f>
        <x:v>50</x:v>
      </x:c>
      <x:c r="O30" s="131" t="n">
        <x:f>IFERROR(100*COUNTIFS('Raw_Data'!$AG$2:$AG$59,"&gt;=4",'Raw_Data'!$AG$2:$AG$59,"&lt;=5",'Raw_Data'!$A$2:$A$59,"Yes",'Raw_Data'!$D$2:$D$59,"ห้องเอ็กซเรย์")/COUNTIFS('Raw_Data'!$AG$2:$AG$59,"&gt;=1",'Raw_Data'!$AG$2:$AG$59,"&lt;=5",'Raw_Data'!$A$2:$A$59,"Yes",'Raw_Data'!$D$2:$D$59,"ห้องเอ็กซเรย์"),"")</x:f>
        <x:v>100</x:v>
      </x:c>
      <x:c r="P30" s="131" t="n">
        <x:f>IFERROR(100*COUNTIFS('Raw_Data'!$AG$2:$AG$59,"&gt;=4",'Raw_Data'!$AG$2:$AG$59,"&lt;=5",'Raw_Data'!$A$2:$A$59,"Yes",'Raw_Data'!$D$2:$D$59,"ERและเปล")/COUNTIFS('Raw_Data'!$AG$2:$AG$59,"&gt;=1",'Raw_Data'!$AG$2:$AG$59,"&lt;=5",'Raw_Data'!$A$2:$A$59,"Yes",'Raw_Data'!$D$2:$D$59,"ERและเปล"),"")</x:f>
        <x:v>72.72727272727273</x:v>
      </x:c>
      <x:c r="Q30" s="131" t="n">
        <x:f>IFERROR(100*COUNTIFS('Raw_Data'!$AG$2:$AG$59,"&gt;=4",'Raw_Data'!$AG$2:$AG$59,"&lt;=5",'Raw_Data'!$A$2:$A$59,"Yes",'Raw_Data'!$D$2:$D$59,"HR")/COUNTIFS('Raw_Data'!$AG$2:$AG$59,"&gt;=1",'Raw_Data'!$AG$2:$AG$59,"&lt;=5",'Raw_Data'!$A$2:$A$59,"Yes",'Raw_Data'!$D$2:$D$59,"HR"),"")</x:f>
        <x:v>100</x:v>
      </x:c>
      <x:c r="R30" s="131" t="n">
        <x:f>IFERROR(100*COUNTIFS('Raw_Data'!$AG$2:$AG$59,"&gt;=4",'Raw_Data'!$AG$2:$AG$59,"&lt;=5",'Raw_Data'!$A$2:$A$59,"Yes",'Raw_Data'!$D$2:$D$59,"ICU")/COUNTIFS('Raw_Data'!$AG$2:$AG$59,"&gt;=1",'Raw_Data'!$AG$2:$AG$59,"&lt;=5",'Raw_Data'!$A$2:$A$59,"Yes",'Raw_Data'!$D$2:$D$59,"ICU"),"")</x:f>
        <x:v>75</x:v>
      </x:c>
      <x:c r="S30" s="131" t="n">
        <x:f>IFERROR(100*COUNTIFS('Raw_Data'!$AG$2:$AG$59,"&gt;=4",'Raw_Data'!$AG$2:$AG$59,"&lt;=5",'Raw_Data'!$A$2:$A$59,"Yes",'Raw_Data'!$D$2:$D$59,"IPD")/COUNTIFS('Raw_Data'!$AG$2:$AG$59,"&gt;=1",'Raw_Data'!$AG$2:$AG$59,"&lt;=5",'Raw_Data'!$A$2:$A$59,"Yes",'Raw_Data'!$D$2:$D$59,"IPD"),"")</x:f>
        <x:v>83.33333333333333</x:v>
      </x:c>
      <x:c r="T30" s="131" t="n">
        <x:f>IFERROR(100*COUNTIFS('Raw_Data'!$AG$2:$AG$59,"&gt;=4",'Raw_Data'!$AG$2:$AG$59,"&lt;=5",'Raw_Data'!$A$2:$A$59,"Yes",'Raw_Data'!$D$2:$D$59,"IT")/COUNTIFS('Raw_Data'!$AG$2:$AG$59,"&gt;=1",'Raw_Data'!$AG$2:$AG$59,"&lt;=5",'Raw_Data'!$A$2:$A$59,"Yes",'Raw_Data'!$D$2:$D$59,"IT"),"")</x:f>
        <x:v>100</x:v>
      </x:c>
      <x:c r="U30" s="131" t="n">
        <x:f>IFERROR(100*COUNTIFS('Raw_Data'!$AG$2:$AG$59,"&gt;=4",'Raw_Data'!$AG$2:$AG$59,"&lt;=5",'Raw_Data'!$A$2:$A$59,"Yes",'Raw_Data'!$D$2:$D$59,"OR")/COUNTIFS('Raw_Data'!$AG$2:$AG$59,"&gt;=1",'Raw_Data'!$AG$2:$AG$59,"&lt;=5",'Raw_Data'!$A$2:$A$59,"Yes",'Raw_Data'!$D$2:$D$59,"OR"),"")</x:f>
        <x:v>100</x:v>
      </x:c>
      <x:c r="V30" s="131" t="n">
        <x:f>IFERROR(100*COUNTIFS('Raw_Data'!$AG$2:$AG$59,"&gt;=4",'Raw_Data'!$AG$2:$AG$59,"&lt;=5",'Raw_Data'!$A$2:$A$59,"Yes",'Raw_Data'!$D$2:$D$59,"IPD",'Raw_Data'!$E$2:$E$59,"ผู้บริหาร")/COUNTIFS('Raw_Data'!$AG$2:$AG$59,"&gt;=1",'Raw_Data'!$AG$2:$AG$59,"&lt;=5",'Raw_Data'!$A$2:$A$59,"Yes",'Raw_Data'!$D$2:$D$59,"IPD",'Raw_Data'!$E$2:$E$59,"ผู้บริหาร"),"")</x:f>
        <x:v>100</x:v>
      </x:c>
      <x:c r="W30" s="131" t="n">
        <x:f>IFERROR(100*COUNTIFS('Raw_Data'!$AG$2:$AG$59,"&gt;=4",'Raw_Data'!$AG$2:$AG$59,"&lt;=5",'Raw_Data'!$A$2:$A$59,"Yes",'Raw_Data'!$D$2:$D$59,"ฝ่ายการพยาบาล",'Raw_Data'!$E$2:$E$59,"สายวิชาชีพสาธารณสุข")/COUNTIFS('Raw_Data'!$AG$2:$AG$59,"&gt;=1",'Raw_Data'!$AG$2:$AG$59,"&lt;=5",'Raw_Data'!$A$2:$A$59,"Yes",'Raw_Data'!$D$2:$D$59,"ฝ่ายการพยาบาล",'Raw_Data'!$E$2:$E$59,"สายวิชาชีพสาธารณสุข"),"")</x:f>
        <x:v>100</x:v>
      </x:c>
      <x:c r="X30" s="131" t="n">
        <x:f>IFERROR(100*COUNTIFS('Raw_Data'!$AG$2:$AG$59,"&gt;=4",'Raw_Data'!$AG$2:$AG$59,"&lt;=5",'Raw_Data'!$A$2:$A$59,"Yes",'Raw_Data'!$D$2:$D$59,"ERและเปล",'Raw_Data'!$E$2:$E$59,"สายวิชาชีพสาธารณสุข")/COUNTIFS('Raw_Data'!$AG$2:$AG$59,"&gt;=1",'Raw_Data'!$AG$2:$AG$59,"&lt;=5",'Raw_Data'!$A$2:$A$59,"Yes",'Raw_Data'!$D$2:$D$59,"ERและเปล",'Raw_Data'!$E$2:$E$59,"สายวิชาชีพสาธารณสุข"),"")</x:f>
        <x:v>85.71428571428571</x:v>
      </x:c>
      <x:c r="Y30" s="131" t="n">
        <x:f>IFERROR(100*COUNTIFS('Raw_Data'!$AG$2:$AG$59,"&gt;=4",'Raw_Data'!$AG$2:$AG$59,"&lt;=5",'Raw_Data'!$A$2:$A$59,"Yes",'Raw_Data'!$D$2:$D$59,"ICU",'Raw_Data'!$E$2:$E$59,"สายวิชาชีพสาธารณสุข")/COUNTIFS('Raw_Data'!$AG$2:$AG$59,"&gt;=1",'Raw_Data'!$AG$2:$AG$59,"&lt;=5",'Raw_Data'!$A$2:$A$59,"Yes",'Raw_Data'!$D$2:$D$59,"ICU",'Raw_Data'!$E$2:$E$59,"สายวิชาชีพสาธารณสุข"),"")</x:f>
        <x:v>100</x:v>
      </x:c>
      <x:c r="Z30" s="131" t="n">
        <x:f>IFERROR(100*COUNTIFS('Raw_Data'!$AG$2:$AG$59,"&gt;=4",'Raw_Data'!$AG$2:$AG$59,"&lt;=5",'Raw_Data'!$A$2:$A$59,"Yes",'Raw_Data'!$D$2:$D$59,"IPD",'Raw_Data'!$E$2:$E$59,"สายวิชาชีพสาธารณสุข")/COUNTIFS('Raw_Data'!$AG$2:$AG$59,"&gt;=1",'Raw_Data'!$AG$2:$AG$59,"&lt;=5",'Raw_Data'!$A$2:$A$59,"Yes",'Raw_Data'!$D$2:$D$59,"IPD",'Raw_Data'!$E$2:$E$59,"สายวิชาชีพสาธารณสุข"),"")</x:f>
        <x:v>100</x:v>
      </x:c>
      <x:c r="AA30" s="131" t="n">
        <x:f>IFERROR(100*COUNTIFS('Raw_Data'!$AG$2:$AG$59,"&gt;=4",'Raw_Data'!$AG$2:$AG$59,"&lt;=5",'Raw_Data'!$A$2:$A$59,"Yes",'Raw_Data'!$D$2:$D$59,"OR",'Raw_Data'!$E$2:$E$59,"สายวิชาชีพสาธารณสุข")/COUNTIFS('Raw_Data'!$AG$2:$AG$59,"&gt;=1",'Raw_Data'!$AG$2:$AG$59,"&lt;=5",'Raw_Data'!$A$2:$A$59,"Yes",'Raw_Data'!$D$2:$D$59,"OR",'Raw_Data'!$E$2:$E$59,"สายวิชาชีพสาธารณสุข"),"")</x:f>
        <x:v>100</x:v>
      </x:c>
      <x:c r="AB30" s="131" t="n">
        <x:f>IFERROR(100*COUNTIFS('Raw_Data'!$AG$2:$AG$59,"&gt;=4",'Raw_Data'!$AG$2:$AG$59,"&lt;=5",'Raw_Data'!$A$2:$A$59,"Yes",'Raw_Data'!$D$2:$D$59,"การเงิน",'Raw_Data'!$E$2:$E$59,"สายสนับสนุนทั่วไป")/COUNTIFS('Raw_Data'!$AG$2:$AG$59,"&gt;=1",'Raw_Data'!$AG$2:$AG$59,"&lt;=5",'Raw_Data'!$A$2:$A$59,"Yes",'Raw_Data'!$D$2:$D$59,"การเงิน",'Raw_Data'!$E$2:$E$59,"สายสนับสนุนทั่วไป"),"")</x:f>
        <x:v>66.66666666666667</x:v>
      </x:c>
      <x:c r="AC30" s="131" t="n">
        <x:f>IFERROR(100*COUNTIFS('Raw_Data'!$AG$2:$AG$59,"&gt;=4",'Raw_Data'!$AG$2:$AG$59,"&lt;=5",'Raw_Data'!$A$2:$A$59,"Yes",'Raw_Data'!$D$2:$D$59,"เคหรักษ์",'Raw_Data'!$E$2:$E$59,"สายสนับสนุนทั่วไป")/COUNTIFS('Raw_Data'!$AG$2:$AG$59,"&gt;=1",'Raw_Data'!$AG$2:$AG$59,"&lt;=5",'Raw_Data'!$A$2:$A$59,"Yes",'Raw_Data'!$D$2:$D$59,"เคหรักษ์",'Raw_Data'!$E$2:$E$59,"สายสนับสนุนทั่วไป"),"")</x:f>
        <x:v>50</x:v>
      </x:c>
      <x:c r="AD30" s="131" t="n">
        <x:f>IFERROR(100*COUNTIFS('Raw_Data'!$AG$2:$AG$59,"&gt;=4",'Raw_Data'!$AG$2:$AG$59,"&lt;=5",'Raw_Data'!$A$2:$A$59,"Yes",'Raw_Data'!$D$2:$D$59,"จ่ายกลาง",'Raw_Data'!$E$2:$E$59,"สายสนับสนุนทั่วไป")/COUNTIFS('Raw_Data'!$AG$2:$AG$59,"&gt;=1",'Raw_Data'!$AG$2:$AG$59,"&lt;=5",'Raw_Data'!$A$2:$A$59,"Yes",'Raw_Data'!$D$2:$D$59,"จ่ายกลาง",'Raw_Data'!$E$2:$E$59,"สายสนับสนุนทั่วไป"),"")</x:f>
        <x:v>100</x:v>
      </x:c>
      <x:c r="AE30" s="131" t="n">
        <x:f>IFERROR(100*COUNTIFS('Raw_Data'!$AG$2:$AG$59,"&gt;=4",'Raw_Data'!$AG$2:$AG$59,"&lt;=5",'Raw_Data'!$A$2:$A$59,"Yes",'Raw_Data'!$D$2:$D$59,"ช่างและสนาม",'Raw_Data'!$E$2:$E$59,"สายสนับสนุนทั่วไป")/COUNTIFS('Raw_Data'!$AG$2:$AG$59,"&gt;=1",'Raw_Data'!$AG$2:$AG$59,"&lt;=5",'Raw_Data'!$A$2:$A$59,"Yes",'Raw_Data'!$D$2:$D$59,"ช่างและสนาม",'Raw_Data'!$E$2:$E$59,"สายสนับสนุนทั่วไป"),"")</x:f>
        <x:v>50</x:v>
      </x:c>
      <x:c r="AF30" s="131" t="n">
        <x:f>IFERROR(100*COUNTIFS('Raw_Data'!$AG$2:$AG$59,"&gt;=4",'Raw_Data'!$AG$2:$AG$59,"&lt;=5",'Raw_Data'!$A$2:$A$59,"Yes",'Raw_Data'!$D$2:$D$59,"ผู้ป่วยสัมพันธ์",'Raw_Data'!$E$2:$E$59,"สายสนับสนุนทั่วไป")/COUNTIFS('Raw_Data'!$AG$2:$AG$59,"&gt;=1",'Raw_Data'!$AG$2:$AG$59,"&lt;=5",'Raw_Data'!$A$2:$A$59,"Yes",'Raw_Data'!$D$2:$D$59,"ผู้ป่วยสัมพันธ์",'Raw_Data'!$E$2:$E$59,"สายสนับสนุนทั่วไป"),"")</x:f>
        <x:v>100</x:v>
      </x:c>
      <x:c r="AG30" s="131" t="n">
        <x:f>IFERROR(100*COUNTIFS('Raw_Data'!$AG$2:$AG$59,"&gt;=4",'Raw_Data'!$AG$2:$AG$59,"&lt;=5",'Raw_Data'!$A$2:$A$59,"Yes",'Raw_Data'!$D$2:$D$59,"ยานพาหนะ",'Raw_Data'!$E$2:$E$59,"สายสนับสนุนทั่วไป")/COUNTIFS('Raw_Data'!$AG$2:$AG$59,"&gt;=1",'Raw_Data'!$AG$2:$AG$59,"&lt;=5",'Raw_Data'!$A$2:$A$59,"Yes",'Raw_Data'!$D$2:$D$59,"ยานพาหนะ",'Raw_Data'!$E$2:$E$59,"สายสนับสนุนทั่วไป"),"")</x:f>
        <x:v>100</x:v>
      </x:c>
      <x:c r="AH30" s="131" t="n">
        <x:f>IFERROR(100*COUNTIFS('Raw_Data'!$AG$2:$AG$59,"&gt;=4",'Raw_Data'!$AG$2:$AG$59,"&lt;=5",'Raw_Data'!$A$2:$A$59,"Yes",'Raw_Data'!$D$2:$D$59,"สื่อสารการตลาด",'Raw_Data'!$E$2:$E$59,"สายสนับสนุนทั่วไป")/COUNTIFS('Raw_Data'!$AG$2:$AG$59,"&gt;=1",'Raw_Data'!$AG$2:$AG$59,"&lt;=5",'Raw_Data'!$A$2:$A$59,"Yes",'Raw_Data'!$D$2:$D$59,"สื่อสารการตลาด",'Raw_Data'!$E$2:$E$59,"สายสนับสนุนทั่วไป"),"")</x:f>
        <x:v>100</x:v>
      </x:c>
      <x:c r="AI30" s="131" t="n">
        <x:f>IFERROR(100*COUNTIFS('Raw_Data'!$AG$2:$AG$59,"&gt;=4",'Raw_Data'!$AG$2:$AG$59,"&lt;=5",'Raw_Data'!$A$2:$A$59,"Yes",'Raw_Data'!$D$2:$D$59,"ERและเปล",'Raw_Data'!$E$2:$E$59,"สายสนับสนุนทั่วไป")/COUNTIFS('Raw_Data'!$AG$2:$AG$59,"&gt;=1",'Raw_Data'!$AG$2:$AG$59,"&lt;=5",'Raw_Data'!$A$2:$A$59,"Yes",'Raw_Data'!$D$2:$D$59,"ERและเปล",'Raw_Data'!$E$2:$E$59,"สายสนับสนุนทั่วไป"),"")</x:f>
        <x:v>66.66666666666667</x:v>
      </x:c>
      <x:c r="AJ30" s="131" t="n">
        <x:f>IFERROR(100*COUNTIFS('Raw_Data'!$AG$2:$AG$59,"&gt;=4",'Raw_Data'!$AG$2:$AG$59,"&lt;=5",'Raw_Data'!$A$2:$A$59,"Yes",'Raw_Data'!$D$2:$D$59,"HR",'Raw_Data'!$E$2:$E$59,"สายสนับสนุนทั่วไป")/COUNTIFS('Raw_Data'!$AG$2:$AG$59,"&gt;=1",'Raw_Data'!$AG$2:$AG$59,"&lt;=5",'Raw_Data'!$A$2:$A$59,"Yes",'Raw_Data'!$D$2:$D$59,"HR",'Raw_Data'!$E$2:$E$59,"สายสนับสนุนทั่วไป"),"")</x:f>
        <x:v>100</x:v>
      </x:c>
      <x:c r="AK30" s="131" t="n">
        <x:f>IFERROR(100*COUNTIFS('Raw_Data'!$AG$2:$AG$59,"&gt;=4",'Raw_Data'!$AG$2:$AG$59,"&lt;=5",'Raw_Data'!$A$2:$A$59,"Yes",'Raw_Data'!$D$2:$D$59,"ICU",'Raw_Data'!$E$2:$E$59,"สายสนับสนุนทั่วไป")/COUNTIFS('Raw_Data'!$AG$2:$AG$59,"&gt;=1",'Raw_Data'!$AG$2:$AG$59,"&lt;=5",'Raw_Data'!$A$2:$A$59,"Yes",'Raw_Data'!$D$2:$D$59,"ICU",'Raw_Data'!$E$2:$E$59,"สายสนับสนุนทั่วไป"),"")</x:f>
        <x:v>0</x:v>
      </x:c>
      <x:c r="AL30" s="131" t="n">
        <x:f>IFERROR(100*COUNTIFS('Raw_Data'!$AG$2:$AG$59,"&gt;=4",'Raw_Data'!$AG$2:$AG$59,"&lt;=5",'Raw_Data'!$A$2:$A$59,"Yes",'Raw_Data'!$D$2:$D$59,"IPD",'Raw_Data'!$E$2:$E$59,"สายสนับสนุนทั่วไป")/COUNTIFS('Raw_Data'!$AG$2:$AG$59,"&gt;=1",'Raw_Data'!$AG$2:$AG$59,"&lt;=5",'Raw_Data'!$A$2:$A$59,"Yes",'Raw_Data'!$D$2:$D$59,"IPD",'Raw_Data'!$E$2:$E$59,"สายสนับสนุนทั่วไป"),"")</x:f>
        <x:v>0</x:v>
      </x:c>
      <x:c r="AM30" s="131" t="n">
        <x:f>IFERROR(100*COUNTIFS('Raw_Data'!$AG$2:$AG$59,"&gt;=4",'Raw_Data'!$AG$2:$AG$59,"&lt;=5",'Raw_Data'!$A$2:$A$59,"Yes",'Raw_Data'!$D$2:$D$59,"IT",'Raw_Data'!$E$2:$E$59,"สายสนับสนุนทั่วไป")/COUNTIFS('Raw_Data'!$AG$2:$AG$59,"&gt;=1",'Raw_Data'!$AG$2:$AG$59,"&lt;=5",'Raw_Data'!$A$2:$A$59,"Yes",'Raw_Data'!$D$2:$D$59,"IT",'Raw_Data'!$E$2:$E$59,"สายสนับสนุนทั่วไป"),"")</x:f>
        <x:v>100</x:v>
      </x:c>
      <x:c r="AN30" s="131" t="n">
        <x:f>IFERROR(100*COUNTIFS('Raw_Data'!$AG$2:$AG$59,"&gt;=4",'Raw_Data'!$AG$2:$AG$59,"&lt;=5",'Raw_Data'!$A$2:$A$59,"Yes",'Raw_Data'!$D$2:$D$59,"ผู้ป่วยสัมพันธ์",'Raw_Data'!$E$2:$E$59,"สายสนับสนุนทางการแพทย์")/COUNTIFS('Raw_Data'!$AG$2:$AG$59,"&gt;=1",'Raw_Data'!$AG$2:$AG$59,"&lt;=5",'Raw_Data'!$A$2:$A$59,"Yes",'Raw_Data'!$D$2:$D$59,"ผู้ป่วยสัมพันธ์",'Raw_Data'!$E$2:$E$59,"สายสนับสนุนทางการแพทย์"),"")</x:f>
        <x:v>100</x:v>
      </x:c>
      <x:c r="AO30" s="131" t="n">
        <x:f>IFERROR(100*COUNTIFS('Raw_Data'!$AG$2:$AG$59,"&gt;=4",'Raw_Data'!$AG$2:$AG$59,"&lt;=5",'Raw_Data'!$A$2:$A$59,"Yes",'Raw_Data'!$D$2:$D$59,"ฝ่ายการพยาบาล",'Raw_Data'!$E$2:$E$59,"สายสนับสนุนทางการแพทย์")/COUNTIFS('Raw_Data'!$AG$2:$AG$59,"&gt;=1",'Raw_Data'!$AG$2:$AG$59,"&lt;=5",'Raw_Data'!$A$2:$A$59,"Yes",'Raw_Data'!$D$2:$D$59,"ฝ่ายการพยาบาล",'Raw_Data'!$E$2:$E$59,"สายสนับสนุนทางการแพทย์"),"")</x:f>
        <x:v>100</x:v>
      </x:c>
      <x:c r="AP30" s="131" t="n">
        <x:f>IFERROR(100*COUNTIFS('Raw_Data'!$AG$2:$AG$59,"&gt;=4",'Raw_Data'!$AG$2:$AG$59,"&lt;=5",'Raw_Data'!$A$2:$A$59,"Yes",'Raw_Data'!$D$2:$D$59,"โภชนาการ",'Raw_Data'!$E$2:$E$59,"สายสนับสนุนทางการแพทย์")/COUNTIFS('Raw_Data'!$AG$2:$AG$59,"&gt;=1",'Raw_Data'!$AG$2:$AG$59,"&lt;=5",'Raw_Data'!$A$2:$A$59,"Yes",'Raw_Data'!$D$2:$D$59,"โภชนาการ",'Raw_Data'!$E$2:$E$59,"สายสนับสนุนทางการแพทย์"),"")</x:f>
        <x:v>100</x:v>
      </x:c>
      <x:c r="AQ30" s="131" t="n">
        <x:f>IFERROR(100*COUNTIFS('Raw_Data'!$AG$2:$AG$59,"&gt;=4",'Raw_Data'!$AG$2:$AG$59,"&lt;=5",'Raw_Data'!$A$2:$A$59,"Yes",'Raw_Data'!$D$2:$D$59,"ห้องยา",'Raw_Data'!$E$2:$E$59,"สายสนับสนุนทางการแพทย์")/COUNTIFS('Raw_Data'!$AG$2:$AG$59,"&gt;=1",'Raw_Data'!$AG$2:$AG$59,"&lt;=5",'Raw_Data'!$A$2:$A$59,"Yes",'Raw_Data'!$D$2:$D$59,"ห้องยา",'Raw_Data'!$E$2:$E$59,"สายสนับสนุนทางการแพทย์"),"")</x:f>
        <x:v>100</x:v>
      </x:c>
      <x:c r="AR30" s="131" t="n">
        <x:f>IFERROR(100*COUNTIFS('Raw_Data'!$AG$2:$AG$59,"&gt;=4",'Raw_Data'!$AG$2:$AG$59,"&lt;=5",'Raw_Data'!$A$2:$A$59,"Yes",'Raw_Data'!$D$2:$D$59,"ห้องแลป",'Raw_Data'!$E$2:$E$59,"สายสนับสนุนทางการแพทย์")/COUNTIFS('Raw_Data'!$AG$2:$AG$59,"&gt;=1",'Raw_Data'!$AG$2:$AG$59,"&lt;=5",'Raw_Data'!$A$2:$A$59,"Yes",'Raw_Data'!$D$2:$D$59,"ห้องแลป",'Raw_Data'!$E$2:$E$59,"สายสนับสนุนทางการแพทย์"),"")</x:f>
        <x:v>50</x:v>
      </x:c>
      <x:c r="AS30" s="131" t="n">
        <x:f>IFERROR(100*COUNTIFS('Raw_Data'!$AG$2:$AG$59,"&gt;=4",'Raw_Data'!$AG$2:$AG$59,"&lt;=5",'Raw_Data'!$A$2:$A$59,"Yes",'Raw_Data'!$D$2:$D$59,"ห้องเอ็กซเรย์",'Raw_Data'!$E$2:$E$59,"สายสนับสนุนทางการแพทย์")/COUNTIFS('Raw_Data'!$AG$2:$AG$59,"&gt;=1",'Raw_Data'!$AG$2:$AG$59,"&lt;=5",'Raw_Data'!$A$2:$A$59,"Yes",'Raw_Data'!$D$2:$D$59,"ห้องเอ็กซเรย์",'Raw_Data'!$E$2:$E$59,"สายสนับสนุนทางการแพทย์"),"")</x:f>
        <x:v>100</x:v>
      </x:c>
      <x:c r="AT30" s="131" t="n">
        <x:f>IFERROR(100*COUNTIFS('Raw_Data'!$AG$2:$AG$59,"&gt;=4",'Raw_Data'!$AG$2:$AG$59,"&lt;=5",'Raw_Data'!$A$2:$A$59,"Yes",'Raw_Data'!$D$2:$D$59,"ERและเปล",'Raw_Data'!$E$2:$E$59,"สายสนับสนุนทางการแพทย์")/COUNTIFS('Raw_Data'!$AG$2:$AG$59,"&gt;=1",'Raw_Data'!$AG$2:$AG$59,"&lt;=5",'Raw_Data'!$A$2:$A$59,"Yes",'Raw_Data'!$D$2:$D$59,"ERและเปล",'Raw_Data'!$E$2:$E$59,"สายสนับสนุนทางการแพทย์"),"")</x:f>
        <x:v>0</x:v>
      </x:c>
      <x:c r="AU30" s="131" t="n">
        <x:f>IFERROR(100*COUNTIFS('Raw_Data'!$AG$2:$AG$59,"&gt;=4",'Raw_Data'!$AG$2:$AG$59,"&lt;=5",'Raw_Data'!$A$2:$A$59,"Yes",'Raw_Data'!$D$2:$D$59,"ICU",'Raw_Data'!$E$2:$E$59,"สายสนับสนุนทางการแพทย์")/COUNTIFS('Raw_Data'!$AG$2:$AG$59,"&gt;=1",'Raw_Data'!$AG$2:$AG$59,"&lt;=5",'Raw_Data'!$A$2:$A$59,"Yes",'Raw_Data'!$D$2:$D$59,"ICU",'Raw_Data'!$E$2:$E$59,"สายสนับสนุนทางการแพทย์"),"")</x:f>
        <x:v>100</x:v>
      </x:c>
      <x:c r="AV30" s="131" t="n">
        <x:f>IFERROR(100*COUNTIFS('Raw_Data'!$AG$2:$AG$59,"&gt;=4",'Raw_Data'!$AG$2:$AG$59,"&lt;=5",'Raw_Data'!$A$2:$A$59,"Yes",'Raw_Data'!$D$2:$D$59,"IPD",'Raw_Data'!$E$2:$E$59,"สายสนับสนุนทางการแพทย์")/COUNTIFS('Raw_Data'!$AG$2:$AG$59,"&gt;=1",'Raw_Data'!$AG$2:$AG$59,"&lt;=5",'Raw_Data'!$A$2:$A$59,"Yes",'Raw_Data'!$D$2:$D$59,"IPD",'Raw_Data'!$E$2:$E$59,"สายสนับสนุนทางการแพทย์"),"")</x:f>
        <x:v>100</x:v>
      </x:c>
      <x:c r="AW30" s="131" t="n">
        <x:f>IFERROR(100*COUNTIFS('Raw_Data'!$AG$2:$AG$59,"&gt;=4",'Raw_Data'!$AG$2:$AG$59,"&lt;=5",'Raw_Data'!$A$2:$A$59,"Yes",'Raw_Data'!$D$2:$D$59,"IT",'Raw_Data'!$E$2:$E$59,"สายสนับสนุนทางการแพทย์")/COUNTIFS('Raw_Data'!$AG$2:$AG$59,"&gt;=1",'Raw_Data'!$AG$2:$AG$59,"&lt;=5",'Raw_Data'!$A$2:$A$59,"Yes",'Raw_Data'!$D$2:$D$59,"IT",'Raw_Data'!$E$2:$E$59,"สายสนับสนุนทางการแพทย์"),"")</x:f>
        <x:v>100</x:v>
      </x:c>
    </x:row>
    <x:row r="31" ht="42" customHeight="1">
      <x:c r="A31" s="123"/>
      <x:c r="B31" s="124" t="str">
        <x:v>F2. ผู้บริหารสถานพยาบาลจัดสรรทรัพยากรอย่างเพียงพอเพื่อปรับปรุงและเพิ่มความปลอดภัยของผู้ป่วยและผู้รับบริการในระบบบริการ</x:v>
      </x:c>
      <x:c r="C31" s="131" t="n">
        <x:f>IFERROR(100*COUNTIFS('Raw_Data'!$AH$2:$AH$59,"&gt;=4",'Raw_Data'!$AH$2:$AH$59,"&lt;=5",'Raw_Data'!$A$2:$A$59,"Yes")/COUNTIFS('Raw_Data'!$AH$2:$AH$59,"&gt;=1",'Raw_Data'!$AH$2:$AH$59,"&lt;=5",'Raw_Data'!$A$2:$A$59,"Yes"),"")</x:f>
        <x:v>65.51724137931035</x:v>
      </x:c>
      <x:c r="D31" s="131" t="n">
        <x:f>IFERROR(100*COUNTIFS('Raw_Data'!$AH$2:$AH$59,"&gt;=4",'Raw_Data'!$AH$2:$AH$59,"&lt;=5",'Raw_Data'!$A$2:$A$59,"Yes",'Raw_Data'!$D$2:$D$59,"การเงิน")/COUNTIFS('Raw_Data'!$AH$2:$AH$59,"&gt;=1",'Raw_Data'!$AH$2:$AH$59,"&lt;=5",'Raw_Data'!$A$2:$A$59,"Yes",'Raw_Data'!$D$2:$D$59,"การเงิน"),"")</x:f>
        <x:v>66.66666666666667</x:v>
      </x:c>
      <x:c r="E31" s="131" t="n">
        <x:f>IFERROR(100*COUNTIFS('Raw_Data'!$AH$2:$AH$59,"&gt;=4",'Raw_Data'!$AH$2:$AH$59,"&lt;=5",'Raw_Data'!$A$2:$A$59,"Yes",'Raw_Data'!$D$2:$D$59,"เคหรักษ์")/COUNTIFS('Raw_Data'!$AH$2:$AH$59,"&gt;=1",'Raw_Data'!$AH$2:$AH$59,"&lt;=5",'Raw_Data'!$A$2:$A$59,"Yes",'Raw_Data'!$D$2:$D$59,"เคหรักษ์"),"")</x:f>
        <x:v>50</x:v>
      </x:c>
      <x:c r="F31" s="131" t="n">
        <x:f>IFERROR(100*COUNTIFS('Raw_Data'!$AH$2:$AH$59,"&gt;=4",'Raw_Data'!$AH$2:$AH$59,"&lt;=5",'Raw_Data'!$A$2:$A$59,"Yes",'Raw_Data'!$D$2:$D$59,"จ่ายกลาง")/COUNTIFS('Raw_Data'!$AH$2:$AH$59,"&gt;=1",'Raw_Data'!$AH$2:$AH$59,"&lt;=5",'Raw_Data'!$A$2:$A$59,"Yes",'Raw_Data'!$D$2:$D$59,"จ่ายกลาง"),"")</x:f>
        <x:v>100</x:v>
      </x:c>
      <x:c r="G31" s="131" t="n">
        <x:f>IFERROR(100*COUNTIFS('Raw_Data'!$AH$2:$AH$59,"&gt;=4",'Raw_Data'!$AH$2:$AH$59,"&lt;=5",'Raw_Data'!$A$2:$A$59,"Yes",'Raw_Data'!$D$2:$D$59,"ช่างและสนาม")/COUNTIFS('Raw_Data'!$AH$2:$AH$59,"&gt;=1",'Raw_Data'!$AH$2:$AH$59,"&lt;=5",'Raw_Data'!$A$2:$A$59,"Yes",'Raw_Data'!$D$2:$D$59,"ช่างและสนาม"),"")</x:f>
        <x:v>50</x:v>
      </x:c>
      <x:c r="H31" s="131" t="n">
        <x:f>IFERROR(100*COUNTIFS('Raw_Data'!$AH$2:$AH$59,"&gt;=4",'Raw_Data'!$AH$2:$AH$59,"&lt;=5",'Raw_Data'!$A$2:$A$59,"Yes",'Raw_Data'!$D$2:$D$59,"ผู้ป่วยสัมพันธ์")/COUNTIFS('Raw_Data'!$AH$2:$AH$59,"&gt;=1",'Raw_Data'!$AH$2:$AH$59,"&lt;=5",'Raw_Data'!$A$2:$A$59,"Yes",'Raw_Data'!$D$2:$D$59,"ผู้ป่วยสัมพันธ์"),"")</x:f>
        <x:v>75</x:v>
      </x:c>
      <x:c r="I31" s="131" t="n">
        <x:f>IFERROR(100*COUNTIFS('Raw_Data'!$AH$2:$AH$59,"&gt;=4",'Raw_Data'!$AH$2:$AH$59,"&lt;=5",'Raw_Data'!$A$2:$A$59,"Yes",'Raw_Data'!$D$2:$D$59,"ฝ่ายการพยาบาล")/COUNTIFS('Raw_Data'!$AH$2:$AH$59,"&gt;=1",'Raw_Data'!$AH$2:$AH$59,"&lt;=5",'Raw_Data'!$A$2:$A$59,"Yes",'Raw_Data'!$D$2:$D$59,"ฝ่ายการพยาบาล"),"")</x:f>
        <x:v>100</x:v>
      </x:c>
      <x:c r="J31" s="131" t="n">
        <x:f>IFERROR(100*COUNTIFS('Raw_Data'!$AH$2:$AH$59,"&gt;=4",'Raw_Data'!$AH$2:$AH$59,"&lt;=5",'Raw_Data'!$A$2:$A$59,"Yes",'Raw_Data'!$D$2:$D$59,"โภชนาการ")/COUNTIFS('Raw_Data'!$AH$2:$AH$59,"&gt;=1",'Raw_Data'!$AH$2:$AH$59,"&lt;=5",'Raw_Data'!$A$2:$A$59,"Yes",'Raw_Data'!$D$2:$D$59,"โภชนาการ"),"")</x:f>
        <x:v>100</x:v>
      </x:c>
      <x:c r="K31" s="131" t="n">
        <x:f>IFERROR(100*COUNTIFS('Raw_Data'!$AH$2:$AH$59,"&gt;=4",'Raw_Data'!$AH$2:$AH$59,"&lt;=5",'Raw_Data'!$A$2:$A$59,"Yes",'Raw_Data'!$D$2:$D$59,"ยานพาหนะ")/COUNTIFS('Raw_Data'!$AH$2:$AH$59,"&gt;=1",'Raw_Data'!$AH$2:$AH$59,"&lt;=5",'Raw_Data'!$A$2:$A$59,"Yes",'Raw_Data'!$D$2:$D$59,"ยานพาหนะ"),"")</x:f>
        <x:v>100</x:v>
      </x:c>
      <x:c r="L31" s="131" t="n">
        <x:f>IFERROR(100*COUNTIFS('Raw_Data'!$AH$2:$AH$59,"&gt;=4",'Raw_Data'!$AH$2:$AH$59,"&lt;=5",'Raw_Data'!$A$2:$A$59,"Yes",'Raw_Data'!$D$2:$D$59,"สื่อสารการตลาด")/COUNTIFS('Raw_Data'!$AH$2:$AH$59,"&gt;=1",'Raw_Data'!$AH$2:$AH$59,"&lt;=5",'Raw_Data'!$A$2:$A$59,"Yes",'Raw_Data'!$D$2:$D$59,"สื่อสารการตลาด"),"")</x:f>
        <x:v>100</x:v>
      </x:c>
      <x:c r="M31" s="131" t="n">
        <x:f>IFERROR(100*COUNTIFS('Raw_Data'!$AH$2:$AH$59,"&gt;=4",'Raw_Data'!$AH$2:$AH$59,"&lt;=5",'Raw_Data'!$A$2:$A$59,"Yes",'Raw_Data'!$D$2:$D$59,"ห้องยา")/COUNTIFS('Raw_Data'!$AH$2:$AH$59,"&gt;=1",'Raw_Data'!$AH$2:$AH$59,"&lt;=5",'Raw_Data'!$A$2:$A$59,"Yes",'Raw_Data'!$D$2:$D$59,"ห้องยา"),"")</x:f>
        <x:v>100</x:v>
      </x:c>
      <x:c r="N31" s="131" t="n">
        <x:f>IFERROR(100*COUNTIFS('Raw_Data'!$AH$2:$AH$59,"&gt;=4",'Raw_Data'!$AH$2:$AH$59,"&lt;=5",'Raw_Data'!$A$2:$A$59,"Yes",'Raw_Data'!$D$2:$D$59,"ห้องแลป")/COUNTIFS('Raw_Data'!$AH$2:$AH$59,"&gt;=1",'Raw_Data'!$AH$2:$AH$59,"&lt;=5",'Raw_Data'!$A$2:$A$59,"Yes",'Raw_Data'!$D$2:$D$59,"ห้องแลป"),"")</x:f>
        <x:v>0</x:v>
      </x:c>
      <x:c r="O31" s="131" t="n">
        <x:f>IFERROR(100*COUNTIFS('Raw_Data'!$AH$2:$AH$59,"&gt;=4",'Raw_Data'!$AH$2:$AH$59,"&lt;=5",'Raw_Data'!$A$2:$A$59,"Yes",'Raw_Data'!$D$2:$D$59,"ห้องเอ็กซเรย์")/COUNTIFS('Raw_Data'!$AH$2:$AH$59,"&gt;=1",'Raw_Data'!$AH$2:$AH$59,"&lt;=5",'Raw_Data'!$A$2:$A$59,"Yes",'Raw_Data'!$D$2:$D$59,"ห้องเอ็กซเรย์"),"")</x:f>
        <x:v>100</x:v>
      </x:c>
      <x:c r="P31" s="131" t="n">
        <x:f>IFERROR(100*COUNTIFS('Raw_Data'!$AH$2:$AH$59,"&gt;=4",'Raw_Data'!$AH$2:$AH$59,"&lt;=5",'Raw_Data'!$A$2:$A$59,"Yes",'Raw_Data'!$D$2:$D$59,"ERและเปล")/COUNTIFS('Raw_Data'!$AH$2:$AH$59,"&gt;=1",'Raw_Data'!$AH$2:$AH$59,"&lt;=5",'Raw_Data'!$A$2:$A$59,"Yes",'Raw_Data'!$D$2:$D$59,"ERและเปล"),"")</x:f>
        <x:v>18.181818181818183</x:v>
      </x:c>
      <x:c r="Q31" s="131" t="n">
        <x:f>IFERROR(100*COUNTIFS('Raw_Data'!$AH$2:$AH$59,"&gt;=4",'Raw_Data'!$AH$2:$AH$59,"&lt;=5",'Raw_Data'!$A$2:$A$59,"Yes",'Raw_Data'!$D$2:$D$59,"HR")/COUNTIFS('Raw_Data'!$AH$2:$AH$59,"&gt;=1",'Raw_Data'!$AH$2:$AH$59,"&lt;=5",'Raw_Data'!$A$2:$A$59,"Yes",'Raw_Data'!$D$2:$D$59,"HR"),"")</x:f>
        <x:v>100</x:v>
      </x:c>
      <x:c r="R31" s="131" t="n">
        <x:f>IFERROR(100*COUNTIFS('Raw_Data'!$AH$2:$AH$59,"&gt;=4",'Raw_Data'!$AH$2:$AH$59,"&lt;=5",'Raw_Data'!$A$2:$A$59,"Yes",'Raw_Data'!$D$2:$D$59,"ICU")/COUNTIFS('Raw_Data'!$AH$2:$AH$59,"&gt;=1",'Raw_Data'!$AH$2:$AH$59,"&lt;=5",'Raw_Data'!$A$2:$A$59,"Yes",'Raw_Data'!$D$2:$D$59,"ICU"),"")</x:f>
        <x:v>75</x:v>
      </x:c>
      <x:c r="S31" s="131" t="n">
        <x:f>IFERROR(100*COUNTIFS('Raw_Data'!$AH$2:$AH$59,"&gt;=4",'Raw_Data'!$AH$2:$AH$59,"&lt;=5",'Raw_Data'!$A$2:$A$59,"Yes",'Raw_Data'!$D$2:$D$59,"IPD")/COUNTIFS('Raw_Data'!$AH$2:$AH$59,"&gt;=1",'Raw_Data'!$AH$2:$AH$59,"&lt;=5",'Raw_Data'!$A$2:$A$59,"Yes",'Raw_Data'!$D$2:$D$59,"IPD"),"")</x:f>
        <x:v>83.33333333333333</x:v>
      </x:c>
      <x:c r="T31" s="131" t="n">
        <x:f>IFERROR(100*COUNTIFS('Raw_Data'!$AH$2:$AH$59,"&gt;=4",'Raw_Data'!$AH$2:$AH$59,"&lt;=5",'Raw_Data'!$A$2:$A$59,"Yes",'Raw_Data'!$D$2:$D$59,"IT")/COUNTIFS('Raw_Data'!$AH$2:$AH$59,"&gt;=1",'Raw_Data'!$AH$2:$AH$59,"&lt;=5",'Raw_Data'!$A$2:$A$59,"Yes",'Raw_Data'!$D$2:$D$59,"IT"),"")</x:f>
        <x:v>100</x:v>
      </x:c>
      <x:c r="U31" s="131" t="n">
        <x:f>IFERROR(100*COUNTIFS('Raw_Data'!$AH$2:$AH$59,"&gt;=4",'Raw_Data'!$AH$2:$AH$59,"&lt;=5",'Raw_Data'!$A$2:$A$59,"Yes",'Raw_Data'!$D$2:$D$59,"OR")/COUNTIFS('Raw_Data'!$AH$2:$AH$59,"&gt;=1",'Raw_Data'!$AH$2:$AH$59,"&lt;=5",'Raw_Data'!$A$2:$A$59,"Yes",'Raw_Data'!$D$2:$D$59,"OR"),"")</x:f>
        <x:v>50</x:v>
      </x:c>
      <x:c r="V31" s="131" t="n">
        <x:f>IFERROR(100*COUNTIFS('Raw_Data'!$AH$2:$AH$59,"&gt;=4",'Raw_Data'!$AH$2:$AH$59,"&lt;=5",'Raw_Data'!$A$2:$A$59,"Yes",'Raw_Data'!$D$2:$D$59,"IPD",'Raw_Data'!$E$2:$E$59,"ผู้บริหาร")/COUNTIFS('Raw_Data'!$AH$2:$AH$59,"&gt;=1",'Raw_Data'!$AH$2:$AH$59,"&lt;=5",'Raw_Data'!$A$2:$A$59,"Yes",'Raw_Data'!$D$2:$D$59,"IPD",'Raw_Data'!$E$2:$E$59,"ผู้บริหาร"),"")</x:f>
        <x:v>100</x:v>
      </x:c>
      <x:c r="W31" s="131" t="n">
        <x:f>IFERROR(100*COUNTIFS('Raw_Data'!$AH$2:$AH$59,"&gt;=4",'Raw_Data'!$AH$2:$AH$59,"&lt;=5",'Raw_Data'!$A$2:$A$59,"Yes",'Raw_Data'!$D$2:$D$59,"ฝ่ายการพยาบาล",'Raw_Data'!$E$2:$E$59,"สายวิชาชีพสาธารณสุข")/COUNTIFS('Raw_Data'!$AH$2:$AH$59,"&gt;=1",'Raw_Data'!$AH$2:$AH$59,"&lt;=5",'Raw_Data'!$A$2:$A$59,"Yes",'Raw_Data'!$D$2:$D$59,"ฝ่ายการพยาบาล",'Raw_Data'!$E$2:$E$59,"สายวิชาชีพสาธารณสุข"),"")</x:f>
        <x:v>100</x:v>
      </x:c>
      <x:c r="X31" s="131" t="n">
        <x:f>IFERROR(100*COUNTIFS('Raw_Data'!$AH$2:$AH$59,"&gt;=4",'Raw_Data'!$AH$2:$AH$59,"&lt;=5",'Raw_Data'!$A$2:$A$59,"Yes",'Raw_Data'!$D$2:$D$59,"ERและเปล",'Raw_Data'!$E$2:$E$59,"สายวิชาชีพสาธารณสุข")/COUNTIFS('Raw_Data'!$AH$2:$AH$59,"&gt;=1",'Raw_Data'!$AH$2:$AH$59,"&lt;=5",'Raw_Data'!$A$2:$A$59,"Yes",'Raw_Data'!$D$2:$D$59,"ERและเปล",'Raw_Data'!$E$2:$E$59,"สายวิชาชีพสาธารณสุข"),"")</x:f>
        <x:v>14.285714285714286</x:v>
      </x:c>
      <x:c r="Y31" s="131" t="n">
        <x:f>IFERROR(100*COUNTIFS('Raw_Data'!$AH$2:$AH$59,"&gt;=4",'Raw_Data'!$AH$2:$AH$59,"&lt;=5",'Raw_Data'!$A$2:$A$59,"Yes",'Raw_Data'!$D$2:$D$59,"ICU",'Raw_Data'!$E$2:$E$59,"สายวิชาชีพสาธารณสุข")/COUNTIFS('Raw_Data'!$AH$2:$AH$59,"&gt;=1",'Raw_Data'!$AH$2:$AH$59,"&lt;=5",'Raw_Data'!$A$2:$A$59,"Yes",'Raw_Data'!$D$2:$D$59,"ICU",'Raw_Data'!$E$2:$E$59,"สายวิชาชีพสาธารณสุข"),"")</x:f>
        <x:v>100</x:v>
      </x:c>
      <x:c r="Z31" s="131" t="n">
        <x:f>IFERROR(100*COUNTIFS('Raw_Data'!$AH$2:$AH$59,"&gt;=4",'Raw_Data'!$AH$2:$AH$59,"&lt;=5",'Raw_Data'!$A$2:$A$59,"Yes",'Raw_Data'!$D$2:$D$59,"IPD",'Raw_Data'!$E$2:$E$59,"สายวิชาชีพสาธารณสุข")/COUNTIFS('Raw_Data'!$AH$2:$AH$59,"&gt;=1",'Raw_Data'!$AH$2:$AH$59,"&lt;=5",'Raw_Data'!$A$2:$A$59,"Yes",'Raw_Data'!$D$2:$D$59,"IPD",'Raw_Data'!$E$2:$E$59,"สายวิชาชีพสาธารณสุข"),"")</x:f>
        <x:v>100</x:v>
      </x:c>
      <x:c r="AA31" s="131" t="n">
        <x:f>IFERROR(100*COUNTIFS('Raw_Data'!$AH$2:$AH$59,"&gt;=4",'Raw_Data'!$AH$2:$AH$59,"&lt;=5",'Raw_Data'!$A$2:$A$59,"Yes",'Raw_Data'!$D$2:$D$59,"OR",'Raw_Data'!$E$2:$E$59,"สายวิชาชีพสาธารณสุข")/COUNTIFS('Raw_Data'!$AH$2:$AH$59,"&gt;=1",'Raw_Data'!$AH$2:$AH$59,"&lt;=5",'Raw_Data'!$A$2:$A$59,"Yes",'Raw_Data'!$D$2:$D$59,"OR",'Raw_Data'!$E$2:$E$59,"สายวิชาชีพสาธารณสุข"),"")</x:f>
        <x:v>50</x:v>
      </x:c>
      <x:c r="AB31" s="131" t="n">
        <x:f>IFERROR(100*COUNTIFS('Raw_Data'!$AH$2:$AH$59,"&gt;=4",'Raw_Data'!$AH$2:$AH$59,"&lt;=5",'Raw_Data'!$A$2:$A$59,"Yes",'Raw_Data'!$D$2:$D$59,"การเงิน",'Raw_Data'!$E$2:$E$59,"สายสนับสนุนทั่วไป")/COUNTIFS('Raw_Data'!$AH$2:$AH$59,"&gt;=1",'Raw_Data'!$AH$2:$AH$59,"&lt;=5",'Raw_Data'!$A$2:$A$59,"Yes",'Raw_Data'!$D$2:$D$59,"การเงิน",'Raw_Data'!$E$2:$E$59,"สายสนับสนุนทั่วไป"),"")</x:f>
        <x:v>66.66666666666667</x:v>
      </x:c>
      <x:c r="AC31" s="131" t="n">
        <x:f>IFERROR(100*COUNTIFS('Raw_Data'!$AH$2:$AH$59,"&gt;=4",'Raw_Data'!$AH$2:$AH$59,"&lt;=5",'Raw_Data'!$A$2:$A$59,"Yes",'Raw_Data'!$D$2:$D$59,"เคหรักษ์",'Raw_Data'!$E$2:$E$59,"สายสนับสนุนทั่วไป")/COUNTIFS('Raw_Data'!$AH$2:$AH$59,"&gt;=1",'Raw_Data'!$AH$2:$AH$59,"&lt;=5",'Raw_Data'!$A$2:$A$59,"Yes",'Raw_Data'!$D$2:$D$59,"เคหรักษ์",'Raw_Data'!$E$2:$E$59,"สายสนับสนุนทั่วไป"),"")</x:f>
        <x:v>50</x:v>
      </x:c>
      <x:c r="AD31" s="131" t="n">
        <x:f>IFERROR(100*COUNTIFS('Raw_Data'!$AH$2:$AH$59,"&gt;=4",'Raw_Data'!$AH$2:$AH$59,"&lt;=5",'Raw_Data'!$A$2:$A$59,"Yes",'Raw_Data'!$D$2:$D$59,"จ่ายกลาง",'Raw_Data'!$E$2:$E$59,"สายสนับสนุนทั่วไป")/COUNTIFS('Raw_Data'!$AH$2:$AH$59,"&gt;=1",'Raw_Data'!$AH$2:$AH$59,"&lt;=5",'Raw_Data'!$A$2:$A$59,"Yes",'Raw_Data'!$D$2:$D$59,"จ่ายกลาง",'Raw_Data'!$E$2:$E$59,"สายสนับสนุนทั่วไป"),"")</x:f>
        <x:v>100</x:v>
      </x:c>
      <x:c r="AE31" s="131" t="n">
        <x:f>IFERROR(100*COUNTIFS('Raw_Data'!$AH$2:$AH$59,"&gt;=4",'Raw_Data'!$AH$2:$AH$59,"&lt;=5",'Raw_Data'!$A$2:$A$59,"Yes",'Raw_Data'!$D$2:$D$59,"ช่างและสนาม",'Raw_Data'!$E$2:$E$59,"สายสนับสนุนทั่วไป")/COUNTIFS('Raw_Data'!$AH$2:$AH$59,"&gt;=1",'Raw_Data'!$AH$2:$AH$59,"&lt;=5",'Raw_Data'!$A$2:$A$59,"Yes",'Raw_Data'!$D$2:$D$59,"ช่างและสนาม",'Raw_Data'!$E$2:$E$59,"สายสนับสนุนทั่วไป"),"")</x:f>
        <x:v>50</x:v>
      </x:c>
      <x:c r="AF31" s="131" t="n">
        <x:f>IFERROR(100*COUNTIFS('Raw_Data'!$AH$2:$AH$59,"&gt;=4",'Raw_Data'!$AH$2:$AH$59,"&lt;=5",'Raw_Data'!$A$2:$A$59,"Yes",'Raw_Data'!$D$2:$D$59,"ผู้ป่วยสัมพันธ์",'Raw_Data'!$E$2:$E$59,"สายสนับสนุนทั่วไป")/COUNTIFS('Raw_Data'!$AH$2:$AH$59,"&gt;=1",'Raw_Data'!$AH$2:$AH$59,"&lt;=5",'Raw_Data'!$A$2:$A$59,"Yes",'Raw_Data'!$D$2:$D$59,"ผู้ป่วยสัมพันธ์",'Raw_Data'!$E$2:$E$59,"สายสนับสนุนทั่วไป"),"")</x:f>
        <x:v>0</x:v>
      </x:c>
      <x:c r="AG31" s="131" t="n">
        <x:f>IFERROR(100*COUNTIFS('Raw_Data'!$AH$2:$AH$59,"&gt;=4",'Raw_Data'!$AH$2:$AH$59,"&lt;=5",'Raw_Data'!$A$2:$A$59,"Yes",'Raw_Data'!$D$2:$D$59,"ยานพาหนะ",'Raw_Data'!$E$2:$E$59,"สายสนับสนุนทั่วไป")/COUNTIFS('Raw_Data'!$AH$2:$AH$59,"&gt;=1",'Raw_Data'!$AH$2:$AH$59,"&lt;=5",'Raw_Data'!$A$2:$A$59,"Yes",'Raw_Data'!$D$2:$D$59,"ยานพาหนะ",'Raw_Data'!$E$2:$E$59,"สายสนับสนุนทั่วไป"),"")</x:f>
        <x:v>100</x:v>
      </x:c>
      <x:c r="AH31" s="131" t="n">
        <x:f>IFERROR(100*COUNTIFS('Raw_Data'!$AH$2:$AH$59,"&gt;=4",'Raw_Data'!$AH$2:$AH$59,"&lt;=5",'Raw_Data'!$A$2:$A$59,"Yes",'Raw_Data'!$D$2:$D$59,"สื่อสารการตลาด",'Raw_Data'!$E$2:$E$59,"สายสนับสนุนทั่วไป")/COUNTIFS('Raw_Data'!$AH$2:$AH$59,"&gt;=1",'Raw_Data'!$AH$2:$AH$59,"&lt;=5",'Raw_Data'!$A$2:$A$59,"Yes",'Raw_Data'!$D$2:$D$59,"สื่อสารการตลาด",'Raw_Data'!$E$2:$E$59,"สายสนับสนุนทั่วไป"),"")</x:f>
        <x:v>100</x:v>
      </x:c>
      <x:c r="AI31" s="131" t="n">
        <x:f>IFERROR(100*COUNTIFS('Raw_Data'!$AH$2:$AH$59,"&gt;=4",'Raw_Data'!$AH$2:$AH$59,"&lt;=5",'Raw_Data'!$A$2:$A$59,"Yes",'Raw_Data'!$D$2:$D$59,"ERและเปล",'Raw_Data'!$E$2:$E$59,"สายสนับสนุนทั่วไป")/COUNTIFS('Raw_Data'!$AH$2:$AH$59,"&gt;=1",'Raw_Data'!$AH$2:$AH$59,"&lt;=5",'Raw_Data'!$A$2:$A$59,"Yes",'Raw_Data'!$D$2:$D$59,"ERและเปล",'Raw_Data'!$E$2:$E$59,"สายสนับสนุนทั่วไป"),"")</x:f>
        <x:v>33.333333333333336</x:v>
      </x:c>
      <x:c r="AJ31" s="131" t="n">
        <x:f>IFERROR(100*COUNTIFS('Raw_Data'!$AH$2:$AH$59,"&gt;=4",'Raw_Data'!$AH$2:$AH$59,"&lt;=5",'Raw_Data'!$A$2:$A$59,"Yes",'Raw_Data'!$D$2:$D$59,"HR",'Raw_Data'!$E$2:$E$59,"สายสนับสนุนทั่วไป")/COUNTIFS('Raw_Data'!$AH$2:$AH$59,"&gt;=1",'Raw_Data'!$AH$2:$AH$59,"&lt;=5",'Raw_Data'!$A$2:$A$59,"Yes",'Raw_Data'!$D$2:$D$59,"HR",'Raw_Data'!$E$2:$E$59,"สายสนับสนุนทั่วไป"),"")</x:f>
        <x:v>100</x:v>
      </x:c>
      <x:c r="AK31" s="131" t="n">
        <x:f>IFERROR(100*COUNTIFS('Raw_Data'!$AH$2:$AH$59,"&gt;=4",'Raw_Data'!$AH$2:$AH$59,"&lt;=5",'Raw_Data'!$A$2:$A$59,"Yes",'Raw_Data'!$D$2:$D$59,"ICU",'Raw_Data'!$E$2:$E$59,"สายสนับสนุนทั่วไป")/COUNTIFS('Raw_Data'!$AH$2:$AH$59,"&gt;=1",'Raw_Data'!$AH$2:$AH$59,"&lt;=5",'Raw_Data'!$A$2:$A$59,"Yes",'Raw_Data'!$D$2:$D$59,"ICU",'Raw_Data'!$E$2:$E$59,"สายสนับสนุนทั่วไป"),"")</x:f>
        <x:v>0</x:v>
      </x:c>
      <x:c r="AL31" s="131" t="n">
        <x:f>IFERROR(100*COUNTIFS('Raw_Data'!$AH$2:$AH$59,"&gt;=4",'Raw_Data'!$AH$2:$AH$59,"&lt;=5",'Raw_Data'!$A$2:$A$59,"Yes",'Raw_Data'!$D$2:$D$59,"IPD",'Raw_Data'!$E$2:$E$59,"สายสนับสนุนทั่วไป")/COUNTIFS('Raw_Data'!$AH$2:$AH$59,"&gt;=1",'Raw_Data'!$AH$2:$AH$59,"&lt;=5",'Raw_Data'!$A$2:$A$59,"Yes",'Raw_Data'!$D$2:$D$59,"IPD",'Raw_Data'!$E$2:$E$59,"สายสนับสนุนทั่วไป"),"")</x:f>
        <x:v>0</x:v>
      </x:c>
      <x:c r="AM31" s="131" t="n">
        <x:f>IFERROR(100*COUNTIFS('Raw_Data'!$AH$2:$AH$59,"&gt;=4",'Raw_Data'!$AH$2:$AH$59,"&lt;=5",'Raw_Data'!$A$2:$A$59,"Yes",'Raw_Data'!$D$2:$D$59,"IT",'Raw_Data'!$E$2:$E$59,"สายสนับสนุนทั่วไป")/COUNTIFS('Raw_Data'!$AH$2:$AH$59,"&gt;=1",'Raw_Data'!$AH$2:$AH$59,"&lt;=5",'Raw_Data'!$A$2:$A$59,"Yes",'Raw_Data'!$D$2:$D$59,"IT",'Raw_Data'!$E$2:$E$59,"สายสนับสนุนทั่วไป"),"")</x:f>
        <x:v>100</x:v>
      </x:c>
      <x:c r="AN31" s="131" t="n">
        <x:f>IFERROR(100*COUNTIFS('Raw_Data'!$AH$2:$AH$59,"&gt;=4",'Raw_Data'!$AH$2:$AH$59,"&lt;=5",'Raw_Data'!$A$2:$A$59,"Yes",'Raw_Data'!$D$2:$D$59,"ผู้ป่วยสัมพันธ์",'Raw_Data'!$E$2:$E$59,"สายสนับสนุนทางการแพทย์")/COUNTIFS('Raw_Data'!$AH$2:$AH$59,"&gt;=1",'Raw_Data'!$AH$2:$AH$59,"&lt;=5",'Raw_Data'!$A$2:$A$59,"Yes",'Raw_Data'!$D$2:$D$59,"ผู้ป่วยสัมพันธ์",'Raw_Data'!$E$2:$E$59,"สายสนับสนุนทางการแพทย์"),"")</x:f>
        <x:v>100</x:v>
      </x:c>
      <x:c r="AO31" s="131" t="n">
        <x:f>IFERROR(100*COUNTIFS('Raw_Data'!$AH$2:$AH$59,"&gt;=4",'Raw_Data'!$AH$2:$AH$59,"&lt;=5",'Raw_Data'!$A$2:$A$59,"Yes",'Raw_Data'!$D$2:$D$59,"ฝ่ายการพยาบาล",'Raw_Data'!$E$2:$E$59,"สายสนับสนุนทางการแพทย์")/COUNTIFS('Raw_Data'!$AH$2:$AH$59,"&gt;=1",'Raw_Data'!$AH$2:$AH$59,"&lt;=5",'Raw_Data'!$A$2:$A$59,"Yes",'Raw_Data'!$D$2:$D$59,"ฝ่ายการพยาบาล",'Raw_Data'!$E$2:$E$59,"สายสนับสนุนทางการแพทย์"),"")</x:f>
        <x:v>100</x:v>
      </x:c>
      <x:c r="AP31" s="131" t="n">
        <x:f>IFERROR(100*COUNTIFS('Raw_Data'!$AH$2:$AH$59,"&gt;=4",'Raw_Data'!$AH$2:$AH$59,"&lt;=5",'Raw_Data'!$A$2:$A$59,"Yes",'Raw_Data'!$D$2:$D$59,"โภชนาการ",'Raw_Data'!$E$2:$E$59,"สายสนับสนุนทางการแพทย์")/COUNTIFS('Raw_Data'!$AH$2:$AH$59,"&gt;=1",'Raw_Data'!$AH$2:$AH$59,"&lt;=5",'Raw_Data'!$A$2:$A$59,"Yes",'Raw_Data'!$D$2:$D$59,"โภชนาการ",'Raw_Data'!$E$2:$E$59,"สายสนับสนุนทางการแพทย์"),"")</x:f>
        <x:v>100</x:v>
      </x:c>
      <x:c r="AQ31" s="131" t="n">
        <x:f>IFERROR(100*COUNTIFS('Raw_Data'!$AH$2:$AH$59,"&gt;=4",'Raw_Data'!$AH$2:$AH$59,"&lt;=5",'Raw_Data'!$A$2:$A$59,"Yes",'Raw_Data'!$D$2:$D$59,"ห้องยา",'Raw_Data'!$E$2:$E$59,"สายสนับสนุนทางการแพทย์")/COUNTIFS('Raw_Data'!$AH$2:$AH$59,"&gt;=1",'Raw_Data'!$AH$2:$AH$59,"&lt;=5",'Raw_Data'!$A$2:$A$59,"Yes",'Raw_Data'!$D$2:$D$59,"ห้องยา",'Raw_Data'!$E$2:$E$59,"สายสนับสนุนทางการแพทย์"),"")</x:f>
        <x:v>100</x:v>
      </x:c>
      <x:c r="AR31" s="131" t="n">
        <x:f>IFERROR(100*COUNTIFS('Raw_Data'!$AH$2:$AH$59,"&gt;=4",'Raw_Data'!$AH$2:$AH$59,"&lt;=5",'Raw_Data'!$A$2:$A$59,"Yes",'Raw_Data'!$D$2:$D$59,"ห้องแลป",'Raw_Data'!$E$2:$E$59,"สายสนับสนุนทางการแพทย์")/COUNTIFS('Raw_Data'!$AH$2:$AH$59,"&gt;=1",'Raw_Data'!$AH$2:$AH$59,"&lt;=5",'Raw_Data'!$A$2:$A$59,"Yes",'Raw_Data'!$D$2:$D$59,"ห้องแลป",'Raw_Data'!$E$2:$E$59,"สายสนับสนุนทางการแพทย์"),"")</x:f>
        <x:v>0</x:v>
      </x:c>
      <x:c r="AS31" s="131" t="n">
        <x:f>IFERROR(100*COUNTIFS('Raw_Data'!$AH$2:$AH$59,"&gt;=4",'Raw_Data'!$AH$2:$AH$59,"&lt;=5",'Raw_Data'!$A$2:$A$59,"Yes",'Raw_Data'!$D$2:$D$59,"ห้องเอ็กซเรย์",'Raw_Data'!$E$2:$E$59,"สายสนับสนุนทางการแพทย์")/COUNTIFS('Raw_Data'!$AH$2:$AH$59,"&gt;=1",'Raw_Data'!$AH$2:$AH$59,"&lt;=5",'Raw_Data'!$A$2:$A$59,"Yes",'Raw_Data'!$D$2:$D$59,"ห้องเอ็กซเรย์",'Raw_Data'!$E$2:$E$59,"สายสนับสนุนทางการแพทย์"),"")</x:f>
        <x:v>100</x:v>
      </x:c>
      <x:c r="AT31" s="131" t="n">
        <x:f>IFERROR(100*COUNTIFS('Raw_Data'!$AH$2:$AH$59,"&gt;=4",'Raw_Data'!$AH$2:$AH$59,"&lt;=5",'Raw_Data'!$A$2:$A$59,"Yes",'Raw_Data'!$D$2:$D$59,"ERและเปล",'Raw_Data'!$E$2:$E$59,"สายสนับสนุนทางการแพทย์")/COUNTIFS('Raw_Data'!$AH$2:$AH$59,"&gt;=1",'Raw_Data'!$AH$2:$AH$59,"&lt;=5",'Raw_Data'!$A$2:$A$59,"Yes",'Raw_Data'!$D$2:$D$59,"ERและเปล",'Raw_Data'!$E$2:$E$59,"สายสนับสนุนทางการแพทย์"),"")</x:f>
        <x:v>0</x:v>
      </x:c>
      <x:c r="AU31" s="131" t="n">
        <x:f>IFERROR(100*COUNTIFS('Raw_Data'!$AH$2:$AH$59,"&gt;=4",'Raw_Data'!$AH$2:$AH$59,"&lt;=5",'Raw_Data'!$A$2:$A$59,"Yes",'Raw_Data'!$D$2:$D$59,"ICU",'Raw_Data'!$E$2:$E$59,"สายสนับสนุนทางการแพทย์")/COUNTIFS('Raw_Data'!$AH$2:$AH$59,"&gt;=1",'Raw_Data'!$AH$2:$AH$59,"&lt;=5",'Raw_Data'!$A$2:$A$59,"Yes",'Raw_Data'!$D$2:$D$59,"ICU",'Raw_Data'!$E$2:$E$59,"สายสนับสนุนทางการแพทย์"),"")</x:f>
        <x:v>100</x:v>
      </x:c>
      <x:c r="AV31" s="131" t="n">
        <x:f>IFERROR(100*COUNTIFS('Raw_Data'!$AH$2:$AH$59,"&gt;=4",'Raw_Data'!$AH$2:$AH$59,"&lt;=5",'Raw_Data'!$A$2:$A$59,"Yes",'Raw_Data'!$D$2:$D$59,"IPD",'Raw_Data'!$E$2:$E$59,"สายสนับสนุนทางการแพทย์")/COUNTIFS('Raw_Data'!$AH$2:$AH$59,"&gt;=1",'Raw_Data'!$AH$2:$AH$59,"&lt;=5",'Raw_Data'!$A$2:$A$59,"Yes",'Raw_Data'!$D$2:$D$59,"IPD",'Raw_Data'!$E$2:$E$59,"สายสนับสนุนทางการแพทย์"),"")</x:f>
        <x:v>100</x:v>
      </x:c>
      <x:c r="AW31" s="131" t="n">
        <x:f>IFERROR(100*COUNTIFS('Raw_Data'!$AH$2:$AH$59,"&gt;=4",'Raw_Data'!$AH$2:$AH$59,"&lt;=5",'Raw_Data'!$A$2:$A$59,"Yes",'Raw_Data'!$D$2:$D$59,"IT",'Raw_Data'!$E$2:$E$59,"สายสนับสนุนทางการแพทย์")/COUNTIFS('Raw_Data'!$AH$2:$AH$59,"&gt;=1",'Raw_Data'!$AH$2:$AH$59,"&lt;=5",'Raw_Data'!$A$2:$A$59,"Yes",'Raw_Data'!$D$2:$D$59,"IT",'Raw_Data'!$E$2:$E$59,"สายสนับสนุนทางการแพทย์"),"")</x:f>
        <x:v>100</x:v>
      </x:c>
    </x:row>
    <x:row r="32" ht="42" customHeight="1">
      <x:c r="A32" s="123"/>
      <x:c r="B32" s="124" t="str">
        <x:v>F3. ผู้บริหารโรงพยาบาลเหมือนจะให้ความสนใจเรื่องความปลอดภัยของผู้ป่วย/ผู้รับบริการ เฉพาะกรณีเกิดเหตุการณ์ไม่พึงประสงค์ขึ้นแล้วเท่านั้น</x:v>
      </x:c>
      <x:c r="C32" s="131" t="n">
        <x:f>IFERROR(100*COUNTIFS('Raw_Data'!$AI$2:$AI$59,"&gt;=1",'Raw_Data'!$AI$2:$AI$59,"&lt;=2",'Raw_Data'!$A$2:$A$59,"Yes")/COUNTIFS('Raw_Data'!$AI$2:$AI$59,"&gt;=1",'Raw_Data'!$AI$2:$AI$59,"&lt;=5",'Raw_Data'!$A$2:$A$59,"Yes"),"")</x:f>
        <x:v>44.827586206896555</x:v>
      </x:c>
      <x:c r="D32" s="131" t="n">
        <x:f>IFERROR(100*COUNTIFS('Raw_Data'!$AI$2:$AI$59,"&gt;=1",'Raw_Data'!$AI$2:$AI$59,"&lt;=2",'Raw_Data'!$A$2:$A$59,"Yes",'Raw_Data'!$D$2:$D$59,"การเงิน")/COUNTIFS('Raw_Data'!$AI$2:$AI$59,"&gt;=1",'Raw_Data'!$AI$2:$AI$59,"&lt;=5",'Raw_Data'!$A$2:$A$59,"Yes",'Raw_Data'!$D$2:$D$59,"การเงิน"),"")</x:f>
        <x:v>33.333333333333336</x:v>
      </x:c>
      <x:c r="E32" s="131" t="n">
        <x:f>IFERROR(100*COUNTIFS('Raw_Data'!$AI$2:$AI$59,"&gt;=1",'Raw_Data'!$AI$2:$AI$59,"&lt;=2",'Raw_Data'!$A$2:$A$59,"Yes",'Raw_Data'!$D$2:$D$59,"เคหรักษ์")/COUNTIFS('Raw_Data'!$AI$2:$AI$59,"&gt;=1",'Raw_Data'!$AI$2:$AI$59,"&lt;=5",'Raw_Data'!$A$2:$A$59,"Yes",'Raw_Data'!$D$2:$D$59,"เคหรักษ์"),"")</x:f>
        <x:v>0</x:v>
      </x:c>
      <x:c r="F32" s="131" t="n">
        <x:f>IFERROR(100*COUNTIFS('Raw_Data'!$AI$2:$AI$59,"&gt;=1",'Raw_Data'!$AI$2:$AI$59,"&lt;=2",'Raw_Data'!$A$2:$A$59,"Yes",'Raw_Data'!$D$2:$D$59,"จ่ายกลาง")/COUNTIFS('Raw_Data'!$AI$2:$AI$59,"&gt;=1",'Raw_Data'!$AI$2:$AI$59,"&lt;=5",'Raw_Data'!$A$2:$A$59,"Yes",'Raw_Data'!$D$2:$D$59,"จ่ายกลาง"),"")</x:f>
        <x:v>100</x:v>
      </x:c>
      <x:c r="G32" s="131" t="n">
        <x:f>IFERROR(100*COUNTIFS('Raw_Data'!$AI$2:$AI$59,"&gt;=1",'Raw_Data'!$AI$2:$AI$59,"&lt;=2",'Raw_Data'!$A$2:$A$59,"Yes",'Raw_Data'!$D$2:$D$59,"ช่างและสนาม")/COUNTIFS('Raw_Data'!$AI$2:$AI$59,"&gt;=1",'Raw_Data'!$AI$2:$AI$59,"&lt;=5",'Raw_Data'!$A$2:$A$59,"Yes",'Raw_Data'!$D$2:$D$59,"ช่างและสนาม"),"")</x:f>
        <x:v>75</x:v>
      </x:c>
      <x:c r="H32" s="131" t="n">
        <x:f>IFERROR(100*COUNTIFS('Raw_Data'!$AI$2:$AI$59,"&gt;=1",'Raw_Data'!$AI$2:$AI$59,"&lt;=2",'Raw_Data'!$A$2:$A$59,"Yes",'Raw_Data'!$D$2:$D$59,"ผู้ป่วยสัมพันธ์")/COUNTIFS('Raw_Data'!$AI$2:$AI$59,"&gt;=1",'Raw_Data'!$AI$2:$AI$59,"&lt;=5",'Raw_Data'!$A$2:$A$59,"Yes",'Raw_Data'!$D$2:$D$59,"ผู้ป่วยสัมพันธ์"),"")</x:f>
        <x:v>75</x:v>
      </x:c>
      <x:c r="I32" s="131" t="n">
        <x:f>IFERROR(100*COUNTIFS('Raw_Data'!$AI$2:$AI$59,"&gt;=1",'Raw_Data'!$AI$2:$AI$59,"&lt;=2",'Raw_Data'!$A$2:$A$59,"Yes",'Raw_Data'!$D$2:$D$59,"ฝ่ายการพยาบาล")/COUNTIFS('Raw_Data'!$AI$2:$AI$59,"&gt;=1",'Raw_Data'!$AI$2:$AI$59,"&lt;=5",'Raw_Data'!$A$2:$A$59,"Yes",'Raw_Data'!$D$2:$D$59,"ฝ่ายการพยาบาล"),"")</x:f>
        <x:v>50</x:v>
      </x:c>
      <x:c r="J32" s="131" t="n">
        <x:f>IFERROR(100*COUNTIFS('Raw_Data'!$AI$2:$AI$59,"&gt;=1",'Raw_Data'!$AI$2:$AI$59,"&lt;=2",'Raw_Data'!$A$2:$A$59,"Yes",'Raw_Data'!$D$2:$D$59,"โภชนาการ")/COUNTIFS('Raw_Data'!$AI$2:$AI$59,"&gt;=1",'Raw_Data'!$AI$2:$AI$59,"&lt;=5",'Raw_Data'!$A$2:$A$59,"Yes",'Raw_Data'!$D$2:$D$59,"โภชนาการ"),"")</x:f>
        <x:v>100</x:v>
      </x:c>
      <x:c r="K32" s="131" t="n">
        <x:f>IFERROR(100*COUNTIFS('Raw_Data'!$AI$2:$AI$59,"&gt;=1",'Raw_Data'!$AI$2:$AI$59,"&lt;=2",'Raw_Data'!$A$2:$A$59,"Yes",'Raw_Data'!$D$2:$D$59,"ยานพาหนะ")/COUNTIFS('Raw_Data'!$AI$2:$AI$59,"&gt;=1",'Raw_Data'!$AI$2:$AI$59,"&lt;=5",'Raw_Data'!$A$2:$A$59,"Yes",'Raw_Data'!$D$2:$D$59,"ยานพาหนะ"),"")</x:f>
        <x:v>100</x:v>
      </x:c>
      <x:c r="L32" s="131" t="n">
        <x:f>IFERROR(100*COUNTIFS('Raw_Data'!$AI$2:$AI$59,"&gt;=1",'Raw_Data'!$AI$2:$AI$59,"&lt;=2",'Raw_Data'!$A$2:$A$59,"Yes",'Raw_Data'!$D$2:$D$59,"สื่อสารการตลาด")/COUNTIFS('Raw_Data'!$AI$2:$AI$59,"&gt;=1",'Raw_Data'!$AI$2:$AI$59,"&lt;=5",'Raw_Data'!$A$2:$A$59,"Yes",'Raw_Data'!$D$2:$D$59,"สื่อสารการตลาด"),"")</x:f>
        <x:v>0</x:v>
      </x:c>
      <x:c r="M32" s="131" t="n">
        <x:f>IFERROR(100*COUNTIFS('Raw_Data'!$AI$2:$AI$59,"&gt;=1",'Raw_Data'!$AI$2:$AI$59,"&lt;=2",'Raw_Data'!$A$2:$A$59,"Yes",'Raw_Data'!$D$2:$D$59,"ห้องยา")/COUNTIFS('Raw_Data'!$AI$2:$AI$59,"&gt;=1",'Raw_Data'!$AI$2:$AI$59,"&lt;=5",'Raw_Data'!$A$2:$A$59,"Yes",'Raw_Data'!$D$2:$D$59,"ห้องยา"),"")</x:f>
        <x:v>50</x:v>
      </x:c>
      <x:c r="N32" s="131" t="n">
        <x:f>IFERROR(100*COUNTIFS('Raw_Data'!$AI$2:$AI$59,"&gt;=1",'Raw_Data'!$AI$2:$AI$59,"&lt;=2",'Raw_Data'!$A$2:$A$59,"Yes",'Raw_Data'!$D$2:$D$59,"ห้องแลป")/COUNTIFS('Raw_Data'!$AI$2:$AI$59,"&gt;=1",'Raw_Data'!$AI$2:$AI$59,"&lt;=5",'Raw_Data'!$A$2:$A$59,"Yes",'Raw_Data'!$D$2:$D$59,"ห้องแลป"),"")</x:f>
        <x:v>0</x:v>
      </x:c>
      <x:c r="O32" s="131" t="n">
        <x:f>IFERROR(100*COUNTIFS('Raw_Data'!$AI$2:$AI$59,"&gt;=1",'Raw_Data'!$AI$2:$AI$59,"&lt;=2",'Raw_Data'!$A$2:$A$59,"Yes",'Raw_Data'!$D$2:$D$59,"ห้องเอ็กซเรย์")/COUNTIFS('Raw_Data'!$AI$2:$AI$59,"&gt;=1",'Raw_Data'!$AI$2:$AI$59,"&lt;=5",'Raw_Data'!$A$2:$A$59,"Yes",'Raw_Data'!$D$2:$D$59,"ห้องเอ็กซเรย์"),"")</x:f>
        <x:v>66.66666666666667</x:v>
      </x:c>
      <x:c r="P32" s="131" t="n">
        <x:f>IFERROR(100*COUNTIFS('Raw_Data'!$AI$2:$AI$59,"&gt;=1",'Raw_Data'!$AI$2:$AI$59,"&lt;=2",'Raw_Data'!$A$2:$A$59,"Yes",'Raw_Data'!$D$2:$D$59,"ERและเปล")/COUNTIFS('Raw_Data'!$AI$2:$AI$59,"&gt;=1",'Raw_Data'!$AI$2:$AI$59,"&lt;=5",'Raw_Data'!$A$2:$A$59,"Yes",'Raw_Data'!$D$2:$D$59,"ERและเปล"),"")</x:f>
        <x:v>27.272727272727273</x:v>
      </x:c>
      <x:c r="Q32" s="131" t="n">
        <x:f>IFERROR(100*COUNTIFS('Raw_Data'!$AI$2:$AI$59,"&gt;=1",'Raw_Data'!$AI$2:$AI$59,"&lt;=2",'Raw_Data'!$A$2:$A$59,"Yes",'Raw_Data'!$D$2:$D$59,"HR")/COUNTIFS('Raw_Data'!$AI$2:$AI$59,"&gt;=1",'Raw_Data'!$AI$2:$AI$59,"&lt;=5",'Raw_Data'!$A$2:$A$59,"Yes",'Raw_Data'!$D$2:$D$59,"HR"),"")</x:f>
        <x:v>100</x:v>
      </x:c>
      <x:c r="R32" s="131" t="n">
        <x:f>IFERROR(100*COUNTIFS('Raw_Data'!$AI$2:$AI$59,"&gt;=1",'Raw_Data'!$AI$2:$AI$59,"&lt;=2",'Raw_Data'!$A$2:$A$59,"Yes",'Raw_Data'!$D$2:$D$59,"ICU")/COUNTIFS('Raw_Data'!$AI$2:$AI$59,"&gt;=1",'Raw_Data'!$AI$2:$AI$59,"&lt;=5",'Raw_Data'!$A$2:$A$59,"Yes",'Raw_Data'!$D$2:$D$59,"ICU"),"")</x:f>
        <x:v>50</x:v>
      </x:c>
      <x:c r="S32" s="131" t="n">
        <x:f>IFERROR(100*COUNTIFS('Raw_Data'!$AI$2:$AI$59,"&gt;=1",'Raw_Data'!$AI$2:$AI$59,"&lt;=2",'Raw_Data'!$A$2:$A$59,"Yes",'Raw_Data'!$D$2:$D$59,"IPD")/COUNTIFS('Raw_Data'!$AI$2:$AI$59,"&gt;=1",'Raw_Data'!$AI$2:$AI$59,"&lt;=5",'Raw_Data'!$A$2:$A$59,"Yes",'Raw_Data'!$D$2:$D$59,"IPD"),"")</x:f>
        <x:v>33.333333333333336</x:v>
      </x:c>
      <x:c r="T32" s="131" t="n">
        <x:f>IFERROR(100*COUNTIFS('Raw_Data'!$AI$2:$AI$59,"&gt;=1",'Raw_Data'!$AI$2:$AI$59,"&lt;=2",'Raw_Data'!$A$2:$A$59,"Yes",'Raw_Data'!$D$2:$D$59,"IT")/COUNTIFS('Raw_Data'!$AI$2:$AI$59,"&gt;=1",'Raw_Data'!$AI$2:$AI$59,"&lt;=5",'Raw_Data'!$A$2:$A$59,"Yes",'Raw_Data'!$D$2:$D$59,"IT"),"")</x:f>
        <x:v>100</x:v>
      </x:c>
      <x:c r="U32" s="131" t="n">
        <x:f>IFERROR(100*COUNTIFS('Raw_Data'!$AI$2:$AI$59,"&gt;=1",'Raw_Data'!$AI$2:$AI$59,"&lt;=2",'Raw_Data'!$A$2:$A$59,"Yes",'Raw_Data'!$D$2:$D$59,"OR")/COUNTIFS('Raw_Data'!$AI$2:$AI$59,"&gt;=1",'Raw_Data'!$AI$2:$AI$59,"&lt;=5",'Raw_Data'!$A$2:$A$59,"Yes",'Raw_Data'!$D$2:$D$59,"OR"),"")</x:f>
        <x:v>0</x:v>
      </x:c>
      <x:c r="V32" s="131" t="n">
        <x:f>IFERROR(100*COUNTIFS('Raw_Data'!$AI$2:$AI$59,"&gt;=1",'Raw_Data'!$AI$2:$AI$59,"&lt;=2",'Raw_Data'!$A$2:$A$59,"Yes",'Raw_Data'!$D$2:$D$59,"IPD",'Raw_Data'!$E$2:$E$59,"ผู้บริหาร")/COUNTIFS('Raw_Data'!$AI$2:$AI$59,"&gt;=1",'Raw_Data'!$AI$2:$AI$59,"&lt;=5",'Raw_Data'!$A$2:$A$59,"Yes",'Raw_Data'!$D$2:$D$59,"IPD",'Raw_Data'!$E$2:$E$59,"ผู้บริหาร"),"")</x:f>
        <x:v>0</x:v>
      </x:c>
      <x:c r="W32" s="131" t="n">
        <x:f>IFERROR(100*COUNTIFS('Raw_Data'!$AI$2:$AI$59,"&gt;=1",'Raw_Data'!$AI$2:$AI$59,"&lt;=2",'Raw_Data'!$A$2:$A$59,"Yes",'Raw_Data'!$D$2:$D$59,"ฝ่ายการพยาบาล",'Raw_Data'!$E$2:$E$59,"สายวิชาชีพสาธารณสุข")/COUNTIFS('Raw_Data'!$AI$2:$AI$59,"&gt;=1",'Raw_Data'!$AI$2:$AI$59,"&lt;=5",'Raw_Data'!$A$2:$A$59,"Yes",'Raw_Data'!$D$2:$D$59,"ฝ่ายการพยาบาล",'Raw_Data'!$E$2:$E$59,"สายวิชาชีพสาธารณสุข"),"")</x:f>
        <x:v>0</x:v>
      </x:c>
      <x:c r="X32" s="131" t="n">
        <x:f>IFERROR(100*COUNTIFS('Raw_Data'!$AI$2:$AI$59,"&gt;=1",'Raw_Data'!$AI$2:$AI$59,"&lt;=2",'Raw_Data'!$A$2:$A$59,"Yes",'Raw_Data'!$D$2:$D$59,"ERและเปล",'Raw_Data'!$E$2:$E$59,"สายวิชาชีพสาธารณสุข")/COUNTIFS('Raw_Data'!$AI$2:$AI$59,"&gt;=1",'Raw_Data'!$AI$2:$AI$59,"&lt;=5",'Raw_Data'!$A$2:$A$59,"Yes",'Raw_Data'!$D$2:$D$59,"ERและเปล",'Raw_Data'!$E$2:$E$59,"สายวิชาชีพสาธารณสุข"),"")</x:f>
        <x:v>28.571428571428573</x:v>
      </x:c>
      <x:c r="Y32" s="131" t="n">
        <x:f>IFERROR(100*COUNTIFS('Raw_Data'!$AI$2:$AI$59,"&gt;=1",'Raw_Data'!$AI$2:$AI$59,"&lt;=2",'Raw_Data'!$A$2:$A$59,"Yes",'Raw_Data'!$D$2:$D$59,"ICU",'Raw_Data'!$E$2:$E$59,"สายวิชาชีพสาธารณสุข")/COUNTIFS('Raw_Data'!$AI$2:$AI$59,"&gt;=1",'Raw_Data'!$AI$2:$AI$59,"&lt;=5",'Raw_Data'!$A$2:$A$59,"Yes",'Raw_Data'!$D$2:$D$59,"ICU",'Raw_Data'!$E$2:$E$59,"สายวิชาชีพสาธารณสุข"),"")</x:f>
        <x:v>50</x:v>
      </x:c>
      <x:c r="Z32" s="131" t="n">
        <x:f>IFERROR(100*COUNTIFS('Raw_Data'!$AI$2:$AI$59,"&gt;=1",'Raw_Data'!$AI$2:$AI$59,"&lt;=2",'Raw_Data'!$A$2:$A$59,"Yes",'Raw_Data'!$D$2:$D$59,"IPD",'Raw_Data'!$E$2:$E$59,"สายวิชาชีพสาธารณสุข")/COUNTIFS('Raw_Data'!$AI$2:$AI$59,"&gt;=1",'Raw_Data'!$AI$2:$AI$59,"&lt;=5",'Raw_Data'!$A$2:$A$59,"Yes",'Raw_Data'!$D$2:$D$59,"IPD",'Raw_Data'!$E$2:$E$59,"สายวิชาชีพสาธารณสุข"),"")</x:f>
        <x:v>50</x:v>
      </x:c>
      <x:c r="AA32" s="131" t="n">
        <x:f>IFERROR(100*COUNTIFS('Raw_Data'!$AI$2:$AI$59,"&gt;=1",'Raw_Data'!$AI$2:$AI$59,"&lt;=2",'Raw_Data'!$A$2:$A$59,"Yes",'Raw_Data'!$D$2:$D$59,"OR",'Raw_Data'!$E$2:$E$59,"สายวิชาชีพสาธารณสุข")/COUNTIFS('Raw_Data'!$AI$2:$AI$59,"&gt;=1",'Raw_Data'!$AI$2:$AI$59,"&lt;=5",'Raw_Data'!$A$2:$A$59,"Yes",'Raw_Data'!$D$2:$D$59,"OR",'Raw_Data'!$E$2:$E$59,"สายวิชาชีพสาธารณสุข"),"")</x:f>
        <x:v>0</x:v>
      </x:c>
      <x:c r="AB32" s="131" t="n">
        <x:f>IFERROR(100*COUNTIFS('Raw_Data'!$AI$2:$AI$59,"&gt;=1",'Raw_Data'!$AI$2:$AI$59,"&lt;=2",'Raw_Data'!$A$2:$A$59,"Yes",'Raw_Data'!$D$2:$D$59,"การเงิน",'Raw_Data'!$E$2:$E$59,"สายสนับสนุนทั่วไป")/COUNTIFS('Raw_Data'!$AI$2:$AI$59,"&gt;=1",'Raw_Data'!$AI$2:$AI$59,"&lt;=5",'Raw_Data'!$A$2:$A$59,"Yes",'Raw_Data'!$D$2:$D$59,"การเงิน",'Raw_Data'!$E$2:$E$59,"สายสนับสนุนทั่วไป"),"")</x:f>
        <x:v>33.333333333333336</x:v>
      </x:c>
      <x:c r="AC32" s="131" t="n">
        <x:f>IFERROR(100*COUNTIFS('Raw_Data'!$AI$2:$AI$59,"&gt;=1",'Raw_Data'!$AI$2:$AI$59,"&lt;=2",'Raw_Data'!$A$2:$A$59,"Yes",'Raw_Data'!$D$2:$D$59,"เคหรักษ์",'Raw_Data'!$E$2:$E$59,"สายสนับสนุนทั่วไป")/COUNTIFS('Raw_Data'!$AI$2:$AI$59,"&gt;=1",'Raw_Data'!$AI$2:$AI$59,"&lt;=5",'Raw_Data'!$A$2:$A$59,"Yes",'Raw_Data'!$D$2:$D$59,"เคหรักษ์",'Raw_Data'!$E$2:$E$59,"สายสนับสนุนทั่วไป"),"")</x:f>
        <x:v>0</x:v>
      </x:c>
      <x:c r="AD32" s="131" t="n">
        <x:f>IFERROR(100*COUNTIFS('Raw_Data'!$AI$2:$AI$59,"&gt;=1",'Raw_Data'!$AI$2:$AI$59,"&lt;=2",'Raw_Data'!$A$2:$A$59,"Yes",'Raw_Data'!$D$2:$D$59,"จ่ายกลาง",'Raw_Data'!$E$2:$E$59,"สายสนับสนุนทั่วไป")/COUNTIFS('Raw_Data'!$AI$2:$AI$59,"&gt;=1",'Raw_Data'!$AI$2:$AI$59,"&lt;=5",'Raw_Data'!$A$2:$A$59,"Yes",'Raw_Data'!$D$2:$D$59,"จ่ายกลาง",'Raw_Data'!$E$2:$E$59,"สายสนับสนุนทั่วไป"),"")</x:f>
        <x:v>100</x:v>
      </x:c>
      <x:c r="AE32" s="131" t="n">
        <x:f>IFERROR(100*COUNTIFS('Raw_Data'!$AI$2:$AI$59,"&gt;=1",'Raw_Data'!$AI$2:$AI$59,"&lt;=2",'Raw_Data'!$A$2:$A$59,"Yes",'Raw_Data'!$D$2:$D$59,"ช่างและสนาม",'Raw_Data'!$E$2:$E$59,"สายสนับสนุนทั่วไป")/COUNTIFS('Raw_Data'!$AI$2:$AI$59,"&gt;=1",'Raw_Data'!$AI$2:$AI$59,"&lt;=5",'Raw_Data'!$A$2:$A$59,"Yes",'Raw_Data'!$D$2:$D$59,"ช่างและสนาม",'Raw_Data'!$E$2:$E$59,"สายสนับสนุนทั่วไป"),"")</x:f>
        <x:v>75</x:v>
      </x:c>
      <x:c r="AF32" s="131" t="n">
        <x:f>IFERROR(100*COUNTIFS('Raw_Data'!$AI$2:$AI$59,"&gt;=1",'Raw_Data'!$AI$2:$AI$59,"&lt;=2",'Raw_Data'!$A$2:$A$59,"Yes",'Raw_Data'!$D$2:$D$59,"ผู้ป่วยสัมพันธ์",'Raw_Data'!$E$2:$E$59,"สายสนับสนุนทั่วไป")/COUNTIFS('Raw_Data'!$AI$2:$AI$59,"&gt;=1",'Raw_Data'!$AI$2:$AI$59,"&lt;=5",'Raw_Data'!$A$2:$A$59,"Yes",'Raw_Data'!$D$2:$D$59,"ผู้ป่วยสัมพันธ์",'Raw_Data'!$E$2:$E$59,"สายสนับสนุนทั่วไป"),"")</x:f>
        <x:v>100</x:v>
      </x:c>
      <x:c r="AG32" s="131" t="n">
        <x:f>IFERROR(100*COUNTIFS('Raw_Data'!$AI$2:$AI$59,"&gt;=1",'Raw_Data'!$AI$2:$AI$59,"&lt;=2",'Raw_Data'!$A$2:$A$59,"Yes",'Raw_Data'!$D$2:$D$59,"ยานพาหนะ",'Raw_Data'!$E$2:$E$59,"สายสนับสนุนทั่วไป")/COUNTIFS('Raw_Data'!$AI$2:$AI$59,"&gt;=1",'Raw_Data'!$AI$2:$AI$59,"&lt;=5",'Raw_Data'!$A$2:$A$59,"Yes",'Raw_Data'!$D$2:$D$59,"ยานพาหนะ",'Raw_Data'!$E$2:$E$59,"สายสนับสนุนทั่วไป"),"")</x:f>
        <x:v>100</x:v>
      </x:c>
      <x:c r="AH32" s="131" t="n">
        <x:f>IFERROR(100*COUNTIFS('Raw_Data'!$AI$2:$AI$59,"&gt;=1",'Raw_Data'!$AI$2:$AI$59,"&lt;=2",'Raw_Data'!$A$2:$A$59,"Yes",'Raw_Data'!$D$2:$D$59,"สื่อสารการตลาด",'Raw_Data'!$E$2:$E$59,"สายสนับสนุนทั่วไป")/COUNTIFS('Raw_Data'!$AI$2:$AI$59,"&gt;=1",'Raw_Data'!$AI$2:$AI$59,"&lt;=5",'Raw_Data'!$A$2:$A$59,"Yes",'Raw_Data'!$D$2:$D$59,"สื่อสารการตลาด",'Raw_Data'!$E$2:$E$59,"สายสนับสนุนทั่วไป"),"")</x:f>
        <x:v>0</x:v>
      </x:c>
      <x:c r="AI32" s="131" t="n">
        <x:f>IFERROR(100*COUNTIFS('Raw_Data'!$AI$2:$AI$59,"&gt;=1",'Raw_Data'!$AI$2:$AI$59,"&lt;=2",'Raw_Data'!$A$2:$A$59,"Yes",'Raw_Data'!$D$2:$D$59,"ERและเปล",'Raw_Data'!$E$2:$E$59,"สายสนับสนุนทั่วไป")/COUNTIFS('Raw_Data'!$AI$2:$AI$59,"&gt;=1",'Raw_Data'!$AI$2:$AI$59,"&lt;=5",'Raw_Data'!$A$2:$A$59,"Yes",'Raw_Data'!$D$2:$D$59,"ERและเปล",'Raw_Data'!$E$2:$E$59,"สายสนับสนุนทั่วไป"),"")</x:f>
        <x:v>33.333333333333336</x:v>
      </x:c>
      <x:c r="AJ32" s="131" t="n">
        <x:f>IFERROR(100*COUNTIFS('Raw_Data'!$AI$2:$AI$59,"&gt;=1",'Raw_Data'!$AI$2:$AI$59,"&lt;=2",'Raw_Data'!$A$2:$A$59,"Yes",'Raw_Data'!$D$2:$D$59,"HR",'Raw_Data'!$E$2:$E$59,"สายสนับสนุนทั่วไป")/COUNTIFS('Raw_Data'!$AI$2:$AI$59,"&gt;=1",'Raw_Data'!$AI$2:$AI$59,"&lt;=5",'Raw_Data'!$A$2:$A$59,"Yes",'Raw_Data'!$D$2:$D$59,"HR",'Raw_Data'!$E$2:$E$59,"สายสนับสนุนทั่วไป"),"")</x:f>
        <x:v>100</x:v>
      </x:c>
      <x:c r="AK32" s="131" t="n">
        <x:f>IFERROR(100*COUNTIFS('Raw_Data'!$AI$2:$AI$59,"&gt;=1",'Raw_Data'!$AI$2:$AI$59,"&lt;=2",'Raw_Data'!$A$2:$A$59,"Yes",'Raw_Data'!$D$2:$D$59,"ICU",'Raw_Data'!$E$2:$E$59,"สายสนับสนุนทั่วไป")/COUNTIFS('Raw_Data'!$AI$2:$AI$59,"&gt;=1",'Raw_Data'!$AI$2:$AI$59,"&lt;=5",'Raw_Data'!$A$2:$A$59,"Yes",'Raw_Data'!$D$2:$D$59,"ICU",'Raw_Data'!$E$2:$E$59,"สายสนับสนุนทั่วไป"),"")</x:f>
        <x:v>0</x:v>
      </x:c>
      <x:c r="AL32" s="131" t="n">
        <x:f>IFERROR(100*COUNTIFS('Raw_Data'!$AI$2:$AI$59,"&gt;=1",'Raw_Data'!$AI$2:$AI$59,"&lt;=2",'Raw_Data'!$A$2:$A$59,"Yes",'Raw_Data'!$D$2:$D$59,"IPD",'Raw_Data'!$E$2:$E$59,"สายสนับสนุนทั่วไป")/COUNTIFS('Raw_Data'!$AI$2:$AI$59,"&gt;=1",'Raw_Data'!$AI$2:$AI$59,"&lt;=5",'Raw_Data'!$A$2:$A$59,"Yes",'Raw_Data'!$D$2:$D$59,"IPD",'Raw_Data'!$E$2:$E$59,"สายสนับสนุนทั่วไป"),"")</x:f>
        <x:v>0</x:v>
      </x:c>
      <x:c r="AM32" s="131" t="n">
        <x:f>IFERROR(100*COUNTIFS('Raw_Data'!$AI$2:$AI$59,"&gt;=1",'Raw_Data'!$AI$2:$AI$59,"&lt;=2",'Raw_Data'!$A$2:$A$59,"Yes",'Raw_Data'!$D$2:$D$59,"IT",'Raw_Data'!$E$2:$E$59,"สายสนับสนุนทั่วไป")/COUNTIFS('Raw_Data'!$AI$2:$AI$59,"&gt;=1",'Raw_Data'!$AI$2:$AI$59,"&lt;=5",'Raw_Data'!$A$2:$A$59,"Yes",'Raw_Data'!$D$2:$D$59,"IT",'Raw_Data'!$E$2:$E$59,"สายสนับสนุนทั่วไป"),"")</x:f>
        <x:v>100</x:v>
      </x:c>
      <x:c r="AN32" s="131" t="n">
        <x:f>IFERROR(100*COUNTIFS('Raw_Data'!$AI$2:$AI$59,"&gt;=1",'Raw_Data'!$AI$2:$AI$59,"&lt;=2",'Raw_Data'!$A$2:$A$59,"Yes",'Raw_Data'!$D$2:$D$59,"ผู้ป่วยสัมพันธ์",'Raw_Data'!$E$2:$E$59,"สายสนับสนุนทางการแพทย์")/COUNTIFS('Raw_Data'!$AI$2:$AI$59,"&gt;=1",'Raw_Data'!$AI$2:$AI$59,"&lt;=5",'Raw_Data'!$A$2:$A$59,"Yes",'Raw_Data'!$D$2:$D$59,"ผู้ป่วยสัมพันธ์",'Raw_Data'!$E$2:$E$59,"สายสนับสนุนทางการแพทย์"),"")</x:f>
        <x:v>66.66666666666667</x:v>
      </x:c>
      <x:c r="AO32" s="131" t="n">
        <x:f>IFERROR(100*COUNTIFS('Raw_Data'!$AI$2:$AI$59,"&gt;=1",'Raw_Data'!$AI$2:$AI$59,"&lt;=2",'Raw_Data'!$A$2:$A$59,"Yes",'Raw_Data'!$D$2:$D$59,"ฝ่ายการพยาบาล",'Raw_Data'!$E$2:$E$59,"สายสนับสนุนทางการแพทย์")/COUNTIFS('Raw_Data'!$AI$2:$AI$59,"&gt;=1",'Raw_Data'!$AI$2:$AI$59,"&lt;=5",'Raw_Data'!$A$2:$A$59,"Yes",'Raw_Data'!$D$2:$D$59,"ฝ่ายการพยาบาล",'Raw_Data'!$E$2:$E$59,"สายสนับสนุนทางการแพทย์"),"")</x:f>
        <x:v>100</x:v>
      </x:c>
      <x:c r="AP32" s="131" t="n">
        <x:f>IFERROR(100*COUNTIFS('Raw_Data'!$AI$2:$AI$59,"&gt;=1",'Raw_Data'!$AI$2:$AI$59,"&lt;=2",'Raw_Data'!$A$2:$A$59,"Yes",'Raw_Data'!$D$2:$D$59,"โภชนาการ",'Raw_Data'!$E$2:$E$59,"สายสนับสนุนทางการแพทย์")/COUNTIFS('Raw_Data'!$AI$2:$AI$59,"&gt;=1",'Raw_Data'!$AI$2:$AI$59,"&lt;=5",'Raw_Data'!$A$2:$A$59,"Yes",'Raw_Data'!$D$2:$D$59,"โภชนาการ",'Raw_Data'!$E$2:$E$59,"สายสนับสนุนทางการแพทย์"),"")</x:f>
        <x:v>100</x:v>
      </x:c>
      <x:c r="AQ32" s="131" t="n">
        <x:f>IFERROR(100*COUNTIFS('Raw_Data'!$AI$2:$AI$59,"&gt;=1",'Raw_Data'!$AI$2:$AI$59,"&lt;=2",'Raw_Data'!$A$2:$A$59,"Yes",'Raw_Data'!$D$2:$D$59,"ห้องยา",'Raw_Data'!$E$2:$E$59,"สายสนับสนุนทางการแพทย์")/COUNTIFS('Raw_Data'!$AI$2:$AI$59,"&gt;=1",'Raw_Data'!$AI$2:$AI$59,"&lt;=5",'Raw_Data'!$A$2:$A$59,"Yes",'Raw_Data'!$D$2:$D$59,"ห้องยา",'Raw_Data'!$E$2:$E$59,"สายสนับสนุนทางการแพทย์"),"")</x:f>
        <x:v>50</x:v>
      </x:c>
      <x:c r="AR32" s="131" t="n">
        <x:f>IFERROR(100*COUNTIFS('Raw_Data'!$AI$2:$AI$59,"&gt;=1",'Raw_Data'!$AI$2:$AI$59,"&lt;=2",'Raw_Data'!$A$2:$A$59,"Yes",'Raw_Data'!$D$2:$D$59,"ห้องแลป",'Raw_Data'!$E$2:$E$59,"สายสนับสนุนทางการแพทย์")/COUNTIFS('Raw_Data'!$AI$2:$AI$59,"&gt;=1",'Raw_Data'!$AI$2:$AI$59,"&lt;=5",'Raw_Data'!$A$2:$A$59,"Yes",'Raw_Data'!$D$2:$D$59,"ห้องแลป",'Raw_Data'!$E$2:$E$59,"สายสนับสนุนทางการแพทย์"),"")</x:f>
        <x:v>0</x:v>
      </x:c>
      <x:c r="AS32" s="131" t="n">
        <x:f>IFERROR(100*COUNTIFS('Raw_Data'!$AI$2:$AI$59,"&gt;=1",'Raw_Data'!$AI$2:$AI$59,"&lt;=2",'Raw_Data'!$A$2:$A$59,"Yes",'Raw_Data'!$D$2:$D$59,"ห้องเอ็กซเรย์",'Raw_Data'!$E$2:$E$59,"สายสนับสนุนทางการแพทย์")/COUNTIFS('Raw_Data'!$AI$2:$AI$59,"&gt;=1",'Raw_Data'!$AI$2:$AI$59,"&lt;=5",'Raw_Data'!$A$2:$A$59,"Yes",'Raw_Data'!$D$2:$D$59,"ห้องเอ็กซเรย์",'Raw_Data'!$E$2:$E$59,"สายสนับสนุนทางการแพทย์"),"")</x:f>
        <x:v>66.66666666666667</x:v>
      </x:c>
      <x:c r="AT32" s="131" t="n">
        <x:f>IFERROR(100*COUNTIFS('Raw_Data'!$AI$2:$AI$59,"&gt;=1",'Raw_Data'!$AI$2:$AI$59,"&lt;=2",'Raw_Data'!$A$2:$A$59,"Yes",'Raw_Data'!$D$2:$D$59,"ERและเปล",'Raw_Data'!$E$2:$E$59,"สายสนับสนุนทางการแพทย์")/COUNTIFS('Raw_Data'!$AI$2:$AI$59,"&gt;=1",'Raw_Data'!$AI$2:$AI$59,"&lt;=5",'Raw_Data'!$A$2:$A$59,"Yes",'Raw_Data'!$D$2:$D$59,"ERและเปล",'Raw_Data'!$E$2:$E$59,"สายสนับสนุนทางการแพทย์"),"")</x:f>
        <x:v>0</x:v>
      </x:c>
      <x:c r="AU32" s="131" t="n">
        <x:f>IFERROR(100*COUNTIFS('Raw_Data'!$AI$2:$AI$59,"&gt;=1",'Raw_Data'!$AI$2:$AI$59,"&lt;=2",'Raw_Data'!$A$2:$A$59,"Yes",'Raw_Data'!$D$2:$D$59,"ICU",'Raw_Data'!$E$2:$E$59,"สายสนับสนุนทางการแพทย์")/COUNTIFS('Raw_Data'!$AI$2:$AI$59,"&gt;=1",'Raw_Data'!$AI$2:$AI$59,"&lt;=5",'Raw_Data'!$A$2:$A$59,"Yes",'Raw_Data'!$D$2:$D$59,"ICU",'Raw_Data'!$E$2:$E$59,"สายสนับสนุนทางการแพทย์"),"")</x:f>
        <x:v>100</x:v>
      </x:c>
      <x:c r="AV32" s="131" t="n">
        <x:f>IFERROR(100*COUNTIFS('Raw_Data'!$AI$2:$AI$59,"&gt;=1",'Raw_Data'!$AI$2:$AI$59,"&lt;=2",'Raw_Data'!$A$2:$A$59,"Yes",'Raw_Data'!$D$2:$D$59,"IPD",'Raw_Data'!$E$2:$E$59,"สายสนับสนุนทางการแพทย์")/COUNTIFS('Raw_Data'!$AI$2:$AI$59,"&gt;=1",'Raw_Data'!$AI$2:$AI$59,"&lt;=5",'Raw_Data'!$A$2:$A$59,"Yes",'Raw_Data'!$D$2:$D$59,"IPD",'Raw_Data'!$E$2:$E$59,"สายสนับสนุนทางการแพทย์"),"")</x:f>
        <x:v>50</x:v>
      </x:c>
      <x:c r="AW32" s="131" t="n">
        <x:f>IFERROR(100*COUNTIFS('Raw_Data'!$AI$2:$AI$59,"&gt;=1",'Raw_Data'!$AI$2:$AI$59,"&lt;=2",'Raw_Data'!$A$2:$A$59,"Yes",'Raw_Data'!$D$2:$D$59,"IT",'Raw_Data'!$E$2:$E$59,"สายสนับสนุนทางการแพทย์")/COUNTIFS('Raw_Data'!$AI$2:$AI$59,"&gt;=1",'Raw_Data'!$AI$2:$AI$59,"&lt;=5",'Raw_Data'!$A$2:$A$59,"Yes",'Raw_Data'!$D$2:$D$59,"IT",'Raw_Data'!$E$2:$E$59,"สายสนับสนุนทางการแพทย์"),"")</x:f>
        <x:v>100</x:v>
      </x:c>
    </x:row>
    <x:row r="33" ht="42" customHeight="1">
      <x:c r="A33" s="123" t="str">
        <x:v>10. การส่งต่องานและแลกเปลี่ยนข้อมูล ในการเปลี่ยนผ่านระหว่างหน่วยงานหรือเวร</x:v>
      </x:c>
      <x:c r="B33" s="124" t="str">
        <x:v>F4. เมื่อย้ายผู้ป่วย/ผู้รับบริการจากหน่วยงานหรือพื้นที่หนึ่งไปยังอีกหน่วยงานหรืออีกพื้นที่หนึ่ง ข้อมูลสำคัญของผู้ป่วยและการรักษา มักถูกละทิ้งโดยไม่มีการส่งต่อ</x:v>
      </x:c>
      <x:c r="C33" s="131" t="n">
        <x:f>IFERROR(100*COUNTIFS('Raw_Data'!$AJ$2:$AJ$59,"&gt;=1",'Raw_Data'!$AJ$2:$AJ$59,"&lt;=2",'Raw_Data'!$A$2:$A$59,"Yes")/COUNTIFS('Raw_Data'!$AJ$2:$AJ$59,"&gt;=1",'Raw_Data'!$AJ$2:$AJ$59,"&lt;=5",'Raw_Data'!$A$2:$A$59,"Yes"),"")</x:f>
        <x:v>74.13793103448276</x:v>
      </x:c>
      <x:c r="D33" s="131" t="n">
        <x:f>IFERROR(100*COUNTIFS('Raw_Data'!$AJ$2:$AJ$59,"&gt;=1",'Raw_Data'!$AJ$2:$AJ$59,"&lt;=2",'Raw_Data'!$A$2:$A$59,"Yes",'Raw_Data'!$D$2:$D$59,"การเงิน")/COUNTIFS('Raw_Data'!$AJ$2:$AJ$59,"&gt;=1",'Raw_Data'!$AJ$2:$AJ$59,"&lt;=5",'Raw_Data'!$A$2:$A$59,"Yes",'Raw_Data'!$D$2:$D$59,"การเงิน"),"")</x:f>
        <x:v>66.66666666666667</x:v>
      </x:c>
      <x:c r="E33" s="131" t="n">
        <x:f>IFERROR(100*COUNTIFS('Raw_Data'!$AJ$2:$AJ$59,"&gt;=1",'Raw_Data'!$AJ$2:$AJ$59,"&lt;=2",'Raw_Data'!$A$2:$A$59,"Yes",'Raw_Data'!$D$2:$D$59,"เคหรักษ์")/COUNTIFS('Raw_Data'!$AJ$2:$AJ$59,"&gt;=1",'Raw_Data'!$AJ$2:$AJ$59,"&lt;=5",'Raw_Data'!$A$2:$A$59,"Yes",'Raw_Data'!$D$2:$D$59,"เคหรักษ์"),"")</x:f>
        <x:v>50</x:v>
      </x:c>
      <x:c r="F33" s="131" t="n">
        <x:f>IFERROR(100*COUNTIFS('Raw_Data'!$AJ$2:$AJ$59,"&gt;=1",'Raw_Data'!$AJ$2:$AJ$59,"&lt;=2",'Raw_Data'!$A$2:$A$59,"Yes",'Raw_Data'!$D$2:$D$59,"จ่ายกลาง")/COUNTIFS('Raw_Data'!$AJ$2:$AJ$59,"&gt;=1",'Raw_Data'!$AJ$2:$AJ$59,"&lt;=5",'Raw_Data'!$A$2:$A$59,"Yes",'Raw_Data'!$D$2:$D$59,"จ่ายกลาง"),"")</x:f>
        <x:v>100</x:v>
      </x:c>
      <x:c r="G33" s="131" t="n">
        <x:f>IFERROR(100*COUNTIFS('Raw_Data'!$AJ$2:$AJ$59,"&gt;=1",'Raw_Data'!$AJ$2:$AJ$59,"&lt;=2",'Raw_Data'!$A$2:$A$59,"Yes",'Raw_Data'!$D$2:$D$59,"ช่างและสนาม")/COUNTIFS('Raw_Data'!$AJ$2:$AJ$59,"&gt;=1",'Raw_Data'!$AJ$2:$AJ$59,"&lt;=5",'Raw_Data'!$A$2:$A$59,"Yes",'Raw_Data'!$D$2:$D$59,"ช่างและสนาม"),"")</x:f>
        <x:v>75</x:v>
      </x:c>
      <x:c r="H33" s="131" t="n">
        <x:f>IFERROR(100*COUNTIFS('Raw_Data'!$AJ$2:$AJ$59,"&gt;=1",'Raw_Data'!$AJ$2:$AJ$59,"&lt;=2",'Raw_Data'!$A$2:$A$59,"Yes",'Raw_Data'!$D$2:$D$59,"ผู้ป่วยสัมพันธ์")/COUNTIFS('Raw_Data'!$AJ$2:$AJ$59,"&gt;=1",'Raw_Data'!$AJ$2:$AJ$59,"&lt;=5",'Raw_Data'!$A$2:$A$59,"Yes",'Raw_Data'!$D$2:$D$59,"ผู้ป่วยสัมพันธ์"),"")</x:f>
        <x:v>100</x:v>
      </x:c>
      <x:c r="I33" s="131" t="n">
        <x:f>IFERROR(100*COUNTIFS('Raw_Data'!$AJ$2:$AJ$59,"&gt;=1",'Raw_Data'!$AJ$2:$AJ$59,"&lt;=2",'Raw_Data'!$A$2:$A$59,"Yes",'Raw_Data'!$D$2:$D$59,"ฝ่ายการพยาบาล")/COUNTIFS('Raw_Data'!$AJ$2:$AJ$59,"&gt;=1",'Raw_Data'!$AJ$2:$AJ$59,"&lt;=5",'Raw_Data'!$A$2:$A$59,"Yes",'Raw_Data'!$D$2:$D$59,"ฝ่ายการพยาบาล"),"")</x:f>
        <x:v>100</x:v>
      </x:c>
      <x:c r="J33" s="131" t="n">
        <x:f>IFERROR(100*COUNTIFS('Raw_Data'!$AJ$2:$AJ$59,"&gt;=1",'Raw_Data'!$AJ$2:$AJ$59,"&lt;=2",'Raw_Data'!$A$2:$A$59,"Yes",'Raw_Data'!$D$2:$D$59,"โภชนาการ")/COUNTIFS('Raw_Data'!$AJ$2:$AJ$59,"&gt;=1",'Raw_Data'!$AJ$2:$AJ$59,"&lt;=5",'Raw_Data'!$A$2:$A$59,"Yes",'Raw_Data'!$D$2:$D$59,"โภชนาการ"),"")</x:f>
        <x:v>100</x:v>
      </x:c>
      <x:c r="K33" s="131" t="n">
        <x:f>IFERROR(100*COUNTIFS('Raw_Data'!$AJ$2:$AJ$59,"&gt;=1",'Raw_Data'!$AJ$2:$AJ$59,"&lt;=2",'Raw_Data'!$A$2:$A$59,"Yes",'Raw_Data'!$D$2:$D$59,"ยานพาหนะ")/COUNTIFS('Raw_Data'!$AJ$2:$AJ$59,"&gt;=1",'Raw_Data'!$AJ$2:$AJ$59,"&lt;=5",'Raw_Data'!$A$2:$A$59,"Yes",'Raw_Data'!$D$2:$D$59,"ยานพาหนะ"),"")</x:f>
        <x:v>100</x:v>
      </x:c>
      <x:c r="L33" s="131" t="n">
        <x:f>IFERROR(100*COUNTIFS('Raw_Data'!$AJ$2:$AJ$59,"&gt;=1",'Raw_Data'!$AJ$2:$AJ$59,"&lt;=2",'Raw_Data'!$A$2:$A$59,"Yes",'Raw_Data'!$D$2:$D$59,"สื่อสารการตลาด")/COUNTIFS('Raw_Data'!$AJ$2:$AJ$59,"&gt;=1",'Raw_Data'!$AJ$2:$AJ$59,"&lt;=5",'Raw_Data'!$A$2:$A$59,"Yes",'Raw_Data'!$D$2:$D$59,"สื่อสารการตลาด"),"")</x:f>
        <x:v>100</x:v>
      </x:c>
      <x:c r="M33" s="131" t="n">
        <x:f>IFERROR(100*COUNTIFS('Raw_Data'!$AJ$2:$AJ$59,"&gt;=1",'Raw_Data'!$AJ$2:$AJ$59,"&lt;=2",'Raw_Data'!$A$2:$A$59,"Yes",'Raw_Data'!$D$2:$D$59,"ห้องยา")/COUNTIFS('Raw_Data'!$AJ$2:$AJ$59,"&gt;=1",'Raw_Data'!$AJ$2:$AJ$59,"&lt;=5",'Raw_Data'!$A$2:$A$59,"Yes",'Raw_Data'!$D$2:$D$59,"ห้องยา"),"")</x:f>
        <x:v>83.33333333333333</x:v>
      </x:c>
      <x:c r="N33" s="131" t="n">
        <x:f>IFERROR(100*COUNTIFS('Raw_Data'!$AJ$2:$AJ$59,"&gt;=1",'Raw_Data'!$AJ$2:$AJ$59,"&lt;=2",'Raw_Data'!$A$2:$A$59,"Yes",'Raw_Data'!$D$2:$D$59,"ห้องแลป")/COUNTIFS('Raw_Data'!$AJ$2:$AJ$59,"&gt;=1",'Raw_Data'!$AJ$2:$AJ$59,"&lt;=5",'Raw_Data'!$A$2:$A$59,"Yes",'Raw_Data'!$D$2:$D$59,"ห้องแลป"),"")</x:f>
        <x:v>50</x:v>
      </x:c>
      <x:c r="O33" s="131" t="n">
        <x:f>IFERROR(100*COUNTIFS('Raw_Data'!$AJ$2:$AJ$59,"&gt;=1",'Raw_Data'!$AJ$2:$AJ$59,"&lt;=2",'Raw_Data'!$A$2:$A$59,"Yes",'Raw_Data'!$D$2:$D$59,"ห้องเอ็กซเรย์")/COUNTIFS('Raw_Data'!$AJ$2:$AJ$59,"&gt;=1",'Raw_Data'!$AJ$2:$AJ$59,"&lt;=5",'Raw_Data'!$A$2:$A$59,"Yes",'Raw_Data'!$D$2:$D$59,"ห้องเอ็กซเรย์"),"")</x:f>
        <x:v>33.333333333333336</x:v>
      </x:c>
      <x:c r="P33" s="131" t="n">
        <x:f>IFERROR(100*COUNTIFS('Raw_Data'!$AJ$2:$AJ$59,"&gt;=1",'Raw_Data'!$AJ$2:$AJ$59,"&lt;=2",'Raw_Data'!$A$2:$A$59,"Yes",'Raw_Data'!$D$2:$D$59,"ERและเปล")/COUNTIFS('Raw_Data'!$AJ$2:$AJ$59,"&gt;=1",'Raw_Data'!$AJ$2:$AJ$59,"&lt;=5",'Raw_Data'!$A$2:$A$59,"Yes",'Raw_Data'!$D$2:$D$59,"ERและเปล"),"")</x:f>
        <x:v>81.81818181818181</x:v>
      </x:c>
      <x:c r="Q33" s="131" t="n">
        <x:f>IFERROR(100*COUNTIFS('Raw_Data'!$AJ$2:$AJ$59,"&gt;=1",'Raw_Data'!$AJ$2:$AJ$59,"&lt;=2",'Raw_Data'!$A$2:$A$59,"Yes",'Raw_Data'!$D$2:$D$59,"HR")/COUNTIFS('Raw_Data'!$AJ$2:$AJ$59,"&gt;=1",'Raw_Data'!$AJ$2:$AJ$59,"&lt;=5",'Raw_Data'!$A$2:$A$59,"Yes",'Raw_Data'!$D$2:$D$59,"HR"),"")</x:f>
        <x:v>100</x:v>
      </x:c>
      <x:c r="R33" s="131" t="n">
        <x:f>IFERROR(100*COUNTIFS('Raw_Data'!$AJ$2:$AJ$59,"&gt;=1",'Raw_Data'!$AJ$2:$AJ$59,"&lt;=2",'Raw_Data'!$A$2:$A$59,"Yes",'Raw_Data'!$D$2:$D$59,"ICU")/COUNTIFS('Raw_Data'!$AJ$2:$AJ$59,"&gt;=1",'Raw_Data'!$AJ$2:$AJ$59,"&lt;=5",'Raw_Data'!$A$2:$A$59,"Yes",'Raw_Data'!$D$2:$D$59,"ICU"),"")</x:f>
        <x:v>75</x:v>
      </x:c>
      <x:c r="S33" s="131" t="n">
        <x:f>IFERROR(100*COUNTIFS('Raw_Data'!$AJ$2:$AJ$59,"&gt;=1",'Raw_Data'!$AJ$2:$AJ$59,"&lt;=2",'Raw_Data'!$A$2:$A$59,"Yes",'Raw_Data'!$D$2:$D$59,"IPD")/COUNTIFS('Raw_Data'!$AJ$2:$AJ$59,"&gt;=1",'Raw_Data'!$AJ$2:$AJ$59,"&lt;=5",'Raw_Data'!$A$2:$A$59,"Yes",'Raw_Data'!$D$2:$D$59,"IPD"),"")</x:f>
        <x:v>66.66666666666667</x:v>
      </x:c>
      <x:c r="T33" s="131" t="n">
        <x:f>IFERROR(100*COUNTIFS('Raw_Data'!$AJ$2:$AJ$59,"&gt;=1",'Raw_Data'!$AJ$2:$AJ$59,"&lt;=2",'Raw_Data'!$A$2:$A$59,"Yes",'Raw_Data'!$D$2:$D$59,"IT")/COUNTIFS('Raw_Data'!$AJ$2:$AJ$59,"&gt;=1",'Raw_Data'!$AJ$2:$AJ$59,"&lt;=5",'Raw_Data'!$A$2:$A$59,"Yes",'Raw_Data'!$D$2:$D$59,"IT"),"")</x:f>
        <x:v>100</x:v>
      </x:c>
      <x:c r="U33" s="131" t="n">
        <x:f>IFERROR(100*COUNTIFS('Raw_Data'!$AJ$2:$AJ$59,"&gt;=1",'Raw_Data'!$AJ$2:$AJ$59,"&lt;=2",'Raw_Data'!$A$2:$A$59,"Yes",'Raw_Data'!$D$2:$D$59,"OR")/COUNTIFS('Raw_Data'!$AJ$2:$AJ$59,"&gt;=1",'Raw_Data'!$AJ$2:$AJ$59,"&lt;=5",'Raw_Data'!$A$2:$A$59,"Yes",'Raw_Data'!$D$2:$D$59,"OR"),"")</x:f>
        <x:v>25</x:v>
      </x:c>
      <x:c r="V33" s="131" t="n">
        <x:f>IFERROR(100*COUNTIFS('Raw_Data'!$AJ$2:$AJ$59,"&gt;=1",'Raw_Data'!$AJ$2:$AJ$59,"&lt;=2",'Raw_Data'!$A$2:$A$59,"Yes",'Raw_Data'!$D$2:$D$59,"IPD",'Raw_Data'!$E$2:$E$59,"ผู้บริหาร")/COUNTIFS('Raw_Data'!$AJ$2:$AJ$59,"&gt;=1",'Raw_Data'!$AJ$2:$AJ$59,"&lt;=5",'Raw_Data'!$A$2:$A$59,"Yes",'Raw_Data'!$D$2:$D$59,"IPD",'Raw_Data'!$E$2:$E$59,"ผู้บริหาร"),"")</x:f>
        <x:v>100</x:v>
      </x:c>
      <x:c r="W33" s="131" t="n">
        <x:f>IFERROR(100*COUNTIFS('Raw_Data'!$AJ$2:$AJ$59,"&gt;=1",'Raw_Data'!$AJ$2:$AJ$59,"&lt;=2",'Raw_Data'!$A$2:$A$59,"Yes",'Raw_Data'!$D$2:$D$59,"ฝ่ายการพยาบาล",'Raw_Data'!$E$2:$E$59,"สายวิชาชีพสาธารณสุข")/COUNTIFS('Raw_Data'!$AJ$2:$AJ$59,"&gt;=1",'Raw_Data'!$AJ$2:$AJ$59,"&lt;=5",'Raw_Data'!$A$2:$A$59,"Yes",'Raw_Data'!$D$2:$D$59,"ฝ่ายการพยาบาล",'Raw_Data'!$E$2:$E$59,"สายวิชาชีพสาธารณสุข"),"")</x:f>
        <x:v>100</x:v>
      </x:c>
      <x:c r="X33" s="131" t="n">
        <x:f>IFERROR(100*COUNTIFS('Raw_Data'!$AJ$2:$AJ$59,"&gt;=1",'Raw_Data'!$AJ$2:$AJ$59,"&lt;=2",'Raw_Data'!$A$2:$A$59,"Yes",'Raw_Data'!$D$2:$D$59,"ERและเปล",'Raw_Data'!$E$2:$E$59,"สายวิชาชีพสาธารณสุข")/COUNTIFS('Raw_Data'!$AJ$2:$AJ$59,"&gt;=1",'Raw_Data'!$AJ$2:$AJ$59,"&lt;=5",'Raw_Data'!$A$2:$A$59,"Yes",'Raw_Data'!$D$2:$D$59,"ERและเปล",'Raw_Data'!$E$2:$E$59,"สายวิชาชีพสาธารณสุข"),"")</x:f>
        <x:v>85.71428571428571</x:v>
      </x:c>
      <x:c r="Y33" s="131" t="n">
        <x:f>IFERROR(100*COUNTIFS('Raw_Data'!$AJ$2:$AJ$59,"&gt;=1",'Raw_Data'!$AJ$2:$AJ$59,"&lt;=2",'Raw_Data'!$A$2:$A$59,"Yes",'Raw_Data'!$D$2:$D$59,"ICU",'Raw_Data'!$E$2:$E$59,"สายวิชาชีพสาธารณสุข")/COUNTIFS('Raw_Data'!$AJ$2:$AJ$59,"&gt;=1",'Raw_Data'!$AJ$2:$AJ$59,"&lt;=5",'Raw_Data'!$A$2:$A$59,"Yes",'Raw_Data'!$D$2:$D$59,"ICU",'Raw_Data'!$E$2:$E$59,"สายวิชาชีพสาธารณสุข"),"")</x:f>
        <x:v>100</x:v>
      </x:c>
      <x:c r="Z33" s="131" t="n">
        <x:f>IFERROR(100*COUNTIFS('Raw_Data'!$AJ$2:$AJ$59,"&gt;=1",'Raw_Data'!$AJ$2:$AJ$59,"&lt;=2",'Raw_Data'!$A$2:$A$59,"Yes",'Raw_Data'!$D$2:$D$59,"IPD",'Raw_Data'!$E$2:$E$59,"สายวิชาชีพสาธารณสุข")/COUNTIFS('Raw_Data'!$AJ$2:$AJ$59,"&gt;=1",'Raw_Data'!$AJ$2:$AJ$59,"&lt;=5",'Raw_Data'!$A$2:$A$59,"Yes",'Raw_Data'!$D$2:$D$59,"IPD",'Raw_Data'!$E$2:$E$59,"สายวิชาชีพสาธารณสุข"),"")</x:f>
        <x:v>100</x:v>
      </x:c>
      <x:c r="AA33" s="131" t="n">
        <x:f>IFERROR(100*COUNTIFS('Raw_Data'!$AJ$2:$AJ$59,"&gt;=1",'Raw_Data'!$AJ$2:$AJ$59,"&lt;=2",'Raw_Data'!$A$2:$A$59,"Yes",'Raw_Data'!$D$2:$D$59,"OR",'Raw_Data'!$E$2:$E$59,"สายวิชาชีพสาธารณสุข")/COUNTIFS('Raw_Data'!$AJ$2:$AJ$59,"&gt;=1",'Raw_Data'!$AJ$2:$AJ$59,"&lt;=5",'Raw_Data'!$A$2:$A$59,"Yes",'Raw_Data'!$D$2:$D$59,"OR",'Raw_Data'!$E$2:$E$59,"สายวิชาชีพสาธารณสุข"),"")</x:f>
        <x:v>25</x:v>
      </x:c>
      <x:c r="AB33" s="131" t="n">
        <x:f>IFERROR(100*COUNTIFS('Raw_Data'!$AJ$2:$AJ$59,"&gt;=1",'Raw_Data'!$AJ$2:$AJ$59,"&lt;=2",'Raw_Data'!$A$2:$A$59,"Yes",'Raw_Data'!$D$2:$D$59,"การเงิน",'Raw_Data'!$E$2:$E$59,"สายสนับสนุนทั่วไป")/COUNTIFS('Raw_Data'!$AJ$2:$AJ$59,"&gt;=1",'Raw_Data'!$AJ$2:$AJ$59,"&lt;=5",'Raw_Data'!$A$2:$A$59,"Yes",'Raw_Data'!$D$2:$D$59,"การเงิน",'Raw_Data'!$E$2:$E$59,"สายสนับสนุนทั่วไป"),"")</x:f>
        <x:v>66.66666666666667</x:v>
      </x:c>
      <x:c r="AC33" s="131" t="n">
        <x:f>IFERROR(100*COUNTIFS('Raw_Data'!$AJ$2:$AJ$59,"&gt;=1",'Raw_Data'!$AJ$2:$AJ$59,"&lt;=2",'Raw_Data'!$A$2:$A$59,"Yes",'Raw_Data'!$D$2:$D$59,"เคหรักษ์",'Raw_Data'!$E$2:$E$59,"สายสนับสนุนทั่วไป")/COUNTIFS('Raw_Data'!$AJ$2:$AJ$59,"&gt;=1",'Raw_Data'!$AJ$2:$AJ$59,"&lt;=5",'Raw_Data'!$A$2:$A$59,"Yes",'Raw_Data'!$D$2:$D$59,"เคหรักษ์",'Raw_Data'!$E$2:$E$59,"สายสนับสนุนทั่วไป"),"")</x:f>
        <x:v>50</x:v>
      </x:c>
      <x:c r="AD33" s="131" t="n">
        <x:f>IFERROR(100*COUNTIFS('Raw_Data'!$AJ$2:$AJ$59,"&gt;=1",'Raw_Data'!$AJ$2:$AJ$59,"&lt;=2",'Raw_Data'!$A$2:$A$59,"Yes",'Raw_Data'!$D$2:$D$59,"จ่ายกลาง",'Raw_Data'!$E$2:$E$59,"สายสนับสนุนทั่วไป")/COUNTIFS('Raw_Data'!$AJ$2:$AJ$59,"&gt;=1",'Raw_Data'!$AJ$2:$AJ$59,"&lt;=5",'Raw_Data'!$A$2:$A$59,"Yes",'Raw_Data'!$D$2:$D$59,"จ่ายกลาง",'Raw_Data'!$E$2:$E$59,"สายสนับสนุนทั่วไป"),"")</x:f>
        <x:v>100</x:v>
      </x:c>
      <x:c r="AE33" s="131" t="n">
        <x:f>IFERROR(100*COUNTIFS('Raw_Data'!$AJ$2:$AJ$59,"&gt;=1",'Raw_Data'!$AJ$2:$AJ$59,"&lt;=2",'Raw_Data'!$A$2:$A$59,"Yes",'Raw_Data'!$D$2:$D$59,"ช่างและสนาม",'Raw_Data'!$E$2:$E$59,"สายสนับสนุนทั่วไป")/COUNTIFS('Raw_Data'!$AJ$2:$AJ$59,"&gt;=1",'Raw_Data'!$AJ$2:$AJ$59,"&lt;=5",'Raw_Data'!$A$2:$A$59,"Yes",'Raw_Data'!$D$2:$D$59,"ช่างและสนาม",'Raw_Data'!$E$2:$E$59,"สายสนับสนุนทั่วไป"),"")</x:f>
        <x:v>75</x:v>
      </x:c>
      <x:c r="AF33" s="131" t="n">
        <x:f>IFERROR(100*COUNTIFS('Raw_Data'!$AJ$2:$AJ$59,"&gt;=1",'Raw_Data'!$AJ$2:$AJ$59,"&lt;=2",'Raw_Data'!$A$2:$A$59,"Yes",'Raw_Data'!$D$2:$D$59,"ผู้ป่วยสัมพันธ์",'Raw_Data'!$E$2:$E$59,"สายสนับสนุนทั่วไป")/COUNTIFS('Raw_Data'!$AJ$2:$AJ$59,"&gt;=1",'Raw_Data'!$AJ$2:$AJ$59,"&lt;=5",'Raw_Data'!$A$2:$A$59,"Yes",'Raw_Data'!$D$2:$D$59,"ผู้ป่วยสัมพันธ์",'Raw_Data'!$E$2:$E$59,"สายสนับสนุนทั่วไป"),"")</x:f>
        <x:v>100</x:v>
      </x:c>
      <x:c r="AG33" s="131" t="n">
        <x:f>IFERROR(100*COUNTIFS('Raw_Data'!$AJ$2:$AJ$59,"&gt;=1",'Raw_Data'!$AJ$2:$AJ$59,"&lt;=2",'Raw_Data'!$A$2:$A$59,"Yes",'Raw_Data'!$D$2:$D$59,"ยานพาหนะ",'Raw_Data'!$E$2:$E$59,"สายสนับสนุนทั่วไป")/COUNTIFS('Raw_Data'!$AJ$2:$AJ$59,"&gt;=1",'Raw_Data'!$AJ$2:$AJ$59,"&lt;=5",'Raw_Data'!$A$2:$A$59,"Yes",'Raw_Data'!$D$2:$D$59,"ยานพาหนะ",'Raw_Data'!$E$2:$E$59,"สายสนับสนุนทั่วไป"),"")</x:f>
        <x:v>100</x:v>
      </x:c>
      <x:c r="AH33" s="131" t="n">
        <x:f>IFERROR(100*COUNTIFS('Raw_Data'!$AJ$2:$AJ$59,"&gt;=1",'Raw_Data'!$AJ$2:$AJ$59,"&lt;=2",'Raw_Data'!$A$2:$A$59,"Yes",'Raw_Data'!$D$2:$D$59,"สื่อสารการตลาด",'Raw_Data'!$E$2:$E$59,"สายสนับสนุนทั่วไป")/COUNTIFS('Raw_Data'!$AJ$2:$AJ$59,"&gt;=1",'Raw_Data'!$AJ$2:$AJ$59,"&lt;=5",'Raw_Data'!$A$2:$A$59,"Yes",'Raw_Data'!$D$2:$D$59,"สื่อสารการตลาด",'Raw_Data'!$E$2:$E$59,"สายสนับสนุนทั่วไป"),"")</x:f>
        <x:v>100</x:v>
      </x:c>
      <x:c r="AI33" s="131" t="n">
        <x:f>IFERROR(100*COUNTIFS('Raw_Data'!$AJ$2:$AJ$59,"&gt;=1",'Raw_Data'!$AJ$2:$AJ$59,"&lt;=2",'Raw_Data'!$A$2:$A$59,"Yes",'Raw_Data'!$D$2:$D$59,"ERและเปล",'Raw_Data'!$E$2:$E$59,"สายสนับสนุนทั่วไป")/COUNTIFS('Raw_Data'!$AJ$2:$AJ$59,"&gt;=1",'Raw_Data'!$AJ$2:$AJ$59,"&lt;=5",'Raw_Data'!$A$2:$A$59,"Yes",'Raw_Data'!$D$2:$D$59,"ERและเปล",'Raw_Data'!$E$2:$E$59,"สายสนับสนุนทั่วไป"),"")</x:f>
        <x:v>100</x:v>
      </x:c>
      <x:c r="AJ33" s="131" t="n">
        <x:f>IFERROR(100*COUNTIFS('Raw_Data'!$AJ$2:$AJ$59,"&gt;=1",'Raw_Data'!$AJ$2:$AJ$59,"&lt;=2",'Raw_Data'!$A$2:$A$59,"Yes",'Raw_Data'!$D$2:$D$59,"HR",'Raw_Data'!$E$2:$E$59,"สายสนับสนุนทั่วไป")/COUNTIFS('Raw_Data'!$AJ$2:$AJ$59,"&gt;=1",'Raw_Data'!$AJ$2:$AJ$59,"&lt;=5",'Raw_Data'!$A$2:$A$59,"Yes",'Raw_Data'!$D$2:$D$59,"HR",'Raw_Data'!$E$2:$E$59,"สายสนับสนุนทั่วไป"),"")</x:f>
        <x:v>100</x:v>
      </x:c>
      <x:c r="AK33" s="131" t="n">
        <x:f>IFERROR(100*COUNTIFS('Raw_Data'!$AJ$2:$AJ$59,"&gt;=1",'Raw_Data'!$AJ$2:$AJ$59,"&lt;=2",'Raw_Data'!$A$2:$A$59,"Yes",'Raw_Data'!$D$2:$D$59,"ICU",'Raw_Data'!$E$2:$E$59,"สายสนับสนุนทั่วไป")/COUNTIFS('Raw_Data'!$AJ$2:$AJ$59,"&gt;=1",'Raw_Data'!$AJ$2:$AJ$59,"&lt;=5",'Raw_Data'!$A$2:$A$59,"Yes",'Raw_Data'!$D$2:$D$59,"ICU",'Raw_Data'!$E$2:$E$59,"สายสนับสนุนทั่วไป"),"")</x:f>
        <x:v>0</x:v>
      </x:c>
      <x:c r="AL33" s="131" t="n">
        <x:f>IFERROR(100*COUNTIFS('Raw_Data'!$AJ$2:$AJ$59,"&gt;=1",'Raw_Data'!$AJ$2:$AJ$59,"&lt;=2",'Raw_Data'!$A$2:$A$59,"Yes",'Raw_Data'!$D$2:$D$59,"IPD",'Raw_Data'!$E$2:$E$59,"สายสนับสนุนทั่วไป")/COUNTIFS('Raw_Data'!$AJ$2:$AJ$59,"&gt;=1",'Raw_Data'!$AJ$2:$AJ$59,"&lt;=5",'Raw_Data'!$A$2:$A$59,"Yes",'Raw_Data'!$D$2:$D$59,"IPD",'Raw_Data'!$E$2:$E$59,"สายสนับสนุนทั่วไป"),"")</x:f>
        <x:v>0</x:v>
      </x:c>
      <x:c r="AM33" s="131" t="n">
        <x:f>IFERROR(100*COUNTIFS('Raw_Data'!$AJ$2:$AJ$59,"&gt;=1",'Raw_Data'!$AJ$2:$AJ$59,"&lt;=2",'Raw_Data'!$A$2:$A$59,"Yes",'Raw_Data'!$D$2:$D$59,"IT",'Raw_Data'!$E$2:$E$59,"สายสนับสนุนทั่วไป")/COUNTIFS('Raw_Data'!$AJ$2:$AJ$59,"&gt;=1",'Raw_Data'!$AJ$2:$AJ$59,"&lt;=5",'Raw_Data'!$A$2:$A$59,"Yes",'Raw_Data'!$D$2:$D$59,"IT",'Raw_Data'!$E$2:$E$59,"สายสนับสนุนทั่วไป"),"")</x:f>
        <x:v>100</x:v>
      </x:c>
      <x:c r="AN33" s="131" t="n">
        <x:f>IFERROR(100*COUNTIFS('Raw_Data'!$AJ$2:$AJ$59,"&gt;=1",'Raw_Data'!$AJ$2:$AJ$59,"&lt;=2",'Raw_Data'!$A$2:$A$59,"Yes",'Raw_Data'!$D$2:$D$59,"ผู้ป่วยสัมพันธ์",'Raw_Data'!$E$2:$E$59,"สายสนับสนุนทางการแพทย์")/COUNTIFS('Raw_Data'!$AJ$2:$AJ$59,"&gt;=1",'Raw_Data'!$AJ$2:$AJ$59,"&lt;=5",'Raw_Data'!$A$2:$A$59,"Yes",'Raw_Data'!$D$2:$D$59,"ผู้ป่วยสัมพันธ์",'Raw_Data'!$E$2:$E$59,"สายสนับสนุนทางการแพทย์"),"")</x:f>
        <x:v>100</x:v>
      </x:c>
      <x:c r="AO33" s="131" t="n">
        <x:f>IFERROR(100*COUNTIFS('Raw_Data'!$AJ$2:$AJ$59,"&gt;=1",'Raw_Data'!$AJ$2:$AJ$59,"&lt;=2",'Raw_Data'!$A$2:$A$59,"Yes",'Raw_Data'!$D$2:$D$59,"ฝ่ายการพยาบาล",'Raw_Data'!$E$2:$E$59,"สายสนับสนุนทางการแพทย์")/COUNTIFS('Raw_Data'!$AJ$2:$AJ$59,"&gt;=1",'Raw_Data'!$AJ$2:$AJ$59,"&lt;=5",'Raw_Data'!$A$2:$A$59,"Yes",'Raw_Data'!$D$2:$D$59,"ฝ่ายการพยาบาล",'Raw_Data'!$E$2:$E$59,"สายสนับสนุนทางการแพทย์"),"")</x:f>
        <x:v>100</x:v>
      </x:c>
      <x:c r="AP33" s="131" t="n">
        <x:f>IFERROR(100*COUNTIFS('Raw_Data'!$AJ$2:$AJ$59,"&gt;=1",'Raw_Data'!$AJ$2:$AJ$59,"&lt;=2",'Raw_Data'!$A$2:$A$59,"Yes",'Raw_Data'!$D$2:$D$59,"โภชนาการ",'Raw_Data'!$E$2:$E$59,"สายสนับสนุนทางการแพทย์")/COUNTIFS('Raw_Data'!$AJ$2:$AJ$59,"&gt;=1",'Raw_Data'!$AJ$2:$AJ$59,"&lt;=5",'Raw_Data'!$A$2:$A$59,"Yes",'Raw_Data'!$D$2:$D$59,"โภชนาการ",'Raw_Data'!$E$2:$E$59,"สายสนับสนุนทางการแพทย์"),"")</x:f>
        <x:v>100</x:v>
      </x:c>
      <x:c r="AQ33" s="131" t="n">
        <x:f>IFERROR(100*COUNTIFS('Raw_Data'!$AJ$2:$AJ$59,"&gt;=1",'Raw_Data'!$AJ$2:$AJ$59,"&lt;=2",'Raw_Data'!$A$2:$A$59,"Yes",'Raw_Data'!$D$2:$D$59,"ห้องยา",'Raw_Data'!$E$2:$E$59,"สายสนับสนุนทางการแพทย์")/COUNTIFS('Raw_Data'!$AJ$2:$AJ$59,"&gt;=1",'Raw_Data'!$AJ$2:$AJ$59,"&lt;=5",'Raw_Data'!$A$2:$A$59,"Yes",'Raw_Data'!$D$2:$D$59,"ห้องยา",'Raw_Data'!$E$2:$E$59,"สายสนับสนุนทางการแพทย์"),"")</x:f>
        <x:v>83.33333333333333</x:v>
      </x:c>
      <x:c r="AR33" s="131" t="n">
        <x:f>IFERROR(100*COUNTIFS('Raw_Data'!$AJ$2:$AJ$59,"&gt;=1",'Raw_Data'!$AJ$2:$AJ$59,"&lt;=2",'Raw_Data'!$A$2:$A$59,"Yes",'Raw_Data'!$D$2:$D$59,"ห้องแลป",'Raw_Data'!$E$2:$E$59,"สายสนับสนุนทางการแพทย์")/COUNTIFS('Raw_Data'!$AJ$2:$AJ$59,"&gt;=1",'Raw_Data'!$AJ$2:$AJ$59,"&lt;=5",'Raw_Data'!$A$2:$A$59,"Yes",'Raw_Data'!$D$2:$D$59,"ห้องแลป",'Raw_Data'!$E$2:$E$59,"สายสนับสนุนทางการแพทย์"),"")</x:f>
        <x:v>50</x:v>
      </x:c>
      <x:c r="AS33" s="131" t="n">
        <x:f>IFERROR(100*COUNTIFS('Raw_Data'!$AJ$2:$AJ$59,"&gt;=1",'Raw_Data'!$AJ$2:$AJ$59,"&lt;=2",'Raw_Data'!$A$2:$A$59,"Yes",'Raw_Data'!$D$2:$D$59,"ห้องเอ็กซเรย์",'Raw_Data'!$E$2:$E$59,"สายสนับสนุนทางการแพทย์")/COUNTIFS('Raw_Data'!$AJ$2:$AJ$59,"&gt;=1",'Raw_Data'!$AJ$2:$AJ$59,"&lt;=5",'Raw_Data'!$A$2:$A$59,"Yes",'Raw_Data'!$D$2:$D$59,"ห้องเอ็กซเรย์",'Raw_Data'!$E$2:$E$59,"สายสนับสนุนทางการแพทย์"),"")</x:f>
        <x:v>33.333333333333336</x:v>
      </x:c>
      <x:c r="AT33" s="131" t="n">
        <x:f>IFERROR(100*COUNTIFS('Raw_Data'!$AJ$2:$AJ$59,"&gt;=1",'Raw_Data'!$AJ$2:$AJ$59,"&lt;=2",'Raw_Data'!$A$2:$A$59,"Yes",'Raw_Data'!$D$2:$D$59,"ERและเปล",'Raw_Data'!$E$2:$E$59,"สายสนับสนุนทางการแพทย์")/COUNTIFS('Raw_Data'!$AJ$2:$AJ$59,"&gt;=1",'Raw_Data'!$AJ$2:$AJ$59,"&lt;=5",'Raw_Data'!$A$2:$A$59,"Yes",'Raw_Data'!$D$2:$D$59,"ERและเปล",'Raw_Data'!$E$2:$E$59,"สายสนับสนุนทางการแพทย์"),"")</x:f>
        <x:v>0</x:v>
      </x:c>
      <x:c r="AU33" s="131" t="n">
        <x:f>IFERROR(100*COUNTIFS('Raw_Data'!$AJ$2:$AJ$59,"&gt;=1",'Raw_Data'!$AJ$2:$AJ$59,"&lt;=2",'Raw_Data'!$A$2:$A$59,"Yes",'Raw_Data'!$D$2:$D$59,"ICU",'Raw_Data'!$E$2:$E$59,"สายสนับสนุนทางการแพทย์")/COUNTIFS('Raw_Data'!$AJ$2:$AJ$59,"&gt;=1",'Raw_Data'!$AJ$2:$AJ$59,"&lt;=5",'Raw_Data'!$A$2:$A$59,"Yes",'Raw_Data'!$D$2:$D$59,"ICU",'Raw_Data'!$E$2:$E$59,"สายสนับสนุนทางการแพทย์"),"")</x:f>
        <x:v>100</x:v>
      </x:c>
      <x:c r="AV33" s="131" t="n">
        <x:f>IFERROR(100*COUNTIFS('Raw_Data'!$AJ$2:$AJ$59,"&gt;=1",'Raw_Data'!$AJ$2:$AJ$59,"&lt;=2",'Raw_Data'!$A$2:$A$59,"Yes",'Raw_Data'!$D$2:$D$59,"IPD",'Raw_Data'!$E$2:$E$59,"สายสนับสนุนทางการแพทย์")/COUNTIFS('Raw_Data'!$AJ$2:$AJ$59,"&gt;=1",'Raw_Data'!$AJ$2:$AJ$59,"&lt;=5",'Raw_Data'!$A$2:$A$59,"Yes",'Raw_Data'!$D$2:$D$59,"IPD",'Raw_Data'!$E$2:$E$59,"สายสนับสนุนทางการแพทย์"),"")</x:f>
        <x:v>50</x:v>
      </x:c>
      <x:c r="AW33" s="131" t="n">
        <x:f>IFERROR(100*COUNTIFS('Raw_Data'!$AJ$2:$AJ$59,"&gt;=1",'Raw_Data'!$AJ$2:$AJ$59,"&lt;=2",'Raw_Data'!$A$2:$A$59,"Yes",'Raw_Data'!$D$2:$D$59,"IT",'Raw_Data'!$E$2:$E$59,"สายสนับสนุนทางการแพทย์")/COUNTIFS('Raw_Data'!$AJ$2:$AJ$59,"&gt;=1",'Raw_Data'!$AJ$2:$AJ$59,"&lt;=5",'Raw_Data'!$A$2:$A$59,"Yes",'Raw_Data'!$D$2:$D$59,"IT",'Raw_Data'!$E$2:$E$59,"สายสนับสนุนทางการแพทย์"),"")</x:f>
        <x:v>100</x:v>
      </x:c>
    </x:row>
    <x:row r="34" ht="42" customHeight="1">
      <x:c r="A34" s="123"/>
      <x:c r="B34" s="124" t="str">
        <x:v>F5. ระหว่างการเปลี่ยนเวรหรือกะการทำงาน ข้อมูลสำคัญในการดูแลผู้ป่วย/ผู้รับบริการ มักถูกละทิ้งหรือละเลยโดยไม่มีการส่งต่อ</x:v>
      </x:c>
      <x:c r="C34" s="131" t="n">
        <x:f>IFERROR(100*COUNTIFS('Raw_Data'!$AK$2:$AK$59,"&gt;=1",'Raw_Data'!$AK$2:$AK$59,"&lt;=2",'Raw_Data'!$A$2:$A$59,"Yes")/COUNTIFS('Raw_Data'!$AK$2:$AK$59,"&gt;=1",'Raw_Data'!$AK$2:$AK$59,"&lt;=5",'Raw_Data'!$A$2:$A$59,"Yes"),"")</x:f>
        <x:v>68.96551724137932</x:v>
      </x:c>
      <x:c r="D34" s="131" t="n">
        <x:f>IFERROR(100*COUNTIFS('Raw_Data'!$AK$2:$AK$59,"&gt;=1",'Raw_Data'!$AK$2:$AK$59,"&lt;=2",'Raw_Data'!$A$2:$A$59,"Yes",'Raw_Data'!$D$2:$D$59,"การเงิน")/COUNTIFS('Raw_Data'!$AK$2:$AK$59,"&gt;=1",'Raw_Data'!$AK$2:$AK$59,"&lt;=5",'Raw_Data'!$A$2:$A$59,"Yes",'Raw_Data'!$D$2:$D$59,"การเงิน"),"")</x:f>
        <x:v>66.66666666666667</x:v>
      </x:c>
      <x:c r="E34" s="131" t="n">
        <x:f>IFERROR(100*COUNTIFS('Raw_Data'!$AK$2:$AK$59,"&gt;=1",'Raw_Data'!$AK$2:$AK$59,"&lt;=2",'Raw_Data'!$A$2:$A$59,"Yes",'Raw_Data'!$D$2:$D$59,"เคหรักษ์")/COUNTIFS('Raw_Data'!$AK$2:$AK$59,"&gt;=1",'Raw_Data'!$AK$2:$AK$59,"&lt;=5",'Raw_Data'!$A$2:$A$59,"Yes",'Raw_Data'!$D$2:$D$59,"เคหรักษ์"),"")</x:f>
        <x:v>0</x:v>
      </x:c>
      <x:c r="F34" s="131" t="n">
        <x:f>IFERROR(100*COUNTIFS('Raw_Data'!$AK$2:$AK$59,"&gt;=1",'Raw_Data'!$AK$2:$AK$59,"&lt;=2",'Raw_Data'!$A$2:$A$59,"Yes",'Raw_Data'!$D$2:$D$59,"จ่ายกลาง")/COUNTIFS('Raw_Data'!$AK$2:$AK$59,"&gt;=1",'Raw_Data'!$AK$2:$AK$59,"&lt;=5",'Raw_Data'!$A$2:$A$59,"Yes",'Raw_Data'!$D$2:$D$59,"จ่ายกลาง"),"")</x:f>
        <x:v>100</x:v>
      </x:c>
      <x:c r="G34" s="131" t="n">
        <x:f>IFERROR(100*COUNTIFS('Raw_Data'!$AK$2:$AK$59,"&gt;=1",'Raw_Data'!$AK$2:$AK$59,"&lt;=2",'Raw_Data'!$A$2:$A$59,"Yes",'Raw_Data'!$D$2:$D$59,"ช่างและสนาม")/COUNTIFS('Raw_Data'!$AK$2:$AK$59,"&gt;=1",'Raw_Data'!$AK$2:$AK$59,"&lt;=5",'Raw_Data'!$A$2:$A$59,"Yes",'Raw_Data'!$D$2:$D$59,"ช่างและสนาม"),"")</x:f>
        <x:v>50</x:v>
      </x:c>
      <x:c r="H34" s="131" t="n">
        <x:f>IFERROR(100*COUNTIFS('Raw_Data'!$AK$2:$AK$59,"&gt;=1",'Raw_Data'!$AK$2:$AK$59,"&lt;=2",'Raw_Data'!$A$2:$A$59,"Yes",'Raw_Data'!$D$2:$D$59,"ผู้ป่วยสัมพันธ์")/COUNTIFS('Raw_Data'!$AK$2:$AK$59,"&gt;=1",'Raw_Data'!$AK$2:$AK$59,"&lt;=5",'Raw_Data'!$A$2:$A$59,"Yes",'Raw_Data'!$D$2:$D$59,"ผู้ป่วยสัมพันธ์"),"")</x:f>
        <x:v>100</x:v>
      </x:c>
      <x:c r="I34" s="131" t="n">
        <x:f>IFERROR(100*COUNTIFS('Raw_Data'!$AK$2:$AK$59,"&gt;=1",'Raw_Data'!$AK$2:$AK$59,"&lt;=2",'Raw_Data'!$A$2:$A$59,"Yes",'Raw_Data'!$D$2:$D$59,"ฝ่ายการพยาบาล")/COUNTIFS('Raw_Data'!$AK$2:$AK$59,"&gt;=1",'Raw_Data'!$AK$2:$AK$59,"&lt;=5",'Raw_Data'!$A$2:$A$59,"Yes",'Raw_Data'!$D$2:$D$59,"ฝ่ายการพยาบาล"),"")</x:f>
        <x:v>100</x:v>
      </x:c>
      <x:c r="J34" s="131" t="n">
        <x:f>IFERROR(100*COUNTIFS('Raw_Data'!$AK$2:$AK$59,"&gt;=1",'Raw_Data'!$AK$2:$AK$59,"&lt;=2",'Raw_Data'!$A$2:$A$59,"Yes",'Raw_Data'!$D$2:$D$59,"โภชนาการ")/COUNTIFS('Raw_Data'!$AK$2:$AK$59,"&gt;=1",'Raw_Data'!$AK$2:$AK$59,"&lt;=5",'Raw_Data'!$A$2:$A$59,"Yes",'Raw_Data'!$D$2:$D$59,"โภชนาการ"),"")</x:f>
        <x:v>100</x:v>
      </x:c>
      <x:c r="K34" s="131" t="n">
        <x:f>IFERROR(100*COUNTIFS('Raw_Data'!$AK$2:$AK$59,"&gt;=1",'Raw_Data'!$AK$2:$AK$59,"&lt;=2",'Raw_Data'!$A$2:$A$59,"Yes",'Raw_Data'!$D$2:$D$59,"ยานพาหนะ")/COUNTIFS('Raw_Data'!$AK$2:$AK$59,"&gt;=1",'Raw_Data'!$AK$2:$AK$59,"&lt;=5",'Raw_Data'!$A$2:$A$59,"Yes",'Raw_Data'!$D$2:$D$59,"ยานพาหนะ"),"")</x:f>
        <x:v>100</x:v>
      </x:c>
      <x:c r="L34" s="131" t="n">
        <x:f>IFERROR(100*COUNTIFS('Raw_Data'!$AK$2:$AK$59,"&gt;=1",'Raw_Data'!$AK$2:$AK$59,"&lt;=2",'Raw_Data'!$A$2:$A$59,"Yes",'Raw_Data'!$D$2:$D$59,"สื่อสารการตลาด")/COUNTIFS('Raw_Data'!$AK$2:$AK$59,"&gt;=1",'Raw_Data'!$AK$2:$AK$59,"&lt;=5",'Raw_Data'!$A$2:$A$59,"Yes",'Raw_Data'!$D$2:$D$59,"สื่อสารการตลาด"),"")</x:f>
        <x:v>100</x:v>
      </x:c>
      <x:c r="M34" s="131" t="n">
        <x:f>IFERROR(100*COUNTIFS('Raw_Data'!$AK$2:$AK$59,"&gt;=1",'Raw_Data'!$AK$2:$AK$59,"&lt;=2",'Raw_Data'!$A$2:$A$59,"Yes",'Raw_Data'!$D$2:$D$59,"ห้องยา")/COUNTIFS('Raw_Data'!$AK$2:$AK$59,"&gt;=1",'Raw_Data'!$AK$2:$AK$59,"&lt;=5",'Raw_Data'!$A$2:$A$59,"Yes",'Raw_Data'!$D$2:$D$59,"ห้องยา"),"")</x:f>
        <x:v>100</x:v>
      </x:c>
      <x:c r="N34" s="131" t="n">
        <x:f>IFERROR(100*COUNTIFS('Raw_Data'!$AK$2:$AK$59,"&gt;=1",'Raw_Data'!$AK$2:$AK$59,"&lt;=2",'Raw_Data'!$A$2:$A$59,"Yes",'Raw_Data'!$D$2:$D$59,"ห้องแลป")/COUNTIFS('Raw_Data'!$AK$2:$AK$59,"&gt;=1",'Raw_Data'!$AK$2:$AK$59,"&lt;=5",'Raw_Data'!$A$2:$A$59,"Yes",'Raw_Data'!$D$2:$D$59,"ห้องแลป"),"")</x:f>
        <x:v>50</x:v>
      </x:c>
      <x:c r="O34" s="131" t="n">
        <x:f>IFERROR(100*COUNTIFS('Raw_Data'!$AK$2:$AK$59,"&gt;=1",'Raw_Data'!$AK$2:$AK$59,"&lt;=2",'Raw_Data'!$A$2:$A$59,"Yes",'Raw_Data'!$D$2:$D$59,"ห้องเอ็กซเรย์")/COUNTIFS('Raw_Data'!$AK$2:$AK$59,"&gt;=1",'Raw_Data'!$AK$2:$AK$59,"&lt;=5",'Raw_Data'!$A$2:$A$59,"Yes",'Raw_Data'!$D$2:$D$59,"ห้องเอ็กซเรย์"),"")</x:f>
        <x:v>33.333333333333336</x:v>
      </x:c>
      <x:c r="P34" s="131" t="n">
        <x:f>IFERROR(100*COUNTIFS('Raw_Data'!$AK$2:$AK$59,"&gt;=1",'Raw_Data'!$AK$2:$AK$59,"&lt;=2",'Raw_Data'!$A$2:$A$59,"Yes",'Raw_Data'!$D$2:$D$59,"ERและเปล")/COUNTIFS('Raw_Data'!$AK$2:$AK$59,"&gt;=1",'Raw_Data'!$AK$2:$AK$59,"&lt;=5",'Raw_Data'!$A$2:$A$59,"Yes",'Raw_Data'!$D$2:$D$59,"ERและเปล"),"")</x:f>
        <x:v>63.63636363636363</x:v>
      </x:c>
      <x:c r="Q34" s="131" t="n">
        <x:f>IFERROR(100*COUNTIFS('Raw_Data'!$AK$2:$AK$59,"&gt;=1",'Raw_Data'!$AK$2:$AK$59,"&lt;=2",'Raw_Data'!$A$2:$A$59,"Yes",'Raw_Data'!$D$2:$D$59,"HR")/COUNTIFS('Raw_Data'!$AK$2:$AK$59,"&gt;=1",'Raw_Data'!$AK$2:$AK$59,"&lt;=5",'Raw_Data'!$A$2:$A$59,"Yes",'Raw_Data'!$D$2:$D$59,"HR"),"")</x:f>
        <x:v>100</x:v>
      </x:c>
      <x:c r="R34" s="131" t="n">
        <x:f>IFERROR(100*COUNTIFS('Raw_Data'!$AK$2:$AK$59,"&gt;=1",'Raw_Data'!$AK$2:$AK$59,"&lt;=2",'Raw_Data'!$A$2:$A$59,"Yes",'Raw_Data'!$D$2:$D$59,"ICU")/COUNTIFS('Raw_Data'!$AK$2:$AK$59,"&gt;=1",'Raw_Data'!$AK$2:$AK$59,"&lt;=5",'Raw_Data'!$A$2:$A$59,"Yes",'Raw_Data'!$D$2:$D$59,"ICU"),"")</x:f>
        <x:v>75</x:v>
      </x:c>
      <x:c r="S34" s="131" t="n">
        <x:f>IFERROR(100*COUNTIFS('Raw_Data'!$AK$2:$AK$59,"&gt;=1",'Raw_Data'!$AK$2:$AK$59,"&lt;=2",'Raw_Data'!$A$2:$A$59,"Yes",'Raw_Data'!$D$2:$D$59,"IPD")/COUNTIFS('Raw_Data'!$AK$2:$AK$59,"&gt;=1",'Raw_Data'!$AK$2:$AK$59,"&lt;=5",'Raw_Data'!$A$2:$A$59,"Yes",'Raw_Data'!$D$2:$D$59,"IPD"),"")</x:f>
        <x:v>66.66666666666667</x:v>
      </x:c>
      <x:c r="T34" s="131" t="n">
        <x:f>IFERROR(100*COUNTIFS('Raw_Data'!$AK$2:$AK$59,"&gt;=1",'Raw_Data'!$AK$2:$AK$59,"&lt;=2",'Raw_Data'!$A$2:$A$59,"Yes",'Raw_Data'!$D$2:$D$59,"IT")/COUNTIFS('Raw_Data'!$AK$2:$AK$59,"&gt;=1",'Raw_Data'!$AK$2:$AK$59,"&lt;=5",'Raw_Data'!$A$2:$A$59,"Yes",'Raw_Data'!$D$2:$D$59,"IT"),"")</x:f>
        <x:v>50</x:v>
      </x:c>
      <x:c r="U34" s="131" t="n">
        <x:f>IFERROR(100*COUNTIFS('Raw_Data'!$AK$2:$AK$59,"&gt;=1",'Raw_Data'!$AK$2:$AK$59,"&lt;=2",'Raw_Data'!$A$2:$A$59,"Yes",'Raw_Data'!$D$2:$D$59,"OR")/COUNTIFS('Raw_Data'!$AK$2:$AK$59,"&gt;=1",'Raw_Data'!$AK$2:$AK$59,"&lt;=5",'Raw_Data'!$A$2:$A$59,"Yes",'Raw_Data'!$D$2:$D$59,"OR"),"")</x:f>
        <x:v>50</x:v>
      </x:c>
      <x:c r="V34" s="131" t="n">
        <x:f>IFERROR(100*COUNTIFS('Raw_Data'!$AK$2:$AK$59,"&gt;=1",'Raw_Data'!$AK$2:$AK$59,"&lt;=2",'Raw_Data'!$A$2:$A$59,"Yes",'Raw_Data'!$D$2:$D$59,"IPD",'Raw_Data'!$E$2:$E$59,"ผู้บริหาร")/COUNTIFS('Raw_Data'!$AK$2:$AK$59,"&gt;=1",'Raw_Data'!$AK$2:$AK$59,"&lt;=5",'Raw_Data'!$A$2:$A$59,"Yes",'Raw_Data'!$D$2:$D$59,"IPD",'Raw_Data'!$E$2:$E$59,"ผู้บริหาร"),"")</x:f>
        <x:v>100</x:v>
      </x:c>
      <x:c r="W34" s="131" t="n">
        <x:f>IFERROR(100*COUNTIFS('Raw_Data'!$AK$2:$AK$59,"&gt;=1",'Raw_Data'!$AK$2:$AK$59,"&lt;=2",'Raw_Data'!$A$2:$A$59,"Yes",'Raw_Data'!$D$2:$D$59,"ฝ่ายการพยาบาล",'Raw_Data'!$E$2:$E$59,"สายวิชาชีพสาธารณสุข")/COUNTIFS('Raw_Data'!$AK$2:$AK$59,"&gt;=1",'Raw_Data'!$AK$2:$AK$59,"&lt;=5",'Raw_Data'!$A$2:$A$59,"Yes",'Raw_Data'!$D$2:$D$59,"ฝ่ายการพยาบาล",'Raw_Data'!$E$2:$E$59,"สายวิชาชีพสาธารณสุข"),"")</x:f>
        <x:v>100</x:v>
      </x:c>
      <x:c r="X34" s="131" t="n">
        <x:f>IFERROR(100*COUNTIFS('Raw_Data'!$AK$2:$AK$59,"&gt;=1",'Raw_Data'!$AK$2:$AK$59,"&lt;=2",'Raw_Data'!$A$2:$A$59,"Yes",'Raw_Data'!$D$2:$D$59,"ERและเปล",'Raw_Data'!$E$2:$E$59,"สายวิชาชีพสาธารณสุข")/COUNTIFS('Raw_Data'!$AK$2:$AK$59,"&gt;=1",'Raw_Data'!$AK$2:$AK$59,"&lt;=5",'Raw_Data'!$A$2:$A$59,"Yes",'Raw_Data'!$D$2:$D$59,"ERและเปล",'Raw_Data'!$E$2:$E$59,"สายวิชาชีพสาธารณสุข"),"")</x:f>
        <x:v>71.42857142857143</x:v>
      </x:c>
      <x:c r="Y34" s="131" t="n">
        <x:f>IFERROR(100*COUNTIFS('Raw_Data'!$AK$2:$AK$59,"&gt;=1",'Raw_Data'!$AK$2:$AK$59,"&lt;=2",'Raw_Data'!$A$2:$A$59,"Yes",'Raw_Data'!$D$2:$D$59,"ICU",'Raw_Data'!$E$2:$E$59,"สายวิชาชีพสาธารณสุข")/COUNTIFS('Raw_Data'!$AK$2:$AK$59,"&gt;=1",'Raw_Data'!$AK$2:$AK$59,"&lt;=5",'Raw_Data'!$A$2:$A$59,"Yes",'Raw_Data'!$D$2:$D$59,"ICU",'Raw_Data'!$E$2:$E$59,"สายวิชาชีพสาธารณสุข"),"")</x:f>
        <x:v>100</x:v>
      </x:c>
      <x:c r="Z34" s="131" t="n">
        <x:f>IFERROR(100*COUNTIFS('Raw_Data'!$AK$2:$AK$59,"&gt;=1",'Raw_Data'!$AK$2:$AK$59,"&lt;=2",'Raw_Data'!$A$2:$A$59,"Yes",'Raw_Data'!$D$2:$D$59,"IPD",'Raw_Data'!$E$2:$E$59,"สายวิชาชีพสาธารณสุข")/COUNTIFS('Raw_Data'!$AK$2:$AK$59,"&gt;=1",'Raw_Data'!$AK$2:$AK$59,"&lt;=5",'Raw_Data'!$A$2:$A$59,"Yes",'Raw_Data'!$D$2:$D$59,"IPD",'Raw_Data'!$E$2:$E$59,"สายวิชาชีพสาธารณสุข"),"")</x:f>
        <x:v>100</x:v>
      </x:c>
      <x:c r="AA34" s="131" t="n">
        <x:f>IFERROR(100*COUNTIFS('Raw_Data'!$AK$2:$AK$59,"&gt;=1",'Raw_Data'!$AK$2:$AK$59,"&lt;=2",'Raw_Data'!$A$2:$A$59,"Yes",'Raw_Data'!$D$2:$D$59,"OR",'Raw_Data'!$E$2:$E$59,"สายวิชาชีพสาธารณสุข")/COUNTIFS('Raw_Data'!$AK$2:$AK$59,"&gt;=1",'Raw_Data'!$AK$2:$AK$59,"&lt;=5",'Raw_Data'!$A$2:$A$59,"Yes",'Raw_Data'!$D$2:$D$59,"OR",'Raw_Data'!$E$2:$E$59,"สายวิชาชีพสาธารณสุข"),"")</x:f>
        <x:v>50</x:v>
      </x:c>
      <x:c r="AB34" s="131" t="n">
        <x:f>IFERROR(100*COUNTIFS('Raw_Data'!$AK$2:$AK$59,"&gt;=1",'Raw_Data'!$AK$2:$AK$59,"&lt;=2",'Raw_Data'!$A$2:$A$59,"Yes",'Raw_Data'!$D$2:$D$59,"การเงิน",'Raw_Data'!$E$2:$E$59,"สายสนับสนุนทั่วไป")/COUNTIFS('Raw_Data'!$AK$2:$AK$59,"&gt;=1",'Raw_Data'!$AK$2:$AK$59,"&lt;=5",'Raw_Data'!$A$2:$A$59,"Yes",'Raw_Data'!$D$2:$D$59,"การเงิน",'Raw_Data'!$E$2:$E$59,"สายสนับสนุนทั่วไป"),"")</x:f>
        <x:v>66.66666666666667</x:v>
      </x:c>
      <x:c r="AC34" s="131" t="n">
        <x:f>IFERROR(100*COUNTIFS('Raw_Data'!$AK$2:$AK$59,"&gt;=1",'Raw_Data'!$AK$2:$AK$59,"&lt;=2",'Raw_Data'!$A$2:$A$59,"Yes",'Raw_Data'!$D$2:$D$59,"เคหรักษ์",'Raw_Data'!$E$2:$E$59,"สายสนับสนุนทั่วไป")/COUNTIFS('Raw_Data'!$AK$2:$AK$59,"&gt;=1",'Raw_Data'!$AK$2:$AK$59,"&lt;=5",'Raw_Data'!$A$2:$A$59,"Yes",'Raw_Data'!$D$2:$D$59,"เคหรักษ์",'Raw_Data'!$E$2:$E$59,"สายสนับสนุนทั่วไป"),"")</x:f>
        <x:v>0</x:v>
      </x:c>
      <x:c r="AD34" s="131" t="n">
        <x:f>IFERROR(100*COUNTIFS('Raw_Data'!$AK$2:$AK$59,"&gt;=1",'Raw_Data'!$AK$2:$AK$59,"&lt;=2",'Raw_Data'!$A$2:$A$59,"Yes",'Raw_Data'!$D$2:$D$59,"จ่ายกลาง",'Raw_Data'!$E$2:$E$59,"สายสนับสนุนทั่วไป")/COUNTIFS('Raw_Data'!$AK$2:$AK$59,"&gt;=1",'Raw_Data'!$AK$2:$AK$59,"&lt;=5",'Raw_Data'!$A$2:$A$59,"Yes",'Raw_Data'!$D$2:$D$59,"จ่ายกลาง",'Raw_Data'!$E$2:$E$59,"สายสนับสนุนทั่วไป"),"")</x:f>
        <x:v>100</x:v>
      </x:c>
      <x:c r="AE34" s="131" t="n">
        <x:f>IFERROR(100*COUNTIFS('Raw_Data'!$AK$2:$AK$59,"&gt;=1",'Raw_Data'!$AK$2:$AK$59,"&lt;=2",'Raw_Data'!$A$2:$A$59,"Yes",'Raw_Data'!$D$2:$D$59,"ช่างและสนาม",'Raw_Data'!$E$2:$E$59,"สายสนับสนุนทั่วไป")/COUNTIFS('Raw_Data'!$AK$2:$AK$59,"&gt;=1",'Raw_Data'!$AK$2:$AK$59,"&lt;=5",'Raw_Data'!$A$2:$A$59,"Yes",'Raw_Data'!$D$2:$D$59,"ช่างและสนาม",'Raw_Data'!$E$2:$E$59,"สายสนับสนุนทั่วไป"),"")</x:f>
        <x:v>50</x:v>
      </x:c>
      <x:c r="AF34" s="131" t="n">
        <x:f>IFERROR(100*COUNTIFS('Raw_Data'!$AK$2:$AK$59,"&gt;=1",'Raw_Data'!$AK$2:$AK$59,"&lt;=2",'Raw_Data'!$A$2:$A$59,"Yes",'Raw_Data'!$D$2:$D$59,"ผู้ป่วยสัมพันธ์",'Raw_Data'!$E$2:$E$59,"สายสนับสนุนทั่วไป")/COUNTIFS('Raw_Data'!$AK$2:$AK$59,"&gt;=1",'Raw_Data'!$AK$2:$AK$59,"&lt;=5",'Raw_Data'!$A$2:$A$59,"Yes",'Raw_Data'!$D$2:$D$59,"ผู้ป่วยสัมพันธ์",'Raw_Data'!$E$2:$E$59,"สายสนับสนุนทั่วไป"),"")</x:f>
        <x:v>100</x:v>
      </x:c>
      <x:c r="AG34" s="131" t="n">
        <x:f>IFERROR(100*COUNTIFS('Raw_Data'!$AK$2:$AK$59,"&gt;=1",'Raw_Data'!$AK$2:$AK$59,"&lt;=2",'Raw_Data'!$A$2:$A$59,"Yes",'Raw_Data'!$D$2:$D$59,"ยานพาหนะ",'Raw_Data'!$E$2:$E$59,"สายสนับสนุนทั่วไป")/COUNTIFS('Raw_Data'!$AK$2:$AK$59,"&gt;=1",'Raw_Data'!$AK$2:$AK$59,"&lt;=5",'Raw_Data'!$A$2:$A$59,"Yes",'Raw_Data'!$D$2:$D$59,"ยานพาหนะ",'Raw_Data'!$E$2:$E$59,"สายสนับสนุนทั่วไป"),"")</x:f>
        <x:v>100</x:v>
      </x:c>
      <x:c r="AH34" s="131" t="n">
        <x:f>IFERROR(100*COUNTIFS('Raw_Data'!$AK$2:$AK$59,"&gt;=1",'Raw_Data'!$AK$2:$AK$59,"&lt;=2",'Raw_Data'!$A$2:$A$59,"Yes",'Raw_Data'!$D$2:$D$59,"สื่อสารการตลาด",'Raw_Data'!$E$2:$E$59,"สายสนับสนุนทั่วไป")/COUNTIFS('Raw_Data'!$AK$2:$AK$59,"&gt;=1",'Raw_Data'!$AK$2:$AK$59,"&lt;=5",'Raw_Data'!$A$2:$A$59,"Yes",'Raw_Data'!$D$2:$D$59,"สื่อสารการตลาด",'Raw_Data'!$E$2:$E$59,"สายสนับสนุนทั่วไป"),"")</x:f>
        <x:v>100</x:v>
      </x:c>
      <x:c r="AI34" s="131" t="n">
        <x:f>IFERROR(100*COUNTIFS('Raw_Data'!$AK$2:$AK$59,"&gt;=1",'Raw_Data'!$AK$2:$AK$59,"&lt;=2",'Raw_Data'!$A$2:$A$59,"Yes",'Raw_Data'!$D$2:$D$59,"ERและเปล",'Raw_Data'!$E$2:$E$59,"สายสนับสนุนทั่วไป")/COUNTIFS('Raw_Data'!$AK$2:$AK$59,"&gt;=1",'Raw_Data'!$AK$2:$AK$59,"&lt;=5",'Raw_Data'!$A$2:$A$59,"Yes",'Raw_Data'!$D$2:$D$59,"ERและเปล",'Raw_Data'!$E$2:$E$59,"สายสนับสนุนทั่วไป"),"")</x:f>
        <x:v>33.333333333333336</x:v>
      </x:c>
      <x:c r="AJ34" s="131" t="n">
        <x:f>IFERROR(100*COUNTIFS('Raw_Data'!$AK$2:$AK$59,"&gt;=1",'Raw_Data'!$AK$2:$AK$59,"&lt;=2",'Raw_Data'!$A$2:$A$59,"Yes",'Raw_Data'!$D$2:$D$59,"HR",'Raw_Data'!$E$2:$E$59,"สายสนับสนุนทั่วไป")/COUNTIFS('Raw_Data'!$AK$2:$AK$59,"&gt;=1",'Raw_Data'!$AK$2:$AK$59,"&lt;=5",'Raw_Data'!$A$2:$A$59,"Yes",'Raw_Data'!$D$2:$D$59,"HR",'Raw_Data'!$E$2:$E$59,"สายสนับสนุนทั่วไป"),"")</x:f>
        <x:v>100</x:v>
      </x:c>
      <x:c r="AK34" s="131" t="n">
        <x:f>IFERROR(100*COUNTIFS('Raw_Data'!$AK$2:$AK$59,"&gt;=1",'Raw_Data'!$AK$2:$AK$59,"&lt;=2",'Raw_Data'!$A$2:$A$59,"Yes",'Raw_Data'!$D$2:$D$59,"ICU",'Raw_Data'!$E$2:$E$59,"สายสนับสนุนทั่วไป")/COUNTIFS('Raw_Data'!$AK$2:$AK$59,"&gt;=1",'Raw_Data'!$AK$2:$AK$59,"&lt;=5",'Raw_Data'!$A$2:$A$59,"Yes",'Raw_Data'!$D$2:$D$59,"ICU",'Raw_Data'!$E$2:$E$59,"สายสนับสนุนทั่วไป"),"")</x:f>
        <x:v>0</x:v>
      </x:c>
      <x:c r="AL34" s="131" t="n">
        <x:f>IFERROR(100*COUNTIFS('Raw_Data'!$AK$2:$AK$59,"&gt;=1",'Raw_Data'!$AK$2:$AK$59,"&lt;=2",'Raw_Data'!$A$2:$A$59,"Yes",'Raw_Data'!$D$2:$D$59,"IPD",'Raw_Data'!$E$2:$E$59,"สายสนับสนุนทั่วไป")/COUNTIFS('Raw_Data'!$AK$2:$AK$59,"&gt;=1",'Raw_Data'!$AK$2:$AK$59,"&lt;=5",'Raw_Data'!$A$2:$A$59,"Yes",'Raw_Data'!$D$2:$D$59,"IPD",'Raw_Data'!$E$2:$E$59,"สายสนับสนุนทั่วไป"),"")</x:f>
        <x:v>0</x:v>
      </x:c>
      <x:c r="AM34" s="131" t="n">
        <x:f>IFERROR(100*COUNTIFS('Raw_Data'!$AK$2:$AK$59,"&gt;=1",'Raw_Data'!$AK$2:$AK$59,"&lt;=2",'Raw_Data'!$A$2:$A$59,"Yes",'Raw_Data'!$D$2:$D$59,"IT",'Raw_Data'!$E$2:$E$59,"สายสนับสนุนทั่วไป")/COUNTIFS('Raw_Data'!$AK$2:$AK$59,"&gt;=1",'Raw_Data'!$AK$2:$AK$59,"&lt;=5",'Raw_Data'!$A$2:$A$59,"Yes",'Raw_Data'!$D$2:$D$59,"IT",'Raw_Data'!$E$2:$E$59,"สายสนับสนุนทั่วไป"),"")</x:f>
        <x:v>100</x:v>
      </x:c>
      <x:c r="AN34" s="131" t="n">
        <x:f>IFERROR(100*COUNTIFS('Raw_Data'!$AK$2:$AK$59,"&gt;=1",'Raw_Data'!$AK$2:$AK$59,"&lt;=2",'Raw_Data'!$A$2:$A$59,"Yes",'Raw_Data'!$D$2:$D$59,"ผู้ป่วยสัมพันธ์",'Raw_Data'!$E$2:$E$59,"สายสนับสนุนทางการแพทย์")/COUNTIFS('Raw_Data'!$AK$2:$AK$59,"&gt;=1",'Raw_Data'!$AK$2:$AK$59,"&lt;=5",'Raw_Data'!$A$2:$A$59,"Yes",'Raw_Data'!$D$2:$D$59,"ผู้ป่วยสัมพันธ์",'Raw_Data'!$E$2:$E$59,"สายสนับสนุนทางการแพทย์"),"")</x:f>
        <x:v>100</x:v>
      </x:c>
      <x:c r="AO34" s="131" t="n">
        <x:f>IFERROR(100*COUNTIFS('Raw_Data'!$AK$2:$AK$59,"&gt;=1",'Raw_Data'!$AK$2:$AK$59,"&lt;=2",'Raw_Data'!$A$2:$A$59,"Yes",'Raw_Data'!$D$2:$D$59,"ฝ่ายการพยาบาล",'Raw_Data'!$E$2:$E$59,"สายสนับสนุนทางการแพทย์")/COUNTIFS('Raw_Data'!$AK$2:$AK$59,"&gt;=1",'Raw_Data'!$AK$2:$AK$59,"&lt;=5",'Raw_Data'!$A$2:$A$59,"Yes",'Raw_Data'!$D$2:$D$59,"ฝ่ายการพยาบาล",'Raw_Data'!$E$2:$E$59,"สายสนับสนุนทางการแพทย์"),"")</x:f>
        <x:v>100</x:v>
      </x:c>
      <x:c r="AP34" s="131" t="n">
        <x:f>IFERROR(100*COUNTIFS('Raw_Data'!$AK$2:$AK$59,"&gt;=1",'Raw_Data'!$AK$2:$AK$59,"&lt;=2",'Raw_Data'!$A$2:$A$59,"Yes",'Raw_Data'!$D$2:$D$59,"โภชนาการ",'Raw_Data'!$E$2:$E$59,"สายสนับสนุนทางการแพทย์")/COUNTIFS('Raw_Data'!$AK$2:$AK$59,"&gt;=1",'Raw_Data'!$AK$2:$AK$59,"&lt;=5",'Raw_Data'!$A$2:$A$59,"Yes",'Raw_Data'!$D$2:$D$59,"โภชนาการ",'Raw_Data'!$E$2:$E$59,"สายสนับสนุนทางการแพทย์"),"")</x:f>
        <x:v>100</x:v>
      </x:c>
      <x:c r="AQ34" s="131" t="n">
        <x:f>IFERROR(100*COUNTIFS('Raw_Data'!$AK$2:$AK$59,"&gt;=1",'Raw_Data'!$AK$2:$AK$59,"&lt;=2",'Raw_Data'!$A$2:$A$59,"Yes",'Raw_Data'!$D$2:$D$59,"ห้องยา",'Raw_Data'!$E$2:$E$59,"สายสนับสนุนทางการแพทย์")/COUNTIFS('Raw_Data'!$AK$2:$AK$59,"&gt;=1",'Raw_Data'!$AK$2:$AK$59,"&lt;=5",'Raw_Data'!$A$2:$A$59,"Yes",'Raw_Data'!$D$2:$D$59,"ห้องยา",'Raw_Data'!$E$2:$E$59,"สายสนับสนุนทางการแพทย์"),"")</x:f>
        <x:v>100</x:v>
      </x:c>
      <x:c r="AR34" s="131" t="n">
        <x:f>IFERROR(100*COUNTIFS('Raw_Data'!$AK$2:$AK$59,"&gt;=1",'Raw_Data'!$AK$2:$AK$59,"&lt;=2",'Raw_Data'!$A$2:$A$59,"Yes",'Raw_Data'!$D$2:$D$59,"ห้องแลป",'Raw_Data'!$E$2:$E$59,"สายสนับสนุนทางการแพทย์")/COUNTIFS('Raw_Data'!$AK$2:$AK$59,"&gt;=1",'Raw_Data'!$AK$2:$AK$59,"&lt;=5",'Raw_Data'!$A$2:$A$59,"Yes",'Raw_Data'!$D$2:$D$59,"ห้องแลป",'Raw_Data'!$E$2:$E$59,"สายสนับสนุนทางการแพทย์"),"")</x:f>
        <x:v>50</x:v>
      </x:c>
      <x:c r="AS34" s="131" t="n">
        <x:f>IFERROR(100*COUNTIFS('Raw_Data'!$AK$2:$AK$59,"&gt;=1",'Raw_Data'!$AK$2:$AK$59,"&lt;=2",'Raw_Data'!$A$2:$A$59,"Yes",'Raw_Data'!$D$2:$D$59,"ห้องเอ็กซเรย์",'Raw_Data'!$E$2:$E$59,"สายสนับสนุนทางการแพทย์")/COUNTIFS('Raw_Data'!$AK$2:$AK$59,"&gt;=1",'Raw_Data'!$AK$2:$AK$59,"&lt;=5",'Raw_Data'!$A$2:$A$59,"Yes",'Raw_Data'!$D$2:$D$59,"ห้องเอ็กซเรย์",'Raw_Data'!$E$2:$E$59,"สายสนับสนุนทางการแพทย์"),"")</x:f>
        <x:v>33.333333333333336</x:v>
      </x:c>
      <x:c r="AT34" s="131" t="n">
        <x:f>IFERROR(100*COUNTIFS('Raw_Data'!$AK$2:$AK$59,"&gt;=1",'Raw_Data'!$AK$2:$AK$59,"&lt;=2",'Raw_Data'!$A$2:$A$59,"Yes",'Raw_Data'!$D$2:$D$59,"ERและเปล",'Raw_Data'!$E$2:$E$59,"สายสนับสนุนทางการแพทย์")/COUNTIFS('Raw_Data'!$AK$2:$AK$59,"&gt;=1",'Raw_Data'!$AK$2:$AK$59,"&lt;=5",'Raw_Data'!$A$2:$A$59,"Yes",'Raw_Data'!$D$2:$D$59,"ERและเปล",'Raw_Data'!$E$2:$E$59,"สายสนับสนุนทางการแพทย์"),"")</x:f>
        <x:v>100</x:v>
      </x:c>
      <x:c r="AU34" s="131" t="n">
        <x:f>IFERROR(100*COUNTIFS('Raw_Data'!$AK$2:$AK$59,"&gt;=1",'Raw_Data'!$AK$2:$AK$59,"&lt;=2",'Raw_Data'!$A$2:$A$59,"Yes",'Raw_Data'!$D$2:$D$59,"ICU",'Raw_Data'!$E$2:$E$59,"สายสนับสนุนทางการแพทย์")/COUNTIFS('Raw_Data'!$AK$2:$AK$59,"&gt;=1",'Raw_Data'!$AK$2:$AK$59,"&lt;=5",'Raw_Data'!$A$2:$A$59,"Yes",'Raw_Data'!$D$2:$D$59,"ICU",'Raw_Data'!$E$2:$E$59,"สายสนับสนุนทางการแพทย์"),"")</x:f>
        <x:v>100</x:v>
      </x:c>
      <x:c r="AV34" s="131" t="n">
        <x:f>IFERROR(100*COUNTIFS('Raw_Data'!$AK$2:$AK$59,"&gt;=1",'Raw_Data'!$AK$2:$AK$59,"&lt;=2",'Raw_Data'!$A$2:$A$59,"Yes",'Raw_Data'!$D$2:$D$59,"IPD",'Raw_Data'!$E$2:$E$59,"สายสนับสนุนทางการแพทย์")/COUNTIFS('Raw_Data'!$AK$2:$AK$59,"&gt;=1",'Raw_Data'!$AK$2:$AK$59,"&lt;=5",'Raw_Data'!$A$2:$A$59,"Yes",'Raw_Data'!$D$2:$D$59,"IPD",'Raw_Data'!$E$2:$E$59,"สายสนับสนุนทางการแพทย์"),"")</x:f>
        <x:v>50</x:v>
      </x:c>
      <x:c r="AW34" s="131" t="n">
        <x:f>IFERROR(100*COUNTIFS('Raw_Data'!$AK$2:$AK$59,"&gt;=1",'Raw_Data'!$AK$2:$AK$59,"&lt;=2",'Raw_Data'!$A$2:$A$59,"Yes",'Raw_Data'!$D$2:$D$59,"IT",'Raw_Data'!$E$2:$E$59,"สายสนับสนุนทางการแพทย์")/COUNTIFS('Raw_Data'!$AK$2:$AK$59,"&gt;=1",'Raw_Data'!$AK$2:$AK$59,"&lt;=5",'Raw_Data'!$A$2:$A$59,"Yes",'Raw_Data'!$D$2:$D$59,"IT",'Raw_Data'!$E$2:$E$59,"สายสนับสนุนทางการแพทย์"),"")</x:f>
        <x:v>0</x:v>
      </x:c>
    </x:row>
    <x:row r="35" ht="42" customHeight="1">
      <x:c r="A35" s="125"/>
      <x:c r="B35" s="126" t="str">
        <x:v>F6. ระหว่างการเปลี่ยนเวรหรือกะการทำงานมีเวลาเพียงพอในการแลกเปลี่ยนและส่งต่อข้อมูลสำคัญการดูแลผู้ป่วย/ผู้รับบริการ ที่สำคัญทั้งหมด</x:v>
      </x:c>
      <x:c r="C35" s="131" t="n">
        <x:f>IFERROR(100*COUNTIFS('Raw_Data'!$AL$2:$AL$59,"&gt;=4",'Raw_Data'!$AL$2:$AL$59,"&lt;=5",'Raw_Data'!$A$2:$A$59,"Yes")/COUNTIFS('Raw_Data'!$AL$2:$AL$59,"&gt;=1",'Raw_Data'!$AL$2:$AL$59,"&lt;=5",'Raw_Data'!$A$2:$A$59,"Yes"),"")</x:f>
        <x:v>55.172413793103445</x:v>
      </x:c>
      <x:c r="D35" s="131" t="n">
        <x:f>IFERROR(100*COUNTIFS('Raw_Data'!$AL$2:$AL$59,"&gt;=4",'Raw_Data'!$AL$2:$AL$59,"&lt;=5",'Raw_Data'!$A$2:$A$59,"Yes",'Raw_Data'!$D$2:$D$59,"การเงิน")/COUNTIFS('Raw_Data'!$AL$2:$AL$59,"&gt;=1",'Raw_Data'!$AL$2:$AL$59,"&lt;=5",'Raw_Data'!$A$2:$A$59,"Yes",'Raw_Data'!$D$2:$D$59,"การเงิน"),"")</x:f>
        <x:v>33.333333333333336</x:v>
      </x:c>
      <x:c r="E35" s="131" t="n">
        <x:f>IFERROR(100*COUNTIFS('Raw_Data'!$AL$2:$AL$59,"&gt;=4",'Raw_Data'!$AL$2:$AL$59,"&lt;=5",'Raw_Data'!$A$2:$A$59,"Yes",'Raw_Data'!$D$2:$D$59,"เคหรักษ์")/COUNTIFS('Raw_Data'!$AL$2:$AL$59,"&gt;=1",'Raw_Data'!$AL$2:$AL$59,"&lt;=5",'Raw_Data'!$A$2:$A$59,"Yes",'Raw_Data'!$D$2:$D$59,"เคหรักษ์"),"")</x:f>
        <x:v>50</x:v>
      </x:c>
      <x:c r="F35" s="131" t="n">
        <x:f>IFERROR(100*COUNTIFS('Raw_Data'!$AL$2:$AL$59,"&gt;=4",'Raw_Data'!$AL$2:$AL$59,"&lt;=5",'Raw_Data'!$A$2:$A$59,"Yes",'Raw_Data'!$D$2:$D$59,"จ่ายกลาง")/COUNTIFS('Raw_Data'!$AL$2:$AL$59,"&gt;=1",'Raw_Data'!$AL$2:$AL$59,"&lt;=5",'Raw_Data'!$A$2:$A$59,"Yes",'Raw_Data'!$D$2:$D$59,"จ่ายกลาง"),"")</x:f>
        <x:v>100</x:v>
      </x:c>
      <x:c r="G35" s="131" t="n">
        <x:f>IFERROR(100*COUNTIFS('Raw_Data'!$AL$2:$AL$59,"&gt;=4",'Raw_Data'!$AL$2:$AL$59,"&lt;=5",'Raw_Data'!$A$2:$A$59,"Yes",'Raw_Data'!$D$2:$D$59,"ช่างและสนาม")/COUNTIFS('Raw_Data'!$AL$2:$AL$59,"&gt;=1",'Raw_Data'!$AL$2:$AL$59,"&lt;=5",'Raw_Data'!$A$2:$A$59,"Yes",'Raw_Data'!$D$2:$D$59,"ช่างและสนาม"),"")</x:f>
        <x:v>50</x:v>
      </x:c>
      <x:c r="H35" s="131" t="n">
        <x:f>IFERROR(100*COUNTIFS('Raw_Data'!$AL$2:$AL$59,"&gt;=4",'Raw_Data'!$AL$2:$AL$59,"&lt;=5",'Raw_Data'!$A$2:$A$59,"Yes",'Raw_Data'!$D$2:$D$59,"ผู้ป่วยสัมพันธ์")/COUNTIFS('Raw_Data'!$AL$2:$AL$59,"&gt;=1",'Raw_Data'!$AL$2:$AL$59,"&lt;=5",'Raw_Data'!$A$2:$A$59,"Yes",'Raw_Data'!$D$2:$D$59,"ผู้ป่วยสัมพันธ์"),"")</x:f>
        <x:v>50</x:v>
      </x:c>
      <x:c r="I35" s="131" t="n">
        <x:f>IFERROR(100*COUNTIFS('Raw_Data'!$AL$2:$AL$59,"&gt;=4",'Raw_Data'!$AL$2:$AL$59,"&lt;=5",'Raw_Data'!$A$2:$A$59,"Yes",'Raw_Data'!$D$2:$D$59,"ฝ่ายการพยาบาล")/COUNTIFS('Raw_Data'!$AL$2:$AL$59,"&gt;=1",'Raw_Data'!$AL$2:$AL$59,"&lt;=5",'Raw_Data'!$A$2:$A$59,"Yes",'Raw_Data'!$D$2:$D$59,"ฝ่ายการพยาบาล"),"")</x:f>
        <x:v>50</x:v>
      </x:c>
      <x:c r="J35" s="131" t="n">
        <x:f>IFERROR(100*COUNTIFS('Raw_Data'!$AL$2:$AL$59,"&gt;=4",'Raw_Data'!$AL$2:$AL$59,"&lt;=5",'Raw_Data'!$A$2:$A$59,"Yes",'Raw_Data'!$D$2:$D$59,"โภชนาการ")/COUNTIFS('Raw_Data'!$AL$2:$AL$59,"&gt;=1",'Raw_Data'!$AL$2:$AL$59,"&lt;=5",'Raw_Data'!$A$2:$A$59,"Yes",'Raw_Data'!$D$2:$D$59,"โภชนาการ"),"")</x:f>
        <x:v>100</x:v>
      </x:c>
      <x:c r="K35" s="131" t="n">
        <x:f>IFERROR(100*COUNTIFS('Raw_Data'!$AL$2:$AL$59,"&gt;=4",'Raw_Data'!$AL$2:$AL$59,"&lt;=5",'Raw_Data'!$A$2:$A$59,"Yes",'Raw_Data'!$D$2:$D$59,"ยานพาหนะ")/COUNTIFS('Raw_Data'!$AL$2:$AL$59,"&gt;=1",'Raw_Data'!$AL$2:$AL$59,"&lt;=5",'Raw_Data'!$A$2:$A$59,"Yes",'Raw_Data'!$D$2:$D$59,"ยานพาหนะ"),"")</x:f>
        <x:v>100</x:v>
      </x:c>
      <x:c r="L35" s="131" t="n">
        <x:f>IFERROR(100*COUNTIFS('Raw_Data'!$AL$2:$AL$59,"&gt;=4",'Raw_Data'!$AL$2:$AL$59,"&lt;=5",'Raw_Data'!$A$2:$A$59,"Yes",'Raw_Data'!$D$2:$D$59,"สื่อสารการตลาด")/COUNTIFS('Raw_Data'!$AL$2:$AL$59,"&gt;=1",'Raw_Data'!$AL$2:$AL$59,"&lt;=5",'Raw_Data'!$A$2:$A$59,"Yes",'Raw_Data'!$D$2:$D$59,"สื่อสารการตลาด"),"")</x:f>
        <x:v>100</x:v>
      </x:c>
      <x:c r="M35" s="131" t="n">
        <x:f>IFERROR(100*COUNTIFS('Raw_Data'!$AL$2:$AL$59,"&gt;=4",'Raw_Data'!$AL$2:$AL$59,"&lt;=5",'Raw_Data'!$A$2:$A$59,"Yes",'Raw_Data'!$D$2:$D$59,"ห้องยา")/COUNTIFS('Raw_Data'!$AL$2:$AL$59,"&gt;=1",'Raw_Data'!$AL$2:$AL$59,"&lt;=5",'Raw_Data'!$A$2:$A$59,"Yes",'Raw_Data'!$D$2:$D$59,"ห้องยา"),"")</x:f>
        <x:v>83.33333333333333</x:v>
      </x:c>
      <x:c r="N35" s="131" t="n">
        <x:f>IFERROR(100*COUNTIFS('Raw_Data'!$AL$2:$AL$59,"&gt;=4",'Raw_Data'!$AL$2:$AL$59,"&lt;=5",'Raw_Data'!$A$2:$A$59,"Yes",'Raw_Data'!$D$2:$D$59,"ห้องแลป")/COUNTIFS('Raw_Data'!$AL$2:$AL$59,"&gt;=1",'Raw_Data'!$AL$2:$AL$59,"&lt;=5",'Raw_Data'!$A$2:$A$59,"Yes",'Raw_Data'!$D$2:$D$59,"ห้องแลป"),"")</x:f>
        <x:v>0</x:v>
      </x:c>
      <x:c r="O35" s="131" t="n">
        <x:f>IFERROR(100*COUNTIFS('Raw_Data'!$AL$2:$AL$59,"&gt;=4",'Raw_Data'!$AL$2:$AL$59,"&lt;=5",'Raw_Data'!$A$2:$A$59,"Yes",'Raw_Data'!$D$2:$D$59,"ห้องเอ็กซเรย์")/COUNTIFS('Raw_Data'!$AL$2:$AL$59,"&gt;=1",'Raw_Data'!$AL$2:$AL$59,"&lt;=5",'Raw_Data'!$A$2:$A$59,"Yes",'Raw_Data'!$D$2:$D$59,"ห้องเอ็กซเรย์"),"")</x:f>
        <x:v>66.66666666666667</x:v>
      </x:c>
      <x:c r="P35" s="131" t="n">
        <x:f>IFERROR(100*COUNTIFS('Raw_Data'!$AL$2:$AL$59,"&gt;=4",'Raw_Data'!$AL$2:$AL$59,"&lt;=5",'Raw_Data'!$A$2:$A$59,"Yes",'Raw_Data'!$D$2:$D$59,"ERและเปล")/COUNTIFS('Raw_Data'!$AL$2:$AL$59,"&gt;=1",'Raw_Data'!$AL$2:$AL$59,"&lt;=5",'Raw_Data'!$A$2:$A$59,"Yes",'Raw_Data'!$D$2:$D$59,"ERและเปล"),"")</x:f>
        <x:v>45.45454545454545</x:v>
      </x:c>
      <x:c r="Q35" s="131" t="n">
        <x:f>IFERROR(100*COUNTIFS('Raw_Data'!$AL$2:$AL$59,"&gt;=4",'Raw_Data'!$AL$2:$AL$59,"&lt;=5",'Raw_Data'!$A$2:$A$59,"Yes",'Raw_Data'!$D$2:$D$59,"HR")/COUNTIFS('Raw_Data'!$AL$2:$AL$59,"&gt;=1",'Raw_Data'!$AL$2:$AL$59,"&lt;=5",'Raw_Data'!$A$2:$A$59,"Yes",'Raw_Data'!$D$2:$D$59,"HR"),"")</x:f>
        <x:v>100</x:v>
      </x:c>
      <x:c r="R35" s="131" t="n">
        <x:f>IFERROR(100*COUNTIFS('Raw_Data'!$AL$2:$AL$59,"&gt;=4",'Raw_Data'!$AL$2:$AL$59,"&lt;=5",'Raw_Data'!$A$2:$A$59,"Yes",'Raw_Data'!$D$2:$D$59,"ICU")/COUNTIFS('Raw_Data'!$AL$2:$AL$59,"&gt;=1",'Raw_Data'!$AL$2:$AL$59,"&lt;=5",'Raw_Data'!$A$2:$A$59,"Yes",'Raw_Data'!$D$2:$D$59,"ICU"),"")</x:f>
        <x:v>50</x:v>
      </x:c>
      <x:c r="S35" s="131" t="n">
        <x:f>IFERROR(100*COUNTIFS('Raw_Data'!$AL$2:$AL$59,"&gt;=4",'Raw_Data'!$AL$2:$AL$59,"&lt;=5",'Raw_Data'!$A$2:$A$59,"Yes",'Raw_Data'!$D$2:$D$59,"IPD")/COUNTIFS('Raw_Data'!$AL$2:$AL$59,"&gt;=1",'Raw_Data'!$AL$2:$AL$59,"&lt;=5",'Raw_Data'!$A$2:$A$59,"Yes",'Raw_Data'!$D$2:$D$59,"IPD"),"")</x:f>
        <x:v>66.66666666666667</x:v>
      </x:c>
      <x:c r="T35" s="131" t="n">
        <x:f>IFERROR(100*COUNTIFS('Raw_Data'!$AL$2:$AL$59,"&gt;=4",'Raw_Data'!$AL$2:$AL$59,"&lt;=5",'Raw_Data'!$A$2:$A$59,"Yes",'Raw_Data'!$D$2:$D$59,"IT")/COUNTIFS('Raw_Data'!$AL$2:$AL$59,"&gt;=1",'Raw_Data'!$AL$2:$AL$59,"&lt;=5",'Raw_Data'!$A$2:$A$59,"Yes",'Raw_Data'!$D$2:$D$59,"IT"),"")</x:f>
        <x:v>50</x:v>
      </x:c>
      <x:c r="U35" s="131" t="n">
        <x:f>IFERROR(100*COUNTIFS('Raw_Data'!$AL$2:$AL$59,"&gt;=4",'Raw_Data'!$AL$2:$AL$59,"&lt;=5",'Raw_Data'!$A$2:$A$59,"Yes",'Raw_Data'!$D$2:$D$59,"OR")/COUNTIFS('Raw_Data'!$AL$2:$AL$59,"&gt;=1",'Raw_Data'!$AL$2:$AL$59,"&lt;=5",'Raw_Data'!$A$2:$A$59,"Yes",'Raw_Data'!$D$2:$D$59,"OR"),"")</x:f>
        <x:v>25</x:v>
      </x:c>
      <x:c r="V35" s="131" t="n">
        <x:f>IFERROR(100*COUNTIFS('Raw_Data'!$AL$2:$AL$59,"&gt;=4",'Raw_Data'!$AL$2:$AL$59,"&lt;=5",'Raw_Data'!$A$2:$A$59,"Yes",'Raw_Data'!$D$2:$D$59,"IPD",'Raw_Data'!$E$2:$E$59,"ผู้บริหาร")/COUNTIFS('Raw_Data'!$AL$2:$AL$59,"&gt;=1",'Raw_Data'!$AL$2:$AL$59,"&lt;=5",'Raw_Data'!$A$2:$A$59,"Yes",'Raw_Data'!$D$2:$D$59,"IPD",'Raw_Data'!$E$2:$E$59,"ผู้บริหาร"),"")</x:f>
        <x:v>100</x:v>
      </x:c>
      <x:c r="W35" s="131" t="n">
        <x:f>IFERROR(100*COUNTIFS('Raw_Data'!$AL$2:$AL$59,"&gt;=4",'Raw_Data'!$AL$2:$AL$59,"&lt;=5",'Raw_Data'!$A$2:$A$59,"Yes",'Raw_Data'!$D$2:$D$59,"ฝ่ายการพยาบาล",'Raw_Data'!$E$2:$E$59,"สายวิชาชีพสาธารณสุข")/COUNTIFS('Raw_Data'!$AL$2:$AL$59,"&gt;=1",'Raw_Data'!$AL$2:$AL$59,"&lt;=5",'Raw_Data'!$A$2:$A$59,"Yes",'Raw_Data'!$D$2:$D$59,"ฝ่ายการพยาบาล",'Raw_Data'!$E$2:$E$59,"สายวิชาชีพสาธารณสุข"),"")</x:f>
        <x:v>0</x:v>
      </x:c>
      <x:c r="X35" s="131" t="n">
        <x:f>IFERROR(100*COUNTIFS('Raw_Data'!$AL$2:$AL$59,"&gt;=4",'Raw_Data'!$AL$2:$AL$59,"&lt;=5",'Raw_Data'!$A$2:$A$59,"Yes",'Raw_Data'!$D$2:$D$59,"ERและเปล",'Raw_Data'!$E$2:$E$59,"สายวิชาชีพสาธารณสุข")/COUNTIFS('Raw_Data'!$AL$2:$AL$59,"&gt;=1",'Raw_Data'!$AL$2:$AL$59,"&lt;=5",'Raw_Data'!$A$2:$A$59,"Yes",'Raw_Data'!$D$2:$D$59,"ERและเปล",'Raw_Data'!$E$2:$E$59,"สายวิชาชีพสาธารณสุข"),"")</x:f>
        <x:v>57.142857142857146</x:v>
      </x:c>
      <x:c r="Y35" s="131" t="n">
        <x:f>IFERROR(100*COUNTIFS('Raw_Data'!$AL$2:$AL$59,"&gt;=4",'Raw_Data'!$AL$2:$AL$59,"&lt;=5",'Raw_Data'!$A$2:$A$59,"Yes",'Raw_Data'!$D$2:$D$59,"ICU",'Raw_Data'!$E$2:$E$59,"สายวิชาชีพสาธารณสุข")/COUNTIFS('Raw_Data'!$AL$2:$AL$59,"&gt;=1",'Raw_Data'!$AL$2:$AL$59,"&lt;=5",'Raw_Data'!$A$2:$A$59,"Yes",'Raw_Data'!$D$2:$D$59,"ICU",'Raw_Data'!$E$2:$E$59,"สายวิชาชีพสาธารณสุข"),"")</x:f>
        <x:v>50</x:v>
      </x:c>
      <x:c r="Z35" s="131" t="n">
        <x:f>IFERROR(100*COUNTIFS('Raw_Data'!$AL$2:$AL$59,"&gt;=4",'Raw_Data'!$AL$2:$AL$59,"&lt;=5",'Raw_Data'!$A$2:$A$59,"Yes",'Raw_Data'!$D$2:$D$59,"IPD",'Raw_Data'!$E$2:$E$59,"สายวิชาชีพสาธารณสุข")/COUNTIFS('Raw_Data'!$AL$2:$AL$59,"&gt;=1",'Raw_Data'!$AL$2:$AL$59,"&lt;=5",'Raw_Data'!$A$2:$A$59,"Yes",'Raw_Data'!$D$2:$D$59,"IPD",'Raw_Data'!$E$2:$E$59,"สายวิชาชีพสาธารณสุข"),"")</x:f>
        <x:v>100</x:v>
      </x:c>
      <x:c r="AA35" s="131" t="n">
        <x:f>IFERROR(100*COUNTIFS('Raw_Data'!$AL$2:$AL$59,"&gt;=4",'Raw_Data'!$AL$2:$AL$59,"&lt;=5",'Raw_Data'!$A$2:$A$59,"Yes",'Raw_Data'!$D$2:$D$59,"OR",'Raw_Data'!$E$2:$E$59,"สายวิชาชีพสาธารณสุข")/COUNTIFS('Raw_Data'!$AL$2:$AL$59,"&gt;=1",'Raw_Data'!$AL$2:$AL$59,"&lt;=5",'Raw_Data'!$A$2:$A$59,"Yes",'Raw_Data'!$D$2:$D$59,"OR",'Raw_Data'!$E$2:$E$59,"สายวิชาชีพสาธารณสุข"),"")</x:f>
        <x:v>25</x:v>
      </x:c>
      <x:c r="AB35" s="131" t="n">
        <x:f>IFERROR(100*COUNTIFS('Raw_Data'!$AL$2:$AL$59,"&gt;=4",'Raw_Data'!$AL$2:$AL$59,"&lt;=5",'Raw_Data'!$A$2:$A$59,"Yes",'Raw_Data'!$D$2:$D$59,"การเงิน",'Raw_Data'!$E$2:$E$59,"สายสนับสนุนทั่วไป")/COUNTIFS('Raw_Data'!$AL$2:$AL$59,"&gt;=1",'Raw_Data'!$AL$2:$AL$59,"&lt;=5",'Raw_Data'!$A$2:$A$59,"Yes",'Raw_Data'!$D$2:$D$59,"การเงิน",'Raw_Data'!$E$2:$E$59,"สายสนับสนุนทั่วไป"),"")</x:f>
        <x:v>33.333333333333336</x:v>
      </x:c>
      <x:c r="AC35" s="131" t="n">
        <x:f>IFERROR(100*COUNTIFS('Raw_Data'!$AL$2:$AL$59,"&gt;=4",'Raw_Data'!$AL$2:$AL$59,"&lt;=5",'Raw_Data'!$A$2:$A$59,"Yes",'Raw_Data'!$D$2:$D$59,"เคหรักษ์",'Raw_Data'!$E$2:$E$59,"สายสนับสนุนทั่วไป")/COUNTIFS('Raw_Data'!$AL$2:$AL$59,"&gt;=1",'Raw_Data'!$AL$2:$AL$59,"&lt;=5",'Raw_Data'!$A$2:$A$59,"Yes",'Raw_Data'!$D$2:$D$59,"เคหรักษ์",'Raw_Data'!$E$2:$E$59,"สายสนับสนุนทั่วไป"),"")</x:f>
        <x:v>50</x:v>
      </x:c>
      <x:c r="AD35" s="131" t="n">
        <x:f>IFERROR(100*COUNTIFS('Raw_Data'!$AL$2:$AL$59,"&gt;=4",'Raw_Data'!$AL$2:$AL$59,"&lt;=5",'Raw_Data'!$A$2:$A$59,"Yes",'Raw_Data'!$D$2:$D$59,"จ่ายกลาง",'Raw_Data'!$E$2:$E$59,"สายสนับสนุนทั่วไป")/COUNTIFS('Raw_Data'!$AL$2:$AL$59,"&gt;=1",'Raw_Data'!$AL$2:$AL$59,"&lt;=5",'Raw_Data'!$A$2:$A$59,"Yes",'Raw_Data'!$D$2:$D$59,"จ่ายกลาง",'Raw_Data'!$E$2:$E$59,"สายสนับสนุนทั่วไป"),"")</x:f>
        <x:v>100</x:v>
      </x:c>
      <x:c r="AE35" s="131" t="n">
        <x:f>IFERROR(100*COUNTIFS('Raw_Data'!$AL$2:$AL$59,"&gt;=4",'Raw_Data'!$AL$2:$AL$59,"&lt;=5",'Raw_Data'!$A$2:$A$59,"Yes",'Raw_Data'!$D$2:$D$59,"ช่างและสนาม",'Raw_Data'!$E$2:$E$59,"สายสนับสนุนทั่วไป")/COUNTIFS('Raw_Data'!$AL$2:$AL$59,"&gt;=1",'Raw_Data'!$AL$2:$AL$59,"&lt;=5",'Raw_Data'!$A$2:$A$59,"Yes",'Raw_Data'!$D$2:$D$59,"ช่างและสนาม",'Raw_Data'!$E$2:$E$59,"สายสนับสนุนทั่วไป"),"")</x:f>
        <x:v>50</x:v>
      </x:c>
      <x:c r="AF35" s="131" t="n">
        <x:f>IFERROR(100*COUNTIFS('Raw_Data'!$AL$2:$AL$59,"&gt;=4",'Raw_Data'!$AL$2:$AL$59,"&lt;=5",'Raw_Data'!$A$2:$A$59,"Yes",'Raw_Data'!$D$2:$D$59,"ผู้ป่วยสัมพันธ์",'Raw_Data'!$E$2:$E$59,"สายสนับสนุนทั่วไป")/COUNTIFS('Raw_Data'!$AL$2:$AL$59,"&gt;=1",'Raw_Data'!$AL$2:$AL$59,"&lt;=5",'Raw_Data'!$A$2:$A$59,"Yes",'Raw_Data'!$D$2:$D$59,"ผู้ป่วยสัมพันธ์",'Raw_Data'!$E$2:$E$59,"สายสนับสนุนทั่วไป"),"")</x:f>
        <x:v>0</x:v>
      </x:c>
      <x:c r="AG35" s="131" t="n">
        <x:f>IFERROR(100*COUNTIFS('Raw_Data'!$AL$2:$AL$59,"&gt;=4",'Raw_Data'!$AL$2:$AL$59,"&lt;=5",'Raw_Data'!$A$2:$A$59,"Yes",'Raw_Data'!$D$2:$D$59,"ยานพาหนะ",'Raw_Data'!$E$2:$E$59,"สายสนับสนุนทั่วไป")/COUNTIFS('Raw_Data'!$AL$2:$AL$59,"&gt;=1",'Raw_Data'!$AL$2:$AL$59,"&lt;=5",'Raw_Data'!$A$2:$A$59,"Yes",'Raw_Data'!$D$2:$D$59,"ยานพาหนะ",'Raw_Data'!$E$2:$E$59,"สายสนับสนุนทั่วไป"),"")</x:f>
        <x:v>100</x:v>
      </x:c>
      <x:c r="AH35" s="131" t="n">
        <x:f>IFERROR(100*COUNTIFS('Raw_Data'!$AL$2:$AL$59,"&gt;=4",'Raw_Data'!$AL$2:$AL$59,"&lt;=5",'Raw_Data'!$A$2:$A$59,"Yes",'Raw_Data'!$D$2:$D$59,"สื่อสารการตลาด",'Raw_Data'!$E$2:$E$59,"สายสนับสนุนทั่วไป")/COUNTIFS('Raw_Data'!$AL$2:$AL$59,"&gt;=1",'Raw_Data'!$AL$2:$AL$59,"&lt;=5",'Raw_Data'!$A$2:$A$59,"Yes",'Raw_Data'!$D$2:$D$59,"สื่อสารการตลาด",'Raw_Data'!$E$2:$E$59,"สายสนับสนุนทั่วไป"),"")</x:f>
        <x:v>100</x:v>
      </x:c>
      <x:c r="AI35" s="131" t="n">
        <x:f>IFERROR(100*COUNTIFS('Raw_Data'!$AL$2:$AL$59,"&gt;=4",'Raw_Data'!$AL$2:$AL$59,"&lt;=5",'Raw_Data'!$A$2:$A$59,"Yes",'Raw_Data'!$D$2:$D$59,"ERและเปล",'Raw_Data'!$E$2:$E$59,"สายสนับสนุนทั่วไป")/COUNTIFS('Raw_Data'!$AL$2:$AL$59,"&gt;=1",'Raw_Data'!$AL$2:$AL$59,"&lt;=5",'Raw_Data'!$A$2:$A$59,"Yes",'Raw_Data'!$D$2:$D$59,"ERและเปล",'Raw_Data'!$E$2:$E$59,"สายสนับสนุนทั่วไป"),"")</x:f>
        <x:v>33.333333333333336</x:v>
      </x:c>
      <x:c r="AJ35" s="131" t="n">
        <x:f>IFERROR(100*COUNTIFS('Raw_Data'!$AL$2:$AL$59,"&gt;=4",'Raw_Data'!$AL$2:$AL$59,"&lt;=5",'Raw_Data'!$A$2:$A$59,"Yes",'Raw_Data'!$D$2:$D$59,"HR",'Raw_Data'!$E$2:$E$59,"สายสนับสนุนทั่วไป")/COUNTIFS('Raw_Data'!$AL$2:$AL$59,"&gt;=1",'Raw_Data'!$AL$2:$AL$59,"&lt;=5",'Raw_Data'!$A$2:$A$59,"Yes",'Raw_Data'!$D$2:$D$59,"HR",'Raw_Data'!$E$2:$E$59,"สายสนับสนุนทั่วไป"),"")</x:f>
        <x:v>100</x:v>
      </x:c>
      <x:c r="AK35" s="131" t="n">
        <x:f>IFERROR(100*COUNTIFS('Raw_Data'!$AL$2:$AL$59,"&gt;=4",'Raw_Data'!$AL$2:$AL$59,"&lt;=5",'Raw_Data'!$A$2:$A$59,"Yes",'Raw_Data'!$D$2:$D$59,"ICU",'Raw_Data'!$E$2:$E$59,"สายสนับสนุนทั่วไป")/COUNTIFS('Raw_Data'!$AL$2:$AL$59,"&gt;=1",'Raw_Data'!$AL$2:$AL$59,"&lt;=5",'Raw_Data'!$A$2:$A$59,"Yes",'Raw_Data'!$D$2:$D$59,"ICU",'Raw_Data'!$E$2:$E$59,"สายสนับสนุนทั่วไป"),"")</x:f>
        <x:v>0</x:v>
      </x:c>
      <x:c r="AL35" s="131" t="n">
        <x:f>IFERROR(100*COUNTIFS('Raw_Data'!$AL$2:$AL$59,"&gt;=4",'Raw_Data'!$AL$2:$AL$59,"&lt;=5",'Raw_Data'!$A$2:$A$59,"Yes",'Raw_Data'!$D$2:$D$59,"IPD",'Raw_Data'!$E$2:$E$59,"สายสนับสนุนทั่วไป")/COUNTIFS('Raw_Data'!$AL$2:$AL$59,"&gt;=1",'Raw_Data'!$AL$2:$AL$59,"&lt;=5",'Raw_Data'!$A$2:$A$59,"Yes",'Raw_Data'!$D$2:$D$59,"IPD",'Raw_Data'!$E$2:$E$59,"สายสนับสนุนทั่วไป"),"")</x:f>
        <x:v>0</x:v>
      </x:c>
      <x:c r="AM35" s="131" t="n">
        <x:f>IFERROR(100*COUNTIFS('Raw_Data'!$AL$2:$AL$59,"&gt;=4",'Raw_Data'!$AL$2:$AL$59,"&lt;=5",'Raw_Data'!$A$2:$A$59,"Yes",'Raw_Data'!$D$2:$D$59,"IT",'Raw_Data'!$E$2:$E$59,"สายสนับสนุนทั่วไป")/COUNTIFS('Raw_Data'!$AL$2:$AL$59,"&gt;=1",'Raw_Data'!$AL$2:$AL$59,"&lt;=5",'Raw_Data'!$A$2:$A$59,"Yes",'Raw_Data'!$D$2:$D$59,"IT",'Raw_Data'!$E$2:$E$59,"สายสนับสนุนทั่วไป"),"")</x:f>
        <x:v>100</x:v>
      </x:c>
      <x:c r="AN35" s="131" t="n">
        <x:f>IFERROR(100*COUNTIFS('Raw_Data'!$AL$2:$AL$59,"&gt;=4",'Raw_Data'!$AL$2:$AL$59,"&lt;=5",'Raw_Data'!$A$2:$A$59,"Yes",'Raw_Data'!$D$2:$D$59,"ผู้ป่วยสัมพันธ์",'Raw_Data'!$E$2:$E$59,"สายสนับสนุนทางการแพทย์")/COUNTIFS('Raw_Data'!$AL$2:$AL$59,"&gt;=1",'Raw_Data'!$AL$2:$AL$59,"&lt;=5",'Raw_Data'!$A$2:$A$59,"Yes",'Raw_Data'!$D$2:$D$59,"ผู้ป่วยสัมพันธ์",'Raw_Data'!$E$2:$E$59,"สายสนับสนุนทางการแพทย์"),"")</x:f>
        <x:v>66.66666666666667</x:v>
      </x:c>
      <x:c r="AO35" s="131" t="n">
        <x:f>IFERROR(100*COUNTIFS('Raw_Data'!$AL$2:$AL$59,"&gt;=4",'Raw_Data'!$AL$2:$AL$59,"&lt;=5",'Raw_Data'!$A$2:$A$59,"Yes",'Raw_Data'!$D$2:$D$59,"ฝ่ายการพยาบาล",'Raw_Data'!$E$2:$E$59,"สายสนับสนุนทางการแพทย์")/COUNTIFS('Raw_Data'!$AL$2:$AL$59,"&gt;=1",'Raw_Data'!$AL$2:$AL$59,"&lt;=5",'Raw_Data'!$A$2:$A$59,"Yes",'Raw_Data'!$D$2:$D$59,"ฝ่ายการพยาบาล",'Raw_Data'!$E$2:$E$59,"สายสนับสนุนทางการแพทย์"),"")</x:f>
        <x:v>100</x:v>
      </x:c>
      <x:c r="AP35" s="131" t="n">
        <x:f>IFERROR(100*COUNTIFS('Raw_Data'!$AL$2:$AL$59,"&gt;=4",'Raw_Data'!$AL$2:$AL$59,"&lt;=5",'Raw_Data'!$A$2:$A$59,"Yes",'Raw_Data'!$D$2:$D$59,"โภชนาการ",'Raw_Data'!$E$2:$E$59,"สายสนับสนุนทางการแพทย์")/COUNTIFS('Raw_Data'!$AL$2:$AL$59,"&gt;=1",'Raw_Data'!$AL$2:$AL$59,"&lt;=5",'Raw_Data'!$A$2:$A$59,"Yes",'Raw_Data'!$D$2:$D$59,"โภชนาการ",'Raw_Data'!$E$2:$E$59,"สายสนับสนุนทางการแพทย์"),"")</x:f>
        <x:v>100</x:v>
      </x:c>
      <x:c r="AQ35" s="131" t="n">
        <x:f>IFERROR(100*COUNTIFS('Raw_Data'!$AL$2:$AL$59,"&gt;=4",'Raw_Data'!$AL$2:$AL$59,"&lt;=5",'Raw_Data'!$A$2:$A$59,"Yes",'Raw_Data'!$D$2:$D$59,"ห้องยา",'Raw_Data'!$E$2:$E$59,"สายสนับสนุนทางการแพทย์")/COUNTIFS('Raw_Data'!$AL$2:$AL$59,"&gt;=1",'Raw_Data'!$AL$2:$AL$59,"&lt;=5",'Raw_Data'!$A$2:$A$59,"Yes",'Raw_Data'!$D$2:$D$59,"ห้องยา",'Raw_Data'!$E$2:$E$59,"สายสนับสนุนทางการแพทย์"),"")</x:f>
        <x:v>83.33333333333333</x:v>
      </x:c>
      <x:c r="AR35" s="131" t="n">
        <x:f>IFERROR(100*COUNTIFS('Raw_Data'!$AL$2:$AL$59,"&gt;=4",'Raw_Data'!$AL$2:$AL$59,"&lt;=5",'Raw_Data'!$A$2:$A$59,"Yes",'Raw_Data'!$D$2:$D$59,"ห้องแลป",'Raw_Data'!$E$2:$E$59,"สายสนับสนุนทางการแพทย์")/COUNTIFS('Raw_Data'!$AL$2:$AL$59,"&gt;=1",'Raw_Data'!$AL$2:$AL$59,"&lt;=5",'Raw_Data'!$A$2:$A$59,"Yes",'Raw_Data'!$D$2:$D$59,"ห้องแลป",'Raw_Data'!$E$2:$E$59,"สายสนับสนุนทางการแพทย์"),"")</x:f>
        <x:v>0</x:v>
      </x:c>
      <x:c r="AS35" s="131" t="n">
        <x:f>IFERROR(100*COUNTIFS('Raw_Data'!$AL$2:$AL$59,"&gt;=4",'Raw_Data'!$AL$2:$AL$59,"&lt;=5",'Raw_Data'!$A$2:$A$59,"Yes",'Raw_Data'!$D$2:$D$59,"ห้องเอ็กซเรย์",'Raw_Data'!$E$2:$E$59,"สายสนับสนุนทางการแพทย์")/COUNTIFS('Raw_Data'!$AL$2:$AL$59,"&gt;=1",'Raw_Data'!$AL$2:$AL$59,"&lt;=5",'Raw_Data'!$A$2:$A$59,"Yes",'Raw_Data'!$D$2:$D$59,"ห้องเอ็กซเรย์",'Raw_Data'!$E$2:$E$59,"สายสนับสนุนทางการแพทย์"),"")</x:f>
        <x:v>66.66666666666667</x:v>
      </x:c>
      <x:c r="AT35" s="131" t="n">
        <x:f>IFERROR(100*COUNTIFS('Raw_Data'!$AL$2:$AL$59,"&gt;=4",'Raw_Data'!$AL$2:$AL$59,"&lt;=5",'Raw_Data'!$A$2:$A$59,"Yes",'Raw_Data'!$D$2:$D$59,"ERและเปล",'Raw_Data'!$E$2:$E$59,"สายสนับสนุนทางการแพทย์")/COUNTIFS('Raw_Data'!$AL$2:$AL$59,"&gt;=1",'Raw_Data'!$AL$2:$AL$59,"&lt;=5",'Raw_Data'!$A$2:$A$59,"Yes",'Raw_Data'!$D$2:$D$59,"ERและเปล",'Raw_Data'!$E$2:$E$59,"สายสนับสนุนทางการแพทย์"),"")</x:f>
        <x:v>0</x:v>
      </x:c>
      <x:c r="AU35" s="131" t="n">
        <x:f>IFERROR(100*COUNTIFS('Raw_Data'!$AL$2:$AL$59,"&gt;=4",'Raw_Data'!$AL$2:$AL$59,"&lt;=5",'Raw_Data'!$A$2:$A$59,"Yes",'Raw_Data'!$D$2:$D$59,"ICU",'Raw_Data'!$E$2:$E$59,"สายสนับสนุนทางการแพทย์")/COUNTIFS('Raw_Data'!$AL$2:$AL$59,"&gt;=1",'Raw_Data'!$AL$2:$AL$59,"&lt;=5",'Raw_Data'!$A$2:$A$59,"Yes",'Raw_Data'!$D$2:$D$59,"ICU",'Raw_Data'!$E$2:$E$59,"สายสนับสนุนทางการแพทย์"),"")</x:f>
        <x:v>100</x:v>
      </x:c>
      <x:c r="AV35" s="131" t="n">
        <x:f>IFERROR(100*COUNTIFS('Raw_Data'!$AL$2:$AL$59,"&gt;=4",'Raw_Data'!$AL$2:$AL$59,"&lt;=5",'Raw_Data'!$A$2:$A$59,"Yes",'Raw_Data'!$D$2:$D$59,"IPD",'Raw_Data'!$E$2:$E$59,"สายสนับสนุนทางการแพทย์")/COUNTIFS('Raw_Data'!$AL$2:$AL$59,"&gt;=1",'Raw_Data'!$AL$2:$AL$59,"&lt;=5",'Raw_Data'!$A$2:$A$59,"Yes",'Raw_Data'!$D$2:$D$59,"IPD",'Raw_Data'!$E$2:$E$59,"สายสนับสนุนทางการแพทย์"),"")</x:f>
        <x:v>50</x:v>
      </x:c>
      <x:c r="AW35" s="131" t="n">
        <x:f>IFERROR(100*COUNTIFS('Raw_Data'!$AL$2:$AL$59,"&gt;=4",'Raw_Data'!$AL$2:$AL$59,"&lt;=5",'Raw_Data'!$A$2:$A$59,"Yes",'Raw_Data'!$D$2:$D$59,"IT",'Raw_Data'!$E$2:$E$59,"สายสนับสนุนทางการแพทย์")/COUNTIFS('Raw_Data'!$AL$2:$AL$59,"&gt;=1",'Raw_Data'!$AL$2:$AL$59,"&lt;=5",'Raw_Data'!$A$2:$A$59,"Yes",'Raw_Data'!$D$2:$D$59,"IT",'Raw_Data'!$E$2:$E$59,"สายสนับสนุนทางการแพทย์"),"")</x:f>
        <x:v>0</x:v>
      </x:c>
    </x:row>
  </x:sheetData>
  <x:mergeCells>
    <x:mergeCell ref="A1:A3"/>
    <x:mergeCell ref="B1:B3"/>
    <x:mergeCell ref="C1:C3"/>
    <x:mergeCell ref="D1:U1"/>
    <x:mergeCell ref="D2:U2"/>
    <x:mergeCell ref="W1:AA1"/>
    <x:mergeCell ref="W2:AA2"/>
    <x:mergeCell ref="AB1:AM1"/>
    <x:mergeCell ref="AB2:AM2"/>
    <x:mergeCell ref="AN1:AW1"/>
    <x:mergeCell ref="AN2:AW2"/>
  </x:mergeCells>
  <x:conditionalFormatting sqref="C4:AW35">
    <x:cfRule type="expression" dxfId="0" priority="1">
      <x:formula>AND(ISNUMBER(C4),C4&lt;60)</x:formula>
    </x:cfRule>
    <x:cfRule type="expression" dxfId="1" priority="2">
      <x:formula>AND(ISNUMBER(C4),C4&gt;=60,C4&lt;=70)</x:formula>
    </x:cfRule>
    <x:cfRule type="expression" dxfId="2" priority="3">
      <x:formula>AND(ISNUMBER(C4),C4&gt;70,C4&lt;=80)</x:formula>
    </x:cfRule>
    <x:cfRule type="expression" dxfId="3" priority="4">
      <x:formula>AND(ISNUMBER(C4),C4&gt;80)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24" hidden="0" customWidth="1"/>
    <x:col min="4" max="4" width="85" hidden="0" customWidth="1"/>
  </x:cols>
  <x:sheetData>
    <x:row r="1" ht="34" customHeight="1">
      <x:c r="A1" s="182" t="str">
        <x:v>HSCS 2569 PCH Data Quality &amp; Transformation Log</x:v>
      </x:c>
      <x:c r="B1" s="182"/>
      <x:c r="C1" s="182"/>
      <x:c r="D1" s="182"/>
    </x:row>
    <x:row r="3">
      <x:c r="A3" s="186" t="str">
        <x:v>Check</x:v>
      </x:c>
      <x:c r="B3" s="186" t="str">
        <x:v>Value</x:v>
      </x:c>
      <x:c r="C3" s="186" t="str">
        <x:v>Status</x:v>
      </x:c>
      <x:c r="D3" s="186" t="str">
        <x:v>Note</x:v>
      </x:c>
    </x:row>
    <x:row r="4" ht="34" customHeight="1">
      <x:c r="A4" s="205" t="str">
        <x:v>Source file</x:v>
      </x:c>
      <x:c r="B4" s="206" t="str">
        <x:v>HSCS PCH2026 (Responses).xlsx</x:v>
      </x:c>
      <x:c r="C4" s="206" t="str">
        <x:v>Information</x:v>
      </x:c>
      <x:c r="D4" s="207" t="str">
        <x:v>ต้นฉบับยังคงอยู่ในชีต Source_Raw</x:v>
      </x:c>
    </x:row>
    <x:row r="5" ht="34" customHeight="1">
      <x:c r="A5" s="208" t="str">
        <x:v>Source rows</x:v>
      </x:c>
      <x:c r="B5" s="209" t="n">
        <x:v>58</x:v>
      </x:c>
      <x:c r="C5" s="209" t="str">
        <x:v>Check</x:v>
      </x:c>
      <x:c r="D5" s="210" t="str">
        <x:v>จำนวนแถวข้อมูลทั้งหมด</x:v>
      </x:c>
    </x:row>
    <x:row r="6" ht="34" customHeight="1">
      <x:c r="A6" s="208" t="str">
        <x:v>Included rows</x:v>
      </x:c>
      <x:c r="B6" s="209" t="n">
        <x:v>58</x:v>
      </x:c>
      <x:c r="C6" s="209" t="str">
        <x:v>Check</x:v>
      </x:c>
      <x:c r="D6" s="210" t="str">
        <x:v>แถวที่มี Timestamp พื้นที่ สายงาน และคะแนนครบ 1–5</x:v>
      </x:c>
    </x:row>
    <x:row r="7" ht="34" customHeight="1">
      <x:c r="A7" s="208" t="str">
        <x:v>Excluded rows</x:v>
      </x:c>
      <x:c r="B7" s="209" t="n">
        <x:v>0</x:v>
      </x:c>
      <x:c r="C7" s="209" t="str">
        <x:v>Check</x:v>
      </x:c>
      <x:c r="D7" s="210" t="str">
        <x:v>สามารถเปลี่ยน Include_In_Analysis ใน Raw_Data ได้</x:v>
      </x:c>
    </x:row>
    <x:row r="8" ht="34" customHeight="1">
      <x:c r="A8" s="208" t="str">
        <x:v>Missing item responses</x:v>
      </x:c>
      <x:c r="B8" s="209" t="n">
        <x:v>0</x:v>
      </x:c>
      <x:c r="C8" s="209" t="str">
        <x:v>Check</x:v>
      </x:c>
      <x:c r="D8" s="210" t="str">
        <x:v>32 ข้อต่อผู้ตอบ</x:v>
      </x:c>
    </x:row>
    <x:row r="9" ht="34" customHeight="1">
      <x:c r="A9" s="208" t="str">
        <x:v>Invalid item responses</x:v>
      </x:c>
      <x:c r="B9" s="209" t="n">
        <x:v>0</x:v>
      </x:c>
      <x:c r="C9" s="209" t="str">
        <x:v>Check</x:v>
      </x:c>
      <x:c r="D9" s="210" t="str">
        <x:v>ค่าที่ยอมรับคือ 1–5</x:v>
      </x:c>
    </x:row>
    <x:row r="10" ht="34" customHeight="1">
      <x:c r="A10" s="208" t="str">
        <x:v>Duplicate timestamps</x:v>
      </x:c>
      <x:c r="B10" s="209" t="n">
        <x:v>0</x:v>
      </x:c>
      <x:c r="C10" s="209" t="str">
        <x:v>Check</x:v>
      </x:c>
      <x:c r="D10" s="210" t="str">
        <x:v>ใช้ตรวจคำตอบซ้ำเบื้องต้น</x:v>
      </x:c>
    </x:row>
    <x:row r="11" ht="34" customHeight="1">
      <x:c r="A11" s="208" t="str">
        <x:v>Response_ID</x:v>
      </x:c>
      <x:c r="B11" s="209" t="n">
        <x:v>58</x:v>
      </x:c>
      <x:c r="C11" s="209" t="str">
        <x:v>Generated</x:v>
      </x:c>
      <x:c r="D11" s="210" t="str">
        <x:v>ไฟล์ต้นฉบับไม่มีรหัสบุคลากร จึงสร้างลำดับ 1–58 เพื่ออ้างอิงแถว</x:v>
      </x:c>
    </x:row>
    <x:row r="12" ht="34" customHeight="1">
      <x:c r="A12" s="208" t="str">
        <x:v>Free-text comments</x:v>
      </x:c>
      <x:c r="B12" s="209" t="n">
        <x:v>55</x:v>
      </x:c>
      <x:c r="C12" s="209" t="str">
        <x:v>Information</x:v>
      </x:c>
      <x:c r="D12" s="210" t="str">
        <x:v>คอลัมน์ Column 35 ถูกเก็บเป็น H1 ใน Raw_Data</x:v>
      </x:c>
    </x:row>
    <x:row r="13" ht="34" customHeight="1">
      <x:c r="A13" s="208" t="str">
        <x:v>External lookup formulas</x:v>
      </x:c>
      <x:c r="B13" s="209" t="n">
        <x:v>0</x:v>
      </x:c>
      <x:c r="C13" s="209" t="str">
        <x:v>None</x:v>
      </x:c>
      <x:c r="D13" s="210" t="str">
        <x:v>ไฟล์ต้นฉบับเป็นค่าคงที่ ไม่มีลิงก์ภายนอก</x:v>
      </x:c>
    </x:row>
    <x:row r="14" ht="34" customHeight="1">
      <x:c r="A14" s="211" t="str">
        <x:v>กลุ่มงาน</x:v>
      </x:c>
      <x:c r="B14" s="212" t="n">
        <x:v>4</x:v>
      </x:c>
      <x:c r="C14" s="212" t="str">
        <x:v>Compatibility</x:v>
      </x:c>
      <x:c r="D14" s="213" t="str">
        <x:v>ไฟล์ต้นฉบับไม่มีระดับกลุ่มงาน จึงใช้ค่ากลุ่มตามสายงานในคอลัมน์กลุ่มงานเพื่อให้แดชบอร์ดกรองได้</x:v>
      </x:c>
    </x:row>
  </x:sheetData>
  <x:mergeCells>
    <x:mergeCell ref="A1:D1"/>
  </x:mergeCells>
  <x:pageMargins left="0.7" right="0.7" top="0.75" bottom="0.75" header="0.3" footer="0.3"/>
</x:worksheet>
</file>