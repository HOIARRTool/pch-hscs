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PCH\"/>
    </mc:Choice>
  </mc:AlternateContent>
  <xr:revisionPtr revIDLastSave="0" documentId="13_ncr:1_{5C0ADDEE-D2E5-4202-91E8-CB0303DBED57}" xr6:coauthVersionLast="47" xr6:coauthVersionMax="47" xr10:uidLastSave="{00000000-0000-0000-0000-000000000000}"/>
  <bookViews>
    <workbookView xWindow="4848" yWindow="1548" windowWidth="17592" windowHeight="10548" activeTab="1" xr2:uid="{00000000-000D-0000-FFFF-FFFF00000000}"/>
  </bookViews>
  <sheets>
    <sheet name="00_Dashboard" sheetId="1" r:id="rId1"/>
    <sheet name="Source_Raw" sheetId="2" r:id="rId2"/>
    <sheet name="Raw_Data" sheetId="3" r:id="rId3"/>
    <sheet name="Item_Metadata" sheetId="4" r:id="rId4"/>
    <sheet name="Unit_Index" sheetId="5" r:id="rId5"/>
    <sheet name="HSCS2569" sheetId="6" r:id="rId6"/>
    <sheet name="Data_Qual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5" i="6" l="1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E14" i="1" s="1"/>
  <c r="F14" i="1" s="1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E13" i="1" s="1"/>
  <c r="F13" i="1" s="1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E9" i="1" s="1"/>
  <c r="F9" i="1" s="1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15" i="1" s="1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E12" i="1"/>
  <c r="F12" i="1" s="1"/>
  <c r="B12" i="1"/>
  <c r="E11" i="1"/>
  <c r="F11" i="1" s="1"/>
  <c r="B11" i="1"/>
  <c r="E10" i="1"/>
  <c r="F10" i="1" s="1"/>
  <c r="B10" i="1"/>
  <c r="B9" i="1"/>
  <c r="E8" i="1"/>
  <c r="F8" i="1" s="1"/>
  <c r="B8" i="1"/>
  <c r="E7" i="1"/>
  <c r="F7" i="1" s="1"/>
  <c r="E6" i="1"/>
  <c r="F6" i="1" s="1"/>
  <c r="B6" i="1"/>
  <c r="E5" i="1"/>
  <c r="F5" i="1" s="1"/>
  <c r="B5" i="1"/>
  <c r="B7" i="1" s="1"/>
  <c r="B14" i="1" l="1"/>
  <c r="B13" i="1"/>
</calcChain>
</file>

<file path=xl/sharedStrings.xml><?xml version="1.0" encoding="utf-8"?>
<sst xmlns="http://schemas.openxmlformats.org/spreadsheetml/2006/main" count="1128" uniqueCount="250">
  <si>
    <t>HSCS 2569 PCH Interactive Workbook</t>
  </si>
  <si>
    <t>Patient Safety Culture Survey | สร้างจาก HSCS PCH2026 (Responses).xlsx | คะแนนเป็นร้อยละคำตอบเชิงบวก</t>
  </si>
  <si>
    <t>Executive Metrics</t>
  </si>
  <si>
    <t>Value</t>
  </si>
  <si>
    <t>Dimension</t>
  </si>
  <si>
    <t>% Positive</t>
  </si>
  <si>
    <t>Status</t>
  </si>
  <si>
    <t>Raw rows</t>
  </si>
  <si>
    <t>1. การทำงานเป็นทีม</t>
  </si>
  <si>
    <t>Rows used for analysis</t>
  </si>
  <si>
    <t>2. บุคลากรและพื้นที่การทำงาน</t>
  </si>
  <si>
    <t>Excluded rows</t>
  </si>
  <si>
    <t>3. การเป็นองค์กรแห่งการเรียนรู้ มีการพัฒนาอย่างต่อเนื่อง</t>
  </si>
  <si>
    <t>Respondents</t>
  </si>
  <si>
    <t>4. การตอบสนองต่อความคลาดเคลื่อน</t>
  </si>
  <si>
    <t>Items</t>
  </si>
  <si>
    <t>5. การสนับสนุนของหัวหน้างาน, ผู้จัดการ หรือทีมนำทางคลินิกในเรื่องความปลอดภัย</t>
  </si>
  <si>
    <t>Dimensions</t>
  </si>
  <si>
    <t>6. การสื่อสารเรื่องความคลาดเคลื่อน</t>
  </si>
  <si>
    <t>กลุ่มตามสายงาน</t>
  </si>
  <si>
    <t>7. การสื่อสารที่เปิดกว้าง</t>
  </si>
  <si>
    <t>พื้นที่ปฏิบัติงาน</t>
  </si>
  <si>
    <t>8. การรายงานเหตุการณ์ความปลอดภัยของผู้ป่วย/ผู้รับบริการ</t>
  </si>
  <si>
    <t>Overall Positive Score</t>
  </si>
  <si>
    <t>9. การสนับสนุนจากทีมผู้บริหารของสถานพยาบาลในเรื่องความปลอดภัยของผู้ป่วย /ผู้รับบริการ</t>
  </si>
  <si>
    <t>ข้อที่ควรพัฒนาด่วน (&lt;60)</t>
  </si>
  <si>
    <t>10. การส่งต่องานและแลกเปลี่ยนข้อมูล ในการเปลี่ยนผ่านระหว่างหน่วยงานหรือเวร</t>
  </si>
  <si>
    <t>ข้อเร่งพัฒนา (60–70)</t>
  </si>
  <si>
    <t>เกณฑ์สี: แดง &lt;60 | ส้ม 60–70 | เหลือง 70.1–80 | เขียว &gt;80</t>
  </si>
  <si>
    <t>การคิดคะแนน: ข้อเชิงบวก = 4–5; ข้อเชิงลบ = 1–2; ตัวหารใช้เฉพาะคำตอบที่มีค่า 1–5</t>
  </si>
  <si>
    <t>Timestamp</t>
  </si>
  <si>
    <t>A1. ในหน่วยงานหรือพื้นที่ที่ท่านทำงานอยู่ ทุกคนทำงานร่วมกันเป็นทีมอย่างมีประสิทธิภาพ</t>
  </si>
  <si>
    <t>A2. 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t>
  </si>
  <si>
    <t>A3. 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t>
  </si>
  <si>
    <t>A4. 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t>
  </si>
  <si>
    <t>A5. 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t>
  </si>
  <si>
    <t>A6. 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t>
  </si>
  <si>
    <t>A7. 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t>
  </si>
  <si>
    <t>A8. 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t>
  </si>
  <si>
    <t>A9. ในหน่วยงานที่ท่านทำงานอยู่มีปัญหาเรื่องพฤติกรรมในการทำงานของบุคลากรที่ไม่เคารพซึ่งกันและกัน</t>
  </si>
  <si>
    <t>A10. 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t>
  </si>
  <si>
    <t>A11. 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t>
  </si>
  <si>
    <t>A12. 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t>
  </si>
  <si>
    <t>A13. ใน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t>
  </si>
  <si>
    <t>A14. 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t>
  </si>
  <si>
    <t>B1. 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t>
  </si>
  <si>
    <t>B2. 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t>
  </si>
  <si>
    <t>B3. 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t>
  </si>
  <si>
    <t>C1. 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t>
  </si>
  <si>
    <t>C2. 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t>
  </si>
  <si>
    <t>C3. 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t>
  </si>
  <si>
    <t>C4. 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</si>
  <si>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C5. 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t>
  </si>
  <si>
    <t>C6. 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t>
  </si>
  <si>
    <t>C7. ในหน่วยงานที่ฉันปฏิบัติงานอยู่ บุคลากรกลัวที่จะตั้งคำถามเมื่อพบสิ่งที่ไม่ถูกต้องหรือผิดปกติ</t>
  </si>
  <si>
    <t>D1. 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t>
  </si>
  <si>
    <t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t>
  </si>
  <si>
    <t>F1. 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t>
  </si>
  <si>
    <t>F2. 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t>
  </si>
  <si>
    <t>F3. 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t>
  </si>
  <si>
    <t>F4. 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t>
  </si>
  <si>
    <t>F5. 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t>
  </si>
  <si>
    <t>F6. 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t>
  </si>
  <si>
    <t>สายวิชาชีพสาธารณสุข</t>
  </si>
  <si>
    <t>ฝ่ายการพยาบาล</t>
  </si>
  <si>
    <t>สายสนับสนุนทางการแพทย์</t>
  </si>
  <si>
    <t>ห้องเอ็กซเรย์</t>
  </si>
  <si>
    <t>ห้องแลป</t>
  </si>
  <si>
    <t>ERและเปล</t>
  </si>
  <si>
    <t>ในบางครั้งเมื่อเจอเหตุการณ์ไม่มีเวลาลงจนลืมและบางคนเห็นว่าลงแล้วไม่มีอะไรเปลี่ยนแปลงไม่เห็นมีใครactionอะไร</t>
  </si>
  <si>
    <t>มีระบบเรื่องความปลอดภัยในการระมัดระวังไม่ให้ผู้ป่วยบาดเจ็บเพิ่มเติมได้ดี และเมื่อพบเห็นเหตุการณ์ที่มีความเสี่ยงทุกแผนกมีความกล้าที่จะรายงานอุบัติการณ์มาก็ขึ้น</t>
  </si>
  <si>
    <t>สายสนับสนุนทั่วไป</t>
  </si>
  <si>
    <t>ยานพาหนะ</t>
  </si>
  <si>
    <t>ควรมีการวิเคราะห์ประเด็นปัญหาอย่างชีดเจนและเป็นขั้นตอน</t>
  </si>
  <si>
    <t>ห้องยา</t>
  </si>
  <si>
    <t>-</t>
  </si>
  <si>
    <t>มีการติดตามความเสี่ยงสำคัญแต่ความเสี่ยงบางอย่างแก้ไม่ได้โดยระบบเช่นเรื่องคนไข้รอหมอนานช่วงต่อเวร เราไม่สารถแก้ไขในส่วนที่เป็นองค์กรแพทย์ได้โดยตรงแต่บางเรื่องสามารถเล่าให้ผอ.ฟังได้ในภาพรวม</t>
  </si>
  <si>
    <t>การเงิน</t>
  </si>
  <si>
    <t>เพิ่มความปลอดภัยให้กับบุคลากรของรพ.</t>
  </si>
  <si>
    <t>IT</t>
  </si>
  <si>
    <t>.</t>
  </si>
  <si>
    <t>OR</t>
  </si>
  <si>
    <t>ดี</t>
  </si>
  <si>
    <t>HR</t>
  </si>
  <si>
    <t>มีความปลอดภัยตามมาตรฐานโรงพยาบาล</t>
  </si>
  <si>
    <t>ช่างและสนาม</t>
  </si>
  <si>
    <t>ช่วยกันสอดส่องดูแลและ สังเกตุสิ่งผิดปกติในโรงพยาบาล ที่จะก่อให้เกิดอันตรายต่อพนักงานและผู้รับบริการ</t>
  </si>
  <si>
    <t>เคหรักษ์</t>
  </si>
  <si>
    <t>ช่วยกันดูแลความปบอดภัย</t>
  </si>
  <si>
    <t>ดูแลความปลอดภัยให้มากยิ่งขึ้น</t>
  </si>
  <si>
    <t>สื่อสารการตลาด</t>
  </si>
  <si>
    <t>ดีมาก</t>
  </si>
  <si>
    <t>…</t>
  </si>
  <si>
    <t>ปลอดภัยดี</t>
  </si>
  <si>
    <t>ควรมี เจ้าหน้าที่รักษาความปลอดภัย(รปภ.)</t>
  </si>
  <si>
    <t>โภชนาการ</t>
  </si>
  <si>
    <t>มีการรักษาความปลอดภัยแลัแนวทางปฎิบัติเมื่อเกิดอุบีติการได้ดีเป็นระบบ</t>
  </si>
  <si>
    <t>IPD</t>
  </si>
  <si>
    <t>โรงพยาบาลให้การบริการผู้ป่วยด้วยความปลอดภัยเสมอค่ะ</t>
  </si>
  <si>
    <t>ควร รปภ</t>
  </si>
  <si>
    <t>ควรส่งเสริมให้พนักงานมีการรายงานความเสี่ยงอย่างสมำเสมอ มีการพัฒนาวัฒนธรรมความปลอดภับอย่างต่อเนื่อง นำอุบัติการณ์มาแก้ไขอย่างเป็นระบบ</t>
  </si>
  <si>
    <t>เหมือนเดิม ไม่ค่อยได้รับการแก้ใข</t>
  </si>
  <si>
    <t>รพ เห็นความสำคัญของความปลอดภัยพนักงานน้อย</t>
  </si>
  <si>
    <t>มีความปลอดภัยอย่างยิ่ง</t>
  </si>
  <si>
    <t>_</t>
  </si>
  <si>
    <t>ICU</t>
  </si>
  <si>
    <t>เราต้องสร้างมาตรการที่จะจัดการกับความเสี่ยงที่อาจจะเกิดขึ้นก่อนที่จะเกิดความเสี่ยงนั้นๆเน้นแก้ระบบมากกว่าตัวบุคคลๆ</t>
  </si>
  <si>
    <t>อยากให้มีการรายงานในส่วน pre admin มากขึ้น เพื่อจะได้นำข้อมูลไปใช้ในการหาวิธีป้องกันการเกิดเหตุซ้ำต่อไป</t>
  </si>
  <si>
    <t>ไม่มี</t>
  </si>
  <si>
    <t>อยากให้ส่งเสริมและทักษะความรู้ด้านต่างๆให้บุคลากรมากกว่านี้</t>
  </si>
  <si>
    <t>ผู้ป่วยสัมพันธ์</t>
  </si>
  <si>
    <t>เจ้าหน้าที่ทุกคนให้ความสำคัญและความปลอดภัยแก่ผู้ป่วยและผู้รับบริการเป็นอันดับแรกเสมอ</t>
  </si>
  <si>
    <t>ควรจัดสรรทรัพยากรบุคคลให้เพียงพอเพื่อแบ่งหน้าที่ของแต่ละคนชัดเจนยิ่งขึ้น เช่น เเบ่งงาน OPD และ ER ให้ชัดเจน เพื่อการทำงานเป็นไปด้วยความเรียบร้อย</t>
  </si>
  <si>
    <t>จ่ายกลาง</t>
  </si>
  <si>
    <t>ควรทำงานร่วมกันอย่างมีประสิทธิภาพ</t>
  </si>
  <si>
    <t>1. ควรมี Assign ที่ชัดเจน เพื่อป้องกันการเกี่ยงงานเมื่อคนขาดหรือลงพัก และให้ jobงานหรือหน้าที่ชัดเจนขึ้น ตอนนี้มี assign จริง แต่ควรให้มี incharge และ member ที่ชัดเจน ไม่ใช่ช่วยๆกันทำ เปลี่ยนหน้าที่ในเวรไปเรื่อยๆ เดี๋ยวinchargeเป็นmember สักพัก member มานั่งเป็น incharge  2.ควรกระจาย assignและเวรให้เท่ากัน เพื่อลดความเลื่อมล้ำหรือความลำเอียง</t>
  </si>
  <si>
    <t>อยากเสนอให้พิจารณาเรื่องการจัดสรรบุคลากรระหว่างแผนกผู้ป่วยนอก (OPD) และแผนกฉุกเฉิน (ER) ให้มีความชัดเจนมากขึ้น เนื่องจากปัจจุบันยังใช้บุคลากรร่วมกันและมีการกำหนดในแต่ละวันว่าใครจะไปปฏิบัติงานที่แผนกใด ซึ่งบุคลากรแต่ละคนมีความถนัด ประสบการณ์ และความคุ้นเคยกับงานที่แตกต่างกัน  จึงอาจทำให้เกิดปัญหาเรื่องความต่อเนื่องของงาน ภาระงาน และความรับผิดชอบ รวมถึงอาจส่งผลต่อประสิทธิภาพและความปลอดภัยในการให้บริการ</t>
  </si>
  <si>
    <t>ควรมีความปลอดภัยมากขึ้นกว่านี้ เช่น การมีกล้องวงจรปิดทุกจุดที่มีความเสี่ยง</t>
  </si>
  <si>
    <t>คนรายงานความเสี่ยงมักถูกมองว่าเป็นคนไม่ดี เลยไม่มีใครกล้าทำ</t>
  </si>
  <si>
    <t>โอเค</t>
  </si>
  <si>
    <t>ความปลอดภัยเป็นอย่างดีเยี่ยม</t>
  </si>
  <si>
    <t>ตอนนี้มีระบบการจัดการความปลอดภัยในรพ.ได้ดี มีเครื่องมือคู่มือต่างๆมาช่วยมากขึ้น แม้มีเหตุการณ์/ปัญหาที่เกิดขึ้นมาในหลากหลายแบบ สามารถมีแนวทางจากคู่มือที่จัดทำขึ้น ช่วยเป็นแนวทางแก้ปัญหาและทบทวนได้ดี</t>
  </si>
  <si>
    <t>เห็นด้วยคะ เพื่อความปลอดภัยของโรงพยาบาล</t>
  </si>
  <si>
    <t>ขอทำเคาน์เตอร์ระบบเปิดปิด.เพือความปลอดภัยเวรกลางคืน</t>
  </si>
  <si>
    <t>รพควรมีเจ้าหน้าที่รักษาความปลอดภัยประจำโรงพยาบาล</t>
  </si>
  <si>
    <t>มีความรับผิดชอบในการทำงาน ตั้งใจทำงานทำงานด้วยความรอบคอบ ถูกต้อง แม่นยำ</t>
  </si>
  <si>
    <t>ขาดแคลนแพทย์เฉพาะทาง</t>
  </si>
  <si>
    <t>มีความปลอดภัยที่ไว้วางใจได้</t>
  </si>
  <si>
    <t>มีความปลอดภัยอยู่มาก</t>
  </si>
  <si>
    <t>อย่กให้พนักงานช่วยกันดูแลใส่ใจเรื่องการบริการกับคนป่วยและญาติเพื่อป้องกันการร้องเรียน</t>
  </si>
  <si>
    <t>ผู้บริหาร</t>
  </si>
  <si>
    <t>Include_In_Analysis</t>
  </si>
  <si>
    <t>Response_ID</t>
  </si>
  <si>
    <t>กลุ่มงาน</t>
  </si>
  <si>
    <t>A1</t>
  </si>
  <si>
    <t>A8</t>
  </si>
  <si>
    <t>A9</t>
  </si>
  <si>
    <t>A2</t>
  </si>
  <si>
    <t>A3</t>
  </si>
  <si>
    <t>A5</t>
  </si>
  <si>
    <t>A11</t>
  </si>
  <si>
    <t>A4</t>
  </si>
  <si>
    <t>A12</t>
  </si>
  <si>
    <t>A14</t>
  </si>
  <si>
    <t>A6</t>
  </si>
  <si>
    <t>A7</t>
  </si>
  <si>
    <t>A10</t>
  </si>
  <si>
    <t>A13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</si>
  <si>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</si>
  <si>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</si>
  <si>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</si>
  <si>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</si>
  <si>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</si>
  <si>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</si>
  <si>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</si>
  <si>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</si>
  <si>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</si>
  <si>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</si>
  <si>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</si>
  <si>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</si>
  <si>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F1</t>
  </si>
  <si>
    <t>F2</t>
  </si>
  <si>
    <t>F3</t>
  </si>
  <si>
    <t>F4</t>
  </si>
  <si>
    <t>F5</t>
  </si>
  <si>
    <t>F6</t>
  </si>
  <si>
    <t>H1</t>
  </si>
  <si>
    <t>H2</t>
  </si>
  <si>
    <t>Yes</t>
  </si>
  <si>
    <t>Item_Code</t>
  </si>
  <si>
    <t>Section</t>
  </si>
  <si>
    <t>Calculation_Type</t>
  </si>
  <si>
    <t>Negative_Item</t>
  </si>
  <si>
    <t>Positive_Rule</t>
  </si>
  <si>
    <t>Question_TH</t>
  </si>
  <si>
    <t>A</t>
  </si>
  <si>
    <t>Positive</t>
  </si>
  <si>
    <t>No</t>
  </si>
  <si>
    <t>4 หรือ 5</t>
  </si>
  <si>
    <t>ในหน่วยงานหรือพื้นที่ที่ท่านทำงานอยู่ ทุกคนทำงานร่วมกันเป็นทีมอย่างมีประสิทธิภาพ</t>
  </si>
  <si>
    <t>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t>
  </si>
  <si>
    <t>1 หรือ 2</t>
  </si>
  <si>
    <t>ในหน่วยงานที่ท่านทำงานอยู่มีปัญหาเรื่องพฤติกรรมในการทำงานของบุคลากรที่ไม่เคารพซึ่งกันและกัน</t>
  </si>
  <si>
    <t>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t>
  </si>
  <si>
    <t>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t>
  </si>
  <si>
    <t>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t>
  </si>
  <si>
    <t>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t>
  </si>
  <si>
    <t>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t>
  </si>
  <si>
    <t>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t>
  </si>
  <si>
    <t>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t>
  </si>
  <si>
    <t>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t>
  </si>
  <si>
    <t>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t>
  </si>
  <si>
    <t>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t>
  </si>
  <si>
    <t>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t>
  </si>
  <si>
    <t>B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</si>
  <si>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</si>
  <si>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</si>
  <si>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t>
  </si>
  <si>
    <t>C</t>
  </si>
  <si>
    <t>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t>
  </si>
  <si>
    <t>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t>
  </si>
  <si>
    <t>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t>
  </si>
  <si>
    <t>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</si>
  <si>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t>
  </si>
  <si>
    <t>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t>
  </si>
  <si>
    <t>ในหน่วยงานที่ฉันปฏิบัติงานอยู่ บุคลากรกลัวที่จะตั้งคำถามเมื่อพบสิ่งที่ไม่ถูกต้องหรือผิดปกติ</t>
  </si>
  <si>
    <t>D</t>
  </si>
  <si>
    <t>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t>
  </si>
  <si>
    <t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t>
  </si>
  <si>
    <t>F</t>
  </si>
  <si>
    <t>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t>
  </si>
  <si>
    <t>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t>
  </si>
  <si>
    <t>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t>
  </si>
  <si>
    <t>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t>
  </si>
  <si>
    <t>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t>
  </si>
  <si>
    <t>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t>
  </si>
  <si>
    <t>Scope</t>
  </si>
  <si>
    <t>จำนวนผู้ตอบ</t>
  </si>
  <si>
    <t>ภาพรวม</t>
  </si>
  <si>
    <t>ภาพรวมทุกกลุ่ม</t>
  </si>
  <si>
    <t>Item</t>
  </si>
  <si>
    <t>A14. 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t>
  </si>
  <si>
    <t>A13. 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t>
  </si>
  <si>
    <t>HSCS 2569 PCH Data Quality &amp; Transformation Log</t>
  </si>
  <si>
    <t>Check</t>
  </si>
  <si>
    <t>Note</t>
  </si>
  <si>
    <t>Source file</t>
  </si>
  <si>
    <t>HSCS PCH2026 (Responses).xlsx</t>
  </si>
  <si>
    <t>Information</t>
  </si>
  <si>
    <t>ต้นฉบับยังคงอยู่ในชีต Source_Raw</t>
  </si>
  <si>
    <t>Source rows</t>
  </si>
  <si>
    <t>จำนวนแถวข้อมูลทั้งหมด</t>
  </si>
  <si>
    <t>Included rows</t>
  </si>
  <si>
    <t>แถวที่มี Timestamp พื้นที่ สายงาน และคะแนนครบ 1–5</t>
  </si>
  <si>
    <t>สามารถเปลี่ยน Include_In_Analysis ใน Raw_Data ได้</t>
  </si>
  <si>
    <t>Missing item responses</t>
  </si>
  <si>
    <t>32 ข้อต่อผู้ตอบ</t>
  </si>
  <si>
    <t>Invalid item responses</t>
  </si>
  <si>
    <t>ค่าที่ยอมรับคือ 1–5</t>
  </si>
  <si>
    <t>Duplicate timestamps</t>
  </si>
  <si>
    <t>ใช้ตรวจคำตอบซ้ำเบื้องต้น</t>
  </si>
  <si>
    <t>Generated</t>
  </si>
  <si>
    <t>ไฟล์ต้นฉบับไม่มีรหัสบุคลากร จึงสร้างลำดับ 1–58 เพื่ออ้างอิงแถว</t>
  </si>
  <si>
    <t>Free-text comments</t>
  </si>
  <si>
    <t>คอลัมน์ Column 35 ถูกเก็บเป็น H1 ใน Raw_Data</t>
  </si>
  <si>
    <t>External lookup formulas</t>
  </si>
  <si>
    <t>None</t>
  </si>
  <si>
    <t>ไฟล์ต้นฉบับเป็นค่าคงที่ ไม่มีลิงก์ภายนอก</t>
  </si>
  <si>
    <t>Compatibility</t>
  </si>
  <si>
    <t>ไฟล์ต้นฉบับไม่มีระดับกลุ่มงาน จึงใช้ค่ากลุ่มตามสายงานในคอลัมน์กลุ่มงานเพื่อให้แดชบอร์ดกรองได้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</si>
</sst>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12">
    <font>
      <sz val="11"/>
      <name val="Carlito"/>
    </font>
    <font>
      <b/>
      <sz val="10"/>
      <color rgb="FFFFFFFF"/>
      <name val="Arial"/>
      <family val="2"/>
    </font>
    <font>
      <sz val="9"/>
      <color rgb="FF263238"/>
      <name val="Arial"/>
      <family val="2"/>
    </font>
    <font>
      <b/>
      <sz val="9"/>
      <color rgb="FFFFFFFF"/>
      <name val="Arial"/>
      <family val="2"/>
    </font>
    <font>
      <b/>
      <sz val="9"/>
      <color rgb="FF263238"/>
      <name val="Arial"/>
      <family val="2"/>
    </font>
    <font>
      <b/>
      <sz val="22"/>
      <color rgb="FFFFFFFF"/>
      <name val="Arial"/>
      <family val="2"/>
    </font>
    <font>
      <i/>
      <sz val="10"/>
      <color rgb="FF0D47A1"/>
      <name val="Arial"/>
      <family val="2"/>
    </font>
    <font>
      <sz val="10"/>
      <color rgb="FF263238"/>
      <name val="Arial"/>
      <family val="2"/>
    </font>
    <font>
      <b/>
      <sz val="11"/>
      <color rgb="FF0D47A1"/>
      <name val="Arial"/>
      <family val="2"/>
    </font>
    <font>
      <b/>
      <sz val="10"/>
      <color rgb="FF263238"/>
      <name val="Arial"/>
      <family val="2"/>
    </font>
    <font>
      <i/>
      <sz val="9"/>
      <color rgb="FF455A64"/>
      <name val="Arial"/>
      <family val="2"/>
    </font>
    <font>
      <b/>
      <sz val="15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0D47A1"/>
      </patternFill>
    </fill>
    <fill>
      <patternFill patternType="solid">
        <fgColor rgb="FFFFF8E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E3F2FD"/>
      </patternFill>
    </fill>
    <fill>
      <patternFill patternType="solid">
        <fgColor rgb="FFF5F7FA"/>
      </patternFill>
    </fill>
    <fill>
      <patternFill patternType="solid">
        <fgColor rgb="FF546E7A"/>
      </patternFill>
    </fill>
  </fills>
  <borders count="3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 style="thin">
        <color rgb="FFECEFF1"/>
      </right>
      <top/>
      <bottom style="thin">
        <color rgb="FFECEFF1"/>
      </bottom>
      <diagonal/>
    </border>
    <border>
      <left style="thin">
        <color rgb="FFECEFF1"/>
      </left>
      <right style="thin">
        <color rgb="FFECEFF1"/>
      </right>
      <top/>
      <bottom style="thin">
        <color rgb="FFECEFF1"/>
      </bottom>
      <diagonal/>
    </border>
    <border>
      <left style="thin">
        <color rgb="FFECEFF1"/>
      </left>
      <right/>
      <top/>
      <bottom style="thin">
        <color rgb="FFECEFF1"/>
      </bottom>
      <diagonal/>
    </border>
    <border>
      <left/>
      <right style="thin">
        <color rgb="FFECEFF1"/>
      </right>
      <top style="thin">
        <color rgb="FFECEFF1"/>
      </top>
      <bottom style="thin">
        <color rgb="FFECEFF1"/>
      </bottom>
      <diagonal/>
    </border>
    <border>
      <left style="thin">
        <color rgb="FFECEFF1"/>
      </left>
      <right style="thin">
        <color rgb="FFECEFF1"/>
      </right>
      <top style="thin">
        <color rgb="FFECEFF1"/>
      </top>
      <bottom style="thin">
        <color rgb="FFECEFF1"/>
      </bottom>
      <diagonal/>
    </border>
    <border>
      <left style="thin">
        <color rgb="FFECEFF1"/>
      </left>
      <right/>
      <top style="thin">
        <color rgb="FFECEFF1"/>
      </top>
      <bottom style="thin">
        <color rgb="FFECEFF1"/>
      </bottom>
      <diagonal/>
    </border>
    <border>
      <left/>
      <right style="thin">
        <color rgb="FFECEFF1"/>
      </right>
      <top style="thin">
        <color rgb="FFECEFF1"/>
      </top>
      <bottom/>
      <diagonal/>
    </border>
    <border>
      <left style="thin">
        <color rgb="FFECEFF1"/>
      </left>
      <right style="thin">
        <color rgb="FFECEFF1"/>
      </right>
      <top style="thin">
        <color rgb="FFECEFF1"/>
      </top>
      <bottom/>
      <diagonal/>
    </border>
    <border>
      <left style="thin">
        <color rgb="FFECEFF1"/>
      </left>
      <right/>
      <top style="thin">
        <color rgb="FFECEFF1"/>
      </top>
      <bottom/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/>
      <right style="thin">
        <color rgb="FFE3F2FD"/>
      </right>
      <top/>
      <bottom style="thin">
        <color rgb="FFE3F2FD"/>
      </bottom>
      <diagonal/>
    </border>
    <border>
      <left style="thin">
        <color rgb="FFE3F2FD"/>
      </left>
      <right style="thin">
        <color rgb="FFE3F2FD"/>
      </right>
      <top/>
      <bottom style="thin">
        <color rgb="FFE3F2FD"/>
      </bottom>
      <diagonal/>
    </border>
    <border>
      <left style="thin">
        <color rgb="FFE3F2FD"/>
      </left>
      <right/>
      <top/>
      <bottom style="thin">
        <color rgb="FFE3F2FD"/>
      </bottom>
      <diagonal/>
    </border>
    <border>
      <left/>
      <right style="thin">
        <color rgb="FFE3F2FD"/>
      </right>
      <top style="thin">
        <color rgb="FFE3F2FD"/>
      </top>
      <bottom style="thin">
        <color rgb="FFE3F2FD"/>
      </bottom>
      <diagonal/>
    </border>
    <border>
      <left style="thin">
        <color rgb="FFE3F2FD"/>
      </left>
      <right style="thin">
        <color rgb="FFE3F2FD"/>
      </right>
      <top style="thin">
        <color rgb="FFE3F2FD"/>
      </top>
      <bottom style="thin">
        <color rgb="FFE3F2FD"/>
      </bottom>
      <diagonal/>
    </border>
    <border>
      <left style="thin">
        <color rgb="FFE3F2FD"/>
      </left>
      <right/>
      <top style="thin">
        <color rgb="FFE3F2FD"/>
      </top>
      <bottom style="thin">
        <color rgb="FFE3F2FD"/>
      </bottom>
      <diagonal/>
    </border>
    <border>
      <left/>
      <right style="thin">
        <color rgb="FFE3F2FD"/>
      </right>
      <top style="thin">
        <color rgb="FFE3F2FD"/>
      </top>
      <bottom/>
      <diagonal/>
    </border>
    <border>
      <left style="thin">
        <color rgb="FFE3F2FD"/>
      </left>
      <right style="thin">
        <color rgb="FFE3F2FD"/>
      </right>
      <top style="thin">
        <color rgb="FFE3F2FD"/>
      </top>
      <bottom/>
      <diagonal/>
    </border>
    <border>
      <left style="thin">
        <color rgb="FFE3F2FD"/>
      </left>
      <right/>
      <top style="thin">
        <color rgb="FFE3F2FD"/>
      </top>
      <bottom/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  <border>
      <left/>
      <right style="thin">
        <color rgb="FFE8EAF6"/>
      </right>
      <top/>
      <bottom style="thin">
        <color rgb="FFE8EAF6"/>
      </bottom>
      <diagonal/>
    </border>
    <border>
      <left style="thin">
        <color rgb="FFE8EAF6"/>
      </left>
      <right style="thin">
        <color rgb="FFE8EAF6"/>
      </right>
      <top/>
      <bottom style="thin">
        <color rgb="FFE8EAF6"/>
      </bottom>
      <diagonal/>
    </border>
    <border>
      <left style="thin">
        <color rgb="FFE8EAF6"/>
      </left>
      <right/>
      <top/>
      <bottom style="thin">
        <color rgb="FFE8EAF6"/>
      </bottom>
      <diagonal/>
    </border>
    <border>
      <left/>
      <right style="thin">
        <color rgb="FFE8EAF6"/>
      </right>
      <top style="thin">
        <color rgb="FFE8EAF6"/>
      </top>
      <bottom style="thin">
        <color rgb="FFE8EAF6"/>
      </bottom>
      <diagonal/>
    </border>
    <border>
      <left style="thin">
        <color rgb="FFE8EAF6"/>
      </left>
      <right style="thin">
        <color rgb="FFE8EAF6"/>
      </right>
      <top style="thin">
        <color rgb="FFE8EAF6"/>
      </top>
      <bottom style="thin">
        <color rgb="FFE8EAF6"/>
      </bottom>
      <diagonal/>
    </border>
    <border>
      <left style="thin">
        <color rgb="FFE8EAF6"/>
      </left>
      <right/>
      <top style="thin">
        <color rgb="FFE8EAF6"/>
      </top>
      <bottom style="thin">
        <color rgb="FFE8EAF6"/>
      </bottom>
      <diagonal/>
    </border>
    <border>
      <left/>
      <right style="thin">
        <color rgb="FFE8EAF6"/>
      </right>
      <top style="thin">
        <color rgb="FFE8EAF6"/>
      </top>
      <bottom/>
      <diagonal/>
    </border>
    <border>
      <left style="thin">
        <color rgb="FFE8EAF6"/>
      </left>
      <right style="thin">
        <color rgb="FFE8EAF6"/>
      </right>
      <top style="thin">
        <color rgb="FFE8EAF6"/>
      </top>
      <bottom/>
      <diagonal/>
    </border>
    <border>
      <left style="thin">
        <color rgb="FFE8EAF6"/>
      </left>
      <right/>
      <top style="thin">
        <color rgb="FFE8EAF6"/>
      </top>
      <bottom/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/>
      <top/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/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1" fontId="2" fillId="0" borderId="13" xfId="0" applyNumberFormat="1" applyFont="1" applyBorder="1" applyAlignment="1">
      <alignment vertical="center"/>
    </xf>
    <xf numFmtId="1" fontId="2" fillId="0" borderId="16" xfId="0" applyNumberFormat="1" applyFont="1" applyBorder="1" applyAlignment="1">
      <alignment vertical="center"/>
    </xf>
    <xf numFmtId="1" fontId="2" fillId="0" borderId="19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164" fontId="2" fillId="0" borderId="19" xfId="0" applyNumberFormat="1" applyFont="1" applyBorder="1" applyAlignment="1">
      <alignment vertical="center"/>
    </xf>
    <xf numFmtId="0" fontId="1" fillId="5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1" fillId="6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3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8" xfId="0" applyFont="1" applyBorder="1"/>
    <xf numFmtId="0" fontId="2" fillId="0" borderId="29" xfId="0" applyFont="1" applyBorder="1"/>
    <xf numFmtId="3" fontId="2" fillId="0" borderId="24" xfId="0" applyNumberFormat="1" applyFont="1" applyBorder="1"/>
    <xf numFmtId="3" fontId="2" fillId="0" borderId="27" xfId="0" applyNumberFormat="1" applyFont="1" applyBorder="1"/>
    <xf numFmtId="3" fontId="2" fillId="0" borderId="30" xfId="0" applyNumberFormat="1" applyFont="1" applyBorder="1"/>
    <xf numFmtId="0" fontId="3" fillId="3" borderId="1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165" fontId="4" fillId="0" borderId="37" xfId="0" applyNumberFormat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3" fontId="8" fillId="0" borderId="14" xfId="0" applyNumberFormat="1" applyFont="1" applyBorder="1" applyAlignment="1">
      <alignment horizontal="right" vertical="center"/>
    </xf>
    <xf numFmtId="3" fontId="8" fillId="0" borderId="17" xfId="0" applyNumberFormat="1" applyFont="1" applyBorder="1" applyAlignment="1">
      <alignment horizontal="right" vertical="center"/>
    </xf>
    <xf numFmtId="165" fontId="8" fillId="0" borderId="17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165" fontId="9" fillId="0" borderId="37" xfId="0" applyNumberFormat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5" fillId="3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0" fillId="8" borderId="0" xfId="0" applyFont="1" applyFill="1" applyAlignment="1">
      <alignment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8">
    <dxf>
      <font>
        <b/>
        <color rgb="FFFFFFFF"/>
      </font>
      <fill>
        <patternFill patternType="solid">
          <bgColor rgb="FF2E7D32"/>
        </patternFill>
      </fill>
    </dxf>
    <dxf>
      <font>
        <b/>
        <color rgb="FF212121"/>
      </font>
      <fill>
        <patternFill patternType="solid">
          <bgColor rgb="FFFDD835"/>
        </patternFill>
      </fill>
    </dxf>
    <dxf>
      <font>
        <b/>
        <color rgb="FFFFFFFF"/>
      </font>
      <fill>
        <patternFill patternType="solid">
          <bgColor rgb="FFEF6C00"/>
        </patternFill>
      </fill>
    </dxf>
    <dxf>
      <font>
        <b/>
        <color rgb="FFFFFFFF"/>
      </font>
      <fill>
        <patternFill patternType="solid">
          <bgColor rgb="FFC62828"/>
        </patternFill>
      </fill>
    </dxf>
    <dxf>
      <font>
        <b/>
        <color rgb="FFFFFFFF"/>
      </font>
      <fill>
        <patternFill patternType="solid">
          <bgColor rgb="FF2E7D32"/>
        </patternFill>
      </fill>
    </dxf>
    <dxf>
      <font>
        <b/>
        <color rgb="FF212121"/>
      </font>
      <fill>
        <patternFill patternType="solid">
          <bgColor rgb="FFFDD835"/>
        </patternFill>
      </fill>
    </dxf>
    <dxf>
      <font>
        <b/>
        <color rgb="FFFFFFFF"/>
      </font>
      <fill>
        <patternFill patternType="solid">
          <bgColor rgb="FFEF6C00"/>
        </patternFill>
      </fill>
    </dxf>
    <dxf>
      <font>
        <b/>
        <color rgb="FFFFFFFF"/>
      </font>
      <fill>
        <patternFill patternType="solid">
          <bgColor rgb="FFC6282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/>
              <a:t>ร้อยละคำตอบเชิงบวกตามมิติ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Positive</c:v>
          </c:tx>
          <c:invertIfNegative val="1"/>
          <c:cat>
            <c:strRef>
              <c:f>'00_Dashboard'!$D$5:$D$14</c:f>
              <c:strCache>
                <c:ptCount val="10"/>
                <c:pt idx="0">
                  <c:v>1. การทำงานเป็นทีม</c:v>
                </c:pt>
                <c:pt idx="1">
                  <c:v>2. บุคลากรและพื้นที่การทำงาน</c:v>
                </c:pt>
                <c:pt idx="2">
                  <c:v>3. การเป็นองค์กรแห่งการเรียนรู้ มีการพัฒนาอย่างต่อเนื่อง</c:v>
                </c:pt>
                <c:pt idx="3">
                  <c:v>4. การตอบสนองต่อความคลาดเคลื่อน</c:v>
                </c:pt>
                <c:pt idx="4">
                  <c:v>5. การสนับสนุนของหัวหน้างาน, ผู้จัดการ หรือทีมนำทางคลินิกในเรื่องความปลอดภัย</c:v>
                </c:pt>
                <c:pt idx="5">
                  <c:v>6. การสื่อสารเรื่องความคลาดเคลื่อน</c:v>
                </c:pt>
                <c:pt idx="6">
                  <c:v>7. การสื่อสารที่เปิดกว้าง</c:v>
                </c:pt>
                <c:pt idx="7">
                  <c:v>8. การรายงานเหตุการณ์ความปลอดภัยของผู้ป่วย/ผู้รับบริการ</c:v>
                </c:pt>
                <c:pt idx="8">
                  <c:v>9. การสนับสนุนจากทีมผู้บริหารของสถานพยาบาลในเรื่องความปลอดภัยของผู้ป่วย /ผู้รับบริการ</c:v>
                </c:pt>
                <c:pt idx="9">
                  <c:v>10. การส่งต่องานและแลกเปลี่ยนข้อมูล ในการเปลี่ยนผ่านระหว่างหน่วยงานหรือเวร</c:v>
                </c:pt>
              </c:strCache>
            </c:strRef>
          </c:cat>
          <c:val>
            <c:numRef>
              <c:f>'00_Dashboard'!$E$5:$E$14</c:f>
              <c:numCache>
                <c:formatCode>0.0</c:formatCode>
                <c:ptCount val="10"/>
                <c:pt idx="0">
                  <c:v>57.471264367816083</c:v>
                </c:pt>
                <c:pt idx="1">
                  <c:v>36.206896551724142</c:v>
                </c:pt>
                <c:pt idx="2">
                  <c:v>59.770114942528743</c:v>
                </c:pt>
                <c:pt idx="3">
                  <c:v>44.396551724137936</c:v>
                </c:pt>
                <c:pt idx="4">
                  <c:v>52.298850574712645</c:v>
                </c:pt>
                <c:pt idx="5">
                  <c:v>62.068965517241374</c:v>
                </c:pt>
                <c:pt idx="6">
                  <c:v>52.155172413793103</c:v>
                </c:pt>
                <c:pt idx="7">
                  <c:v>43.103448275862071</c:v>
                </c:pt>
                <c:pt idx="8">
                  <c:v>64.367816091954026</c:v>
                </c:pt>
                <c:pt idx="9">
                  <c:v>66.091954022988503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3-41A9-93D7-45556EF8C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CS69PCHRawDataTable" displayName="HSCS69PCHRawDataTable" ref="A1:AN59" totalsRowShown="0">
  <autoFilter ref="A1:AN59" xr:uid="{00000000-0009-0000-0100-000001000000}"/>
  <tableColumns count="40">
    <tableColumn id="1" xr3:uid="{00000000-0010-0000-0000-000001000000}" name="Include_In_Analysis"/>
    <tableColumn id="2" xr3:uid="{00000000-0010-0000-0000-000002000000}" name="Response_ID"/>
    <tableColumn id="3" xr3:uid="{00000000-0010-0000-0000-000003000000}" name="Timestamp"/>
    <tableColumn id="4" xr3:uid="{00000000-0010-0000-0000-000004000000}" name="พื้นที่ปฏิบัติงาน"/>
    <tableColumn id="5" xr3:uid="{00000000-0010-0000-0000-000005000000}" name="กลุ่มตามสายงาน"/>
    <tableColumn id="6" xr3:uid="{00000000-0010-0000-0000-000006000000}" name="กลุ่มงาน"/>
    <tableColumn id="7" xr3:uid="{00000000-0010-0000-0000-000007000000}" name="A1"/>
    <tableColumn id="8" xr3:uid="{00000000-0010-0000-0000-000008000000}" name="A8"/>
    <tableColumn id="9" xr3:uid="{00000000-0010-0000-0000-000009000000}" name="A9"/>
    <tableColumn id="10" xr3:uid="{00000000-0010-0000-0000-00000A000000}" name="A2"/>
    <tableColumn id="11" xr3:uid="{00000000-0010-0000-0000-00000B000000}" name="A3"/>
    <tableColumn id="12" xr3:uid="{00000000-0010-0000-0000-00000C000000}" name="A5"/>
    <tableColumn id="13" xr3:uid="{00000000-0010-0000-0000-00000D000000}" name="A11"/>
    <tableColumn id="14" xr3:uid="{00000000-0010-0000-0000-00000E000000}" name="A4"/>
    <tableColumn id="15" xr3:uid="{00000000-0010-0000-0000-00000F000000}" name="A12"/>
    <tableColumn id="16" xr3:uid="{00000000-0010-0000-0000-000010000000}" name="A14"/>
    <tableColumn id="17" xr3:uid="{00000000-0010-0000-0000-000011000000}" name="A6"/>
    <tableColumn id="18" xr3:uid="{00000000-0010-0000-0000-000012000000}" name="A7"/>
    <tableColumn id="19" xr3:uid="{00000000-0010-0000-0000-000013000000}" name="A10"/>
    <tableColumn id="20" xr3:uid="{00000000-0010-0000-0000-000014000000}" name="A13"/>
    <tableColumn id="21" xr3:uid="{00000000-0010-0000-0000-000015000000}" name="B1"/>
    <tableColumn id="22" xr3:uid="{00000000-0010-0000-0000-000016000000}" name="B2"/>
    <tableColumn id="23" xr3:uid="{00000000-0010-0000-0000-000017000000}" name="B3"/>
    <tableColumn id="24" xr3:uid="{00000000-0010-0000-0000-000018000000}" name="C1"/>
    <tableColumn id="25" xr3:uid="{00000000-0010-0000-0000-000019000000}" name="C2"/>
    <tableColumn id="26" xr3:uid="{00000000-0010-0000-0000-00001A000000}" name="C3"/>
    <tableColumn id="27" xr3:uid="{00000000-0010-0000-0000-00001B000000}" name="C4"/>
    <tableColumn id="28" xr3:uid="{00000000-0010-0000-0000-00001C000000}" name="C5"/>
    <tableColumn id="29" xr3:uid="{00000000-0010-0000-0000-00001D000000}" name="C6"/>
    <tableColumn id="30" xr3:uid="{00000000-0010-0000-0000-00001E000000}" name="C7"/>
    <tableColumn id="31" xr3:uid="{00000000-0010-0000-0000-00001F000000}" name="D1"/>
    <tableColumn id="32" xr3:uid="{00000000-0010-0000-0000-000020000000}" name="D2"/>
    <tableColumn id="33" xr3:uid="{00000000-0010-0000-0000-000021000000}" name="F1"/>
    <tableColumn id="34" xr3:uid="{00000000-0010-0000-0000-000022000000}" name="F2"/>
    <tableColumn id="35" xr3:uid="{00000000-0010-0000-0000-000023000000}" name="F3"/>
    <tableColumn id="36" xr3:uid="{00000000-0010-0000-0000-000024000000}" name="F4"/>
    <tableColumn id="37" xr3:uid="{00000000-0010-0000-0000-000025000000}" name="F5"/>
    <tableColumn id="38" xr3:uid="{00000000-0010-0000-0000-000026000000}" name="F6"/>
    <tableColumn id="39" xr3:uid="{00000000-0010-0000-0000-000027000000}" name="H1"/>
    <tableColumn id="40" xr3:uid="{00000000-0010-0000-0000-000028000000}" name="H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SCS69PCHItemMetadataTable" displayName="HSCS69PCHItemMetadataTable" ref="A1:G33" totalsRowShown="0">
  <tableColumns count="7">
    <tableColumn id="1" xr3:uid="{00000000-0010-0000-0100-000001000000}" name="Item_Code"/>
    <tableColumn id="2" xr3:uid="{00000000-0010-0000-0100-000002000000}" name="Dimension"/>
    <tableColumn id="3" xr3:uid="{00000000-0010-0000-0100-000003000000}" name="Section"/>
    <tableColumn id="4" xr3:uid="{00000000-0010-0000-0100-000004000000}" name="Calculation_Type"/>
    <tableColumn id="5" xr3:uid="{00000000-0010-0000-0100-000005000000}" name="Negative_Item"/>
    <tableColumn id="6" xr3:uid="{00000000-0010-0000-0100-000006000000}" name="Positive_Rule"/>
    <tableColumn id="7" xr3:uid="{00000000-0010-0000-0100-000007000000}" name="Question_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SCS69PCHUnitIndexTable" displayName="HSCS69PCHUnitIndexTable" ref="A1:E48" totalsRowShown="0">
  <tableColumns count="5">
    <tableColumn id="1" xr3:uid="{00000000-0010-0000-0200-000001000000}" name="Scope"/>
    <tableColumn id="2" xr3:uid="{00000000-0010-0000-0200-000002000000}" name="กลุ่มตามสายงาน"/>
    <tableColumn id="3" xr3:uid="{00000000-0010-0000-0200-000003000000}" name="กลุ่มงาน"/>
    <tableColumn id="4" xr3:uid="{00000000-0010-0000-0200-000004000000}" name="พื้นที่ปฏิบัติงาน"/>
    <tableColumn id="5" xr3:uid="{00000000-0010-0000-0200-000005000000}" name="จำนวนผู้ตอบ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showGridLines="0" workbookViewId="0"/>
  </sheetViews>
  <sheetFormatPr defaultRowHeight="13.8"/>
  <cols>
    <col min="1" max="1" width="31" customWidth="1"/>
    <col min="2" max="2" width="18" customWidth="1"/>
    <col min="3" max="3" width="3" customWidth="1"/>
    <col min="4" max="4" width="52" customWidth="1"/>
    <col min="5" max="5" width="16" customWidth="1"/>
    <col min="6" max="6" width="24" customWidth="1"/>
    <col min="7" max="7" width="3" customWidth="1"/>
  </cols>
  <sheetData>
    <row r="1" spans="1:15" ht="37.950000000000003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25.0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4" spans="1:15">
      <c r="A4" s="55" t="s">
        <v>2</v>
      </c>
      <c r="B4" s="55" t="s">
        <v>3</v>
      </c>
      <c r="D4" s="55" t="s">
        <v>4</v>
      </c>
      <c r="E4" s="55" t="s">
        <v>5</v>
      </c>
      <c r="F4" s="55" t="s">
        <v>6</v>
      </c>
    </row>
    <row r="5" spans="1:15" ht="28.05" customHeight="1">
      <c r="A5" s="56" t="s">
        <v>7</v>
      </c>
      <c r="B5" s="59">
        <f>COUNTA(Source_Raw!$A$2:$A$59)</f>
        <v>58</v>
      </c>
      <c r="D5" s="62" t="s">
        <v>8</v>
      </c>
      <c r="E5" s="68">
        <f>AVERAGE(HSCS2569!$C$4:$C$6)</f>
        <v>57.471264367816083</v>
      </c>
      <c r="F5" s="63" t="str">
        <f t="shared" ref="F5:F14" si="0">IF(E5&lt;60,"ควรพัฒนาด่วน",IF(E5&lt;=70,"เร่งพัฒนา",IF(E5&lt;=80,"ควรพัฒนาต่อเนื่อง","ควรส่งเสริม")))</f>
        <v>ควรพัฒนาด่วน</v>
      </c>
    </row>
    <row r="6" spans="1:15" ht="28.05" customHeight="1">
      <c r="A6" s="57" t="s">
        <v>9</v>
      </c>
      <c r="B6" s="60">
        <f>COUNTIF(Raw_Data!$A$2:$A$59,"Yes")</f>
        <v>58</v>
      </c>
      <c r="D6" s="64" t="s">
        <v>10</v>
      </c>
      <c r="E6" s="68">
        <f>AVERAGE(HSCS2569!$C$7:$C$10)</f>
        <v>36.206896551724142</v>
      </c>
      <c r="F6" s="65" t="str">
        <f t="shared" si="0"/>
        <v>ควรพัฒนาด่วน</v>
      </c>
    </row>
    <row r="7" spans="1:15" ht="28.05" customHeight="1">
      <c r="A7" s="57" t="s">
        <v>11</v>
      </c>
      <c r="B7" s="60">
        <f>B5-B6</f>
        <v>0</v>
      </c>
      <c r="D7" s="64" t="s">
        <v>12</v>
      </c>
      <c r="E7" s="68">
        <f>AVERAGE(HSCS2569!$C$11:$C$13)</f>
        <v>59.770114942528743</v>
      </c>
      <c r="F7" s="65" t="str">
        <f t="shared" si="0"/>
        <v>ควรพัฒนาด่วน</v>
      </c>
    </row>
    <row r="8" spans="1:15" ht="28.05" customHeight="1">
      <c r="A8" s="57" t="s">
        <v>13</v>
      </c>
      <c r="B8" s="60">
        <f>COUNTA(Raw_Data!$B$2:$B$59)</f>
        <v>58</v>
      </c>
      <c r="D8" s="64" t="s">
        <v>14</v>
      </c>
      <c r="E8" s="68">
        <f>AVERAGE(HSCS2569!$C$14:$C$17)</f>
        <v>44.396551724137936</v>
      </c>
      <c r="F8" s="65" t="str">
        <f t="shared" si="0"/>
        <v>ควรพัฒนาด่วน</v>
      </c>
    </row>
    <row r="9" spans="1:15" ht="28.05" customHeight="1">
      <c r="A9" s="57" t="s">
        <v>15</v>
      </c>
      <c r="B9" s="60">
        <f>COUNTA(Item_Metadata!$A$2:$A$33)</f>
        <v>32</v>
      </c>
      <c r="D9" s="64" t="s">
        <v>16</v>
      </c>
      <c r="E9" s="68">
        <f>AVERAGE(HSCS2569!$C$18:$C$20)</f>
        <v>52.298850574712645</v>
      </c>
      <c r="F9" s="65" t="str">
        <f t="shared" si="0"/>
        <v>ควรพัฒนาด่วน</v>
      </c>
    </row>
    <row r="10" spans="1:15" ht="28.05" customHeight="1">
      <c r="A10" s="57" t="s">
        <v>17</v>
      </c>
      <c r="B10" s="60">
        <f>COUNTA(_xlfn.UNIQUE(Item_Metadata!$B$2:$B$33))</f>
        <v>10</v>
      </c>
      <c r="D10" s="64" t="s">
        <v>18</v>
      </c>
      <c r="E10" s="68">
        <f>AVERAGE(HSCS2569!$C$21:$C$23)</f>
        <v>62.068965517241374</v>
      </c>
      <c r="F10" s="65" t="str">
        <f t="shared" si="0"/>
        <v>เร่งพัฒนา</v>
      </c>
    </row>
    <row r="11" spans="1:15" ht="28.05" customHeight="1">
      <c r="A11" s="57" t="s">
        <v>19</v>
      </c>
      <c r="B11" s="60">
        <f>COUNTA(_xlfn.UNIQUE(Raw_Data!$E$2:$E$59))</f>
        <v>4</v>
      </c>
      <c r="D11" s="64" t="s">
        <v>20</v>
      </c>
      <c r="E11" s="68">
        <f>AVERAGE(HSCS2569!$C$24:$C$27)</f>
        <v>52.155172413793103</v>
      </c>
      <c r="F11" s="65" t="str">
        <f t="shared" si="0"/>
        <v>ควรพัฒนาด่วน</v>
      </c>
    </row>
    <row r="12" spans="1:15" ht="28.05" customHeight="1">
      <c r="A12" s="57" t="s">
        <v>21</v>
      </c>
      <c r="B12" s="60">
        <f>COUNTA(_xlfn.UNIQUE(Raw_Data!$D$2:$D$59))</f>
        <v>18</v>
      </c>
      <c r="D12" s="64" t="s">
        <v>22</v>
      </c>
      <c r="E12" s="68">
        <f>AVERAGE(HSCS2569!$C$28:$C$29)</f>
        <v>43.103448275862071</v>
      </c>
      <c r="F12" s="65" t="str">
        <f t="shared" si="0"/>
        <v>ควรพัฒนาด่วน</v>
      </c>
    </row>
    <row r="13" spans="1:15" ht="28.05" customHeight="1">
      <c r="A13" s="57" t="s">
        <v>23</v>
      </c>
      <c r="B13" s="61">
        <f>AVERAGE(HSCS2569!$C$4:$C$35)</f>
        <v>53.232758620689658</v>
      </c>
      <c r="D13" s="64" t="s">
        <v>24</v>
      </c>
      <c r="E13" s="68">
        <f>AVERAGE(HSCS2569!$C$30:$C$32)</f>
        <v>64.367816091954026</v>
      </c>
      <c r="F13" s="65" t="str">
        <f t="shared" si="0"/>
        <v>เร่งพัฒนา</v>
      </c>
    </row>
    <row r="14" spans="1:15" ht="28.05" customHeight="1">
      <c r="A14" s="57" t="s">
        <v>25</v>
      </c>
      <c r="B14" s="60">
        <f>COUNTIF(HSCS2569!$C$4:$C$35,"&lt;60")</f>
        <v>19</v>
      </c>
      <c r="D14" s="66" t="s">
        <v>26</v>
      </c>
      <c r="E14" s="68">
        <f>AVERAGE(HSCS2569!$C$33:$C$35)</f>
        <v>66.091954022988503</v>
      </c>
      <c r="F14" s="67" t="str">
        <f t="shared" si="0"/>
        <v>เร่งพัฒนา</v>
      </c>
    </row>
    <row r="15" spans="1:15" ht="28.05" customHeight="1">
      <c r="A15" s="58" t="s">
        <v>27</v>
      </c>
      <c r="B15" s="60">
        <f>COUNTIFS(HSCS2569!$C$4:$C$35,"&gt;=60",HSCS2569!$C$4:$C$35,"&lt;=70")</f>
        <v>10</v>
      </c>
    </row>
    <row r="17" spans="1:6" ht="25.95" customHeight="1">
      <c r="A17" s="81" t="s">
        <v>28</v>
      </c>
      <c r="B17" s="81"/>
      <c r="C17" s="81"/>
      <c r="D17" s="81"/>
      <c r="E17" s="81"/>
      <c r="F17" s="81"/>
    </row>
    <row r="18" spans="1:6" ht="25.95" customHeight="1">
      <c r="A18" s="81" t="s">
        <v>29</v>
      </c>
      <c r="B18" s="81"/>
      <c r="C18" s="81"/>
      <c r="D18" s="81"/>
      <c r="E18" s="81"/>
      <c r="F18" s="81"/>
    </row>
  </sheetData>
  <mergeCells count="4">
    <mergeCell ref="A1:O1"/>
    <mergeCell ref="A2:O2"/>
    <mergeCell ref="A17:F17"/>
    <mergeCell ref="A18:F18"/>
  </mergeCells>
  <conditionalFormatting sqref="E5:E14">
    <cfRule type="expression" dxfId="7" priority="1">
      <formula>AND(ISNUMBER(E5),E5&lt;60)</formula>
    </cfRule>
    <cfRule type="expression" dxfId="6" priority="2">
      <formula>AND(ISNUMBER(E5),E5&gt;=60,E5&lt;=70)</formula>
    </cfRule>
    <cfRule type="expression" dxfId="5" priority="3">
      <formula>AND(ISNUMBER(E5),E5&gt;70,E5&lt;=80)</formula>
    </cfRule>
    <cfRule type="expression" dxfId="4" priority="4">
      <formula>AND(ISNUMBER(E5),E5&gt;80)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9"/>
  <sheetViews>
    <sheetView showGridLines="0" tabSelected="1" topLeftCell="Y1" workbookViewId="0">
      <selection activeCell="AJ5" sqref="AJ5"/>
    </sheetView>
  </sheetViews>
  <sheetFormatPr defaultRowHeight="13.8"/>
  <cols>
    <col min="1" max="1" width="20" customWidth="1"/>
    <col min="2" max="3" width="32" customWidth="1"/>
    <col min="4" max="35" width="6" customWidth="1"/>
    <col min="36" max="36" width="70" customWidth="1"/>
  </cols>
  <sheetData>
    <row r="1" spans="1:36" ht="42" customHeight="1">
      <c r="A1" s="1" t="s">
        <v>30</v>
      </c>
      <c r="B1" s="1" t="s">
        <v>19</v>
      </c>
      <c r="C1" s="1" t="s">
        <v>21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166</v>
      </c>
    </row>
    <row r="2" spans="1:36">
      <c r="A2" s="8">
        <v>46245.490659664356</v>
      </c>
      <c r="B2" s="2" t="s">
        <v>63</v>
      </c>
      <c r="C2" s="2" t="s">
        <v>64</v>
      </c>
      <c r="D2" s="2">
        <v>1</v>
      </c>
      <c r="E2" s="2">
        <v>1</v>
      </c>
      <c r="F2" s="2">
        <v>2</v>
      </c>
      <c r="G2" s="2">
        <v>1</v>
      </c>
      <c r="H2" s="2">
        <v>5</v>
      </c>
      <c r="I2" s="2">
        <v>5</v>
      </c>
      <c r="J2" s="2">
        <v>5</v>
      </c>
      <c r="K2" s="2">
        <v>2</v>
      </c>
      <c r="L2" s="2">
        <v>5</v>
      </c>
      <c r="M2" s="2">
        <v>3</v>
      </c>
      <c r="N2" s="2">
        <v>5</v>
      </c>
      <c r="O2" s="2">
        <v>4</v>
      </c>
      <c r="P2" s="2">
        <v>5</v>
      </c>
      <c r="Q2" s="2">
        <v>3</v>
      </c>
      <c r="R2" s="2">
        <v>1</v>
      </c>
      <c r="S2" s="2">
        <v>1</v>
      </c>
      <c r="T2" s="2">
        <v>3</v>
      </c>
      <c r="U2" s="2">
        <v>5</v>
      </c>
      <c r="V2" s="2">
        <v>4</v>
      </c>
      <c r="W2" s="2">
        <v>5</v>
      </c>
      <c r="X2" s="2">
        <v>2</v>
      </c>
      <c r="Y2" s="2">
        <v>1</v>
      </c>
      <c r="Z2" s="2">
        <v>5</v>
      </c>
      <c r="AA2" s="2">
        <v>4</v>
      </c>
      <c r="AB2" s="2">
        <v>2</v>
      </c>
      <c r="AC2" s="2">
        <v>4</v>
      </c>
      <c r="AD2" s="2">
        <v>4</v>
      </c>
      <c r="AE2" s="2">
        <v>5</v>
      </c>
      <c r="AF2" s="2">
        <v>5</v>
      </c>
      <c r="AG2" s="2">
        <v>1</v>
      </c>
      <c r="AH2" s="2">
        <v>1</v>
      </c>
      <c r="AI2" s="2">
        <v>1</v>
      </c>
      <c r="AJ2" s="3"/>
    </row>
    <row r="3" spans="1:36">
      <c r="A3" s="9">
        <v>46245.495483379629</v>
      </c>
      <c r="B3" s="4" t="s">
        <v>65</v>
      </c>
      <c r="C3" s="4" t="s">
        <v>66</v>
      </c>
      <c r="D3" s="4">
        <v>4</v>
      </c>
      <c r="E3" s="4">
        <v>4</v>
      </c>
      <c r="F3" s="4">
        <v>2</v>
      </c>
      <c r="G3" s="4">
        <v>3</v>
      </c>
      <c r="H3" s="4">
        <v>4</v>
      </c>
      <c r="I3" s="4">
        <v>2</v>
      </c>
      <c r="J3" s="4">
        <v>2</v>
      </c>
      <c r="K3" s="4">
        <v>4</v>
      </c>
      <c r="L3" s="4">
        <v>1</v>
      </c>
      <c r="M3" s="4">
        <v>4</v>
      </c>
      <c r="N3" s="4">
        <v>1</v>
      </c>
      <c r="O3" s="4">
        <v>4</v>
      </c>
      <c r="P3" s="4">
        <v>1</v>
      </c>
      <c r="Q3" s="4">
        <v>3</v>
      </c>
      <c r="R3" s="4">
        <v>3</v>
      </c>
      <c r="S3" s="4">
        <v>2</v>
      </c>
      <c r="T3" s="4">
        <v>4</v>
      </c>
      <c r="U3" s="4">
        <v>4</v>
      </c>
      <c r="V3" s="4">
        <v>3</v>
      </c>
      <c r="W3" s="4">
        <v>4</v>
      </c>
      <c r="X3" s="4">
        <v>4</v>
      </c>
      <c r="Y3" s="4">
        <v>3</v>
      </c>
      <c r="Z3" s="4">
        <v>4</v>
      </c>
      <c r="AA3" s="4">
        <v>3</v>
      </c>
      <c r="AB3" s="4">
        <v>4</v>
      </c>
      <c r="AC3" s="4">
        <v>3</v>
      </c>
      <c r="AD3" s="4">
        <v>5</v>
      </c>
      <c r="AE3" s="4">
        <v>5</v>
      </c>
      <c r="AF3" s="4">
        <v>1</v>
      </c>
      <c r="AG3" s="4">
        <v>1</v>
      </c>
      <c r="AH3" s="4">
        <v>1</v>
      </c>
      <c r="AI3" s="4">
        <v>5</v>
      </c>
      <c r="AJ3" s="5"/>
    </row>
    <row r="4" spans="1:36">
      <c r="A4" s="9">
        <v>46245.496583194443</v>
      </c>
      <c r="B4" s="4" t="s">
        <v>65</v>
      </c>
      <c r="C4" s="4" t="s">
        <v>67</v>
      </c>
      <c r="D4" s="4">
        <v>4</v>
      </c>
      <c r="E4" s="4">
        <v>5</v>
      </c>
      <c r="F4" s="4">
        <v>1</v>
      </c>
      <c r="G4" s="4">
        <v>4</v>
      </c>
      <c r="H4" s="4">
        <v>1</v>
      </c>
      <c r="I4" s="4">
        <v>1</v>
      </c>
      <c r="J4" s="4">
        <v>1</v>
      </c>
      <c r="K4" s="4">
        <v>3</v>
      </c>
      <c r="L4" s="4">
        <v>3</v>
      </c>
      <c r="M4" s="4">
        <v>4</v>
      </c>
      <c r="N4" s="4">
        <v>3</v>
      </c>
      <c r="O4" s="4">
        <v>3</v>
      </c>
      <c r="P4" s="4">
        <v>1</v>
      </c>
      <c r="Q4" s="4">
        <v>1</v>
      </c>
      <c r="R4" s="4">
        <v>3</v>
      </c>
      <c r="S4" s="4">
        <v>2</v>
      </c>
      <c r="T4" s="4">
        <v>2</v>
      </c>
      <c r="U4" s="4">
        <v>2</v>
      </c>
      <c r="V4" s="4">
        <v>3</v>
      </c>
      <c r="W4" s="4">
        <v>3</v>
      </c>
      <c r="X4" s="4">
        <v>3</v>
      </c>
      <c r="Y4" s="4">
        <v>4</v>
      </c>
      <c r="Z4" s="4">
        <v>4</v>
      </c>
      <c r="AA4" s="4">
        <v>4</v>
      </c>
      <c r="AB4" s="4">
        <v>5</v>
      </c>
      <c r="AC4" s="4">
        <v>5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5"/>
    </row>
    <row r="5" spans="1:36">
      <c r="A5" s="9">
        <v>46245.501802060186</v>
      </c>
      <c r="B5" s="4" t="s">
        <v>63</v>
      </c>
      <c r="C5" s="4" t="s">
        <v>68</v>
      </c>
      <c r="D5" s="4">
        <v>4</v>
      </c>
      <c r="E5" s="4">
        <v>3</v>
      </c>
      <c r="F5" s="4">
        <v>3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3</v>
      </c>
      <c r="O5" s="4">
        <v>4</v>
      </c>
      <c r="P5" s="4">
        <v>1</v>
      </c>
      <c r="Q5" s="4">
        <v>1</v>
      </c>
      <c r="R5" s="4">
        <v>3</v>
      </c>
      <c r="S5" s="4">
        <v>2</v>
      </c>
      <c r="T5" s="4">
        <v>3</v>
      </c>
      <c r="U5" s="4">
        <v>4</v>
      </c>
      <c r="V5" s="4">
        <v>4</v>
      </c>
      <c r="W5" s="4">
        <v>3</v>
      </c>
      <c r="X5" s="4">
        <v>4</v>
      </c>
      <c r="Y5" s="4">
        <v>2</v>
      </c>
      <c r="Z5" s="4">
        <v>3</v>
      </c>
      <c r="AA5" s="4">
        <v>3</v>
      </c>
      <c r="AB5" s="4">
        <v>3</v>
      </c>
      <c r="AC5" s="4">
        <v>4</v>
      </c>
      <c r="AD5" s="4">
        <v>5</v>
      </c>
      <c r="AE5" s="4">
        <v>4</v>
      </c>
      <c r="AF5" s="4">
        <v>3</v>
      </c>
      <c r="AG5" s="4">
        <v>1</v>
      </c>
      <c r="AH5" s="4">
        <v>1</v>
      </c>
      <c r="AI5" s="4">
        <v>5</v>
      </c>
      <c r="AJ5" s="5" t="s">
        <v>69</v>
      </c>
    </row>
    <row r="6" spans="1:36">
      <c r="A6" s="9">
        <v>46245.517431759261</v>
      </c>
      <c r="B6" s="4" t="s">
        <v>65</v>
      </c>
      <c r="C6" s="4" t="s">
        <v>66</v>
      </c>
      <c r="D6" s="4">
        <v>4</v>
      </c>
      <c r="E6" s="4">
        <v>4</v>
      </c>
      <c r="F6" s="4">
        <v>2</v>
      </c>
      <c r="G6" s="4">
        <v>4</v>
      </c>
      <c r="H6" s="4">
        <v>4</v>
      </c>
      <c r="I6" s="4">
        <v>2</v>
      </c>
      <c r="J6" s="4">
        <v>2</v>
      </c>
      <c r="K6" s="4">
        <v>4</v>
      </c>
      <c r="L6" s="4">
        <v>1</v>
      </c>
      <c r="M6" s="4">
        <v>4</v>
      </c>
      <c r="N6" s="4">
        <v>1</v>
      </c>
      <c r="O6" s="4">
        <v>4</v>
      </c>
      <c r="P6" s="4">
        <v>2</v>
      </c>
      <c r="Q6" s="4">
        <v>1</v>
      </c>
      <c r="R6" s="4">
        <v>4</v>
      </c>
      <c r="S6" s="4">
        <v>2</v>
      </c>
      <c r="T6" s="4">
        <v>4</v>
      </c>
      <c r="U6" s="4">
        <v>4</v>
      </c>
      <c r="V6" s="4">
        <v>4</v>
      </c>
      <c r="W6" s="4">
        <v>3</v>
      </c>
      <c r="X6" s="4">
        <v>4</v>
      </c>
      <c r="Y6" s="4">
        <v>3</v>
      </c>
      <c r="Z6" s="4">
        <v>4</v>
      </c>
      <c r="AA6" s="4">
        <v>3</v>
      </c>
      <c r="AB6" s="4">
        <v>4</v>
      </c>
      <c r="AC6" s="4">
        <v>3</v>
      </c>
      <c r="AD6" s="4">
        <v>4</v>
      </c>
      <c r="AE6" s="4">
        <v>4</v>
      </c>
      <c r="AF6" s="4">
        <v>4</v>
      </c>
      <c r="AG6" s="4">
        <v>4</v>
      </c>
      <c r="AH6" s="4">
        <v>3</v>
      </c>
      <c r="AI6" s="4">
        <v>3</v>
      </c>
      <c r="AJ6" s="5" t="s">
        <v>70</v>
      </c>
    </row>
    <row r="7" spans="1:36">
      <c r="A7" s="9">
        <v>46245.526697280089</v>
      </c>
      <c r="B7" s="4" t="s">
        <v>71</v>
      </c>
      <c r="C7" s="4" t="s">
        <v>72</v>
      </c>
      <c r="D7" s="4">
        <v>3</v>
      </c>
      <c r="E7" s="4">
        <v>3</v>
      </c>
      <c r="F7" s="4">
        <v>3</v>
      </c>
      <c r="G7" s="4">
        <v>4</v>
      </c>
      <c r="H7" s="4">
        <v>2</v>
      </c>
      <c r="I7" s="4">
        <v>4</v>
      </c>
      <c r="J7" s="4">
        <v>4</v>
      </c>
      <c r="K7" s="4">
        <v>3</v>
      </c>
      <c r="L7" s="4">
        <v>4</v>
      </c>
      <c r="M7" s="4">
        <v>5</v>
      </c>
      <c r="N7" s="4">
        <v>1</v>
      </c>
      <c r="O7" s="4">
        <v>5</v>
      </c>
      <c r="P7" s="4">
        <v>1</v>
      </c>
      <c r="Q7" s="4">
        <v>1</v>
      </c>
      <c r="R7" s="4">
        <v>5</v>
      </c>
      <c r="S7" s="4">
        <v>3</v>
      </c>
      <c r="T7" s="4">
        <v>5</v>
      </c>
      <c r="U7" s="4">
        <v>5</v>
      </c>
      <c r="V7" s="4">
        <v>5</v>
      </c>
      <c r="W7" s="4">
        <v>5</v>
      </c>
      <c r="X7" s="4">
        <v>5</v>
      </c>
      <c r="Y7" s="4">
        <v>5</v>
      </c>
      <c r="Z7" s="4">
        <v>5</v>
      </c>
      <c r="AA7" s="4">
        <v>1</v>
      </c>
      <c r="AB7" s="4">
        <v>5</v>
      </c>
      <c r="AC7" s="4">
        <v>5</v>
      </c>
      <c r="AD7" s="4">
        <v>5</v>
      </c>
      <c r="AE7" s="4">
        <v>5</v>
      </c>
      <c r="AF7" s="4">
        <v>2</v>
      </c>
      <c r="AG7" s="4">
        <v>1</v>
      </c>
      <c r="AH7" s="4">
        <v>1</v>
      </c>
      <c r="AI7" s="4">
        <v>5</v>
      </c>
      <c r="AJ7" s="5" t="s">
        <v>73</v>
      </c>
    </row>
    <row r="8" spans="1:36">
      <c r="A8" s="9">
        <v>46245.530293275464</v>
      </c>
      <c r="B8" s="4" t="s">
        <v>65</v>
      </c>
      <c r="C8" s="4" t="s">
        <v>74</v>
      </c>
      <c r="D8" s="4">
        <v>5</v>
      </c>
      <c r="E8" s="4">
        <v>5</v>
      </c>
      <c r="F8" s="4">
        <v>3</v>
      </c>
      <c r="G8" s="4">
        <v>5</v>
      </c>
      <c r="H8" s="4">
        <v>3</v>
      </c>
      <c r="I8" s="4">
        <v>2</v>
      </c>
      <c r="J8" s="4">
        <v>1</v>
      </c>
      <c r="K8" s="4">
        <v>5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5</v>
      </c>
      <c r="S8" s="4">
        <v>4</v>
      </c>
      <c r="T8" s="4">
        <v>5</v>
      </c>
      <c r="U8" s="4">
        <v>5</v>
      </c>
      <c r="V8" s="4">
        <v>5</v>
      </c>
      <c r="W8" s="4">
        <v>5</v>
      </c>
      <c r="X8" s="4">
        <v>5</v>
      </c>
      <c r="Y8" s="4">
        <v>5</v>
      </c>
      <c r="Z8" s="4">
        <v>5</v>
      </c>
      <c r="AA8" s="4">
        <v>1</v>
      </c>
      <c r="AB8" s="4">
        <v>5</v>
      </c>
      <c r="AC8" s="4">
        <v>5</v>
      </c>
      <c r="AD8" s="4">
        <v>5</v>
      </c>
      <c r="AE8" s="4">
        <v>5</v>
      </c>
      <c r="AF8" s="4">
        <v>1</v>
      </c>
      <c r="AG8" s="4">
        <v>1</v>
      </c>
      <c r="AH8" s="4">
        <v>1</v>
      </c>
      <c r="AI8" s="4">
        <v>5</v>
      </c>
      <c r="AJ8" s="5" t="s">
        <v>75</v>
      </c>
    </row>
    <row r="9" spans="1:36">
      <c r="A9" s="9">
        <v>46245.544857650464</v>
      </c>
      <c r="B9" s="4" t="s">
        <v>63</v>
      </c>
      <c r="C9" s="4" t="s">
        <v>68</v>
      </c>
      <c r="D9" s="4">
        <v>4</v>
      </c>
      <c r="E9" s="4">
        <v>3</v>
      </c>
      <c r="F9" s="4">
        <v>3</v>
      </c>
      <c r="G9" s="4">
        <v>3</v>
      </c>
      <c r="H9" s="4">
        <v>3</v>
      </c>
      <c r="I9" s="4">
        <v>2</v>
      </c>
      <c r="J9" s="4">
        <v>2</v>
      </c>
      <c r="K9" s="4">
        <v>4</v>
      </c>
      <c r="L9" s="4">
        <v>2</v>
      </c>
      <c r="M9" s="4">
        <v>3</v>
      </c>
      <c r="N9" s="4">
        <v>3</v>
      </c>
      <c r="O9" s="4">
        <v>4</v>
      </c>
      <c r="P9" s="4">
        <v>1</v>
      </c>
      <c r="Q9" s="4">
        <v>1</v>
      </c>
      <c r="R9" s="4">
        <v>4</v>
      </c>
      <c r="S9" s="4">
        <v>3</v>
      </c>
      <c r="T9" s="4">
        <v>3</v>
      </c>
      <c r="U9" s="4">
        <v>4</v>
      </c>
      <c r="V9" s="4">
        <v>5</v>
      </c>
      <c r="W9" s="4">
        <v>5</v>
      </c>
      <c r="X9" s="4">
        <v>4</v>
      </c>
      <c r="Y9" s="4">
        <v>4</v>
      </c>
      <c r="Z9" s="4">
        <v>4</v>
      </c>
      <c r="AA9" s="4">
        <v>2</v>
      </c>
      <c r="AB9" s="4">
        <v>3</v>
      </c>
      <c r="AC9" s="4">
        <v>5</v>
      </c>
      <c r="AD9" s="4">
        <v>5</v>
      </c>
      <c r="AE9" s="4">
        <v>3</v>
      </c>
      <c r="AF9" s="4">
        <v>1</v>
      </c>
      <c r="AG9" s="4">
        <v>2</v>
      </c>
      <c r="AH9" s="4">
        <v>1</v>
      </c>
      <c r="AI9" s="4">
        <v>5</v>
      </c>
      <c r="AJ9" s="5" t="s">
        <v>76</v>
      </c>
    </row>
    <row r="10" spans="1:36">
      <c r="A10" s="9">
        <v>46245.545386157406</v>
      </c>
      <c r="B10" s="4" t="s">
        <v>71</v>
      </c>
      <c r="C10" s="4" t="s">
        <v>77</v>
      </c>
      <c r="D10" s="4">
        <v>3</v>
      </c>
      <c r="E10" s="4">
        <v>3</v>
      </c>
      <c r="F10" s="4">
        <v>3</v>
      </c>
      <c r="G10" s="4">
        <v>4</v>
      </c>
      <c r="H10" s="4">
        <v>2</v>
      </c>
      <c r="I10" s="4">
        <v>3</v>
      </c>
      <c r="J10" s="4">
        <v>4</v>
      </c>
      <c r="K10" s="4">
        <v>3</v>
      </c>
      <c r="L10" s="4">
        <v>4</v>
      </c>
      <c r="M10" s="4">
        <v>4</v>
      </c>
      <c r="N10" s="4">
        <v>3</v>
      </c>
      <c r="O10" s="4">
        <v>4</v>
      </c>
      <c r="P10" s="4">
        <v>3</v>
      </c>
      <c r="Q10" s="4">
        <v>3</v>
      </c>
      <c r="R10" s="4">
        <v>4</v>
      </c>
      <c r="S10" s="4">
        <v>4</v>
      </c>
      <c r="T10" s="4">
        <v>4</v>
      </c>
      <c r="U10" s="4">
        <v>3</v>
      </c>
      <c r="V10" s="4">
        <v>4</v>
      </c>
      <c r="W10" s="4">
        <v>4</v>
      </c>
      <c r="X10" s="4">
        <v>4</v>
      </c>
      <c r="Y10" s="4">
        <v>4</v>
      </c>
      <c r="Z10" s="4">
        <v>4</v>
      </c>
      <c r="AA10" s="4">
        <v>3</v>
      </c>
      <c r="AB10" s="4">
        <v>3</v>
      </c>
      <c r="AC10" s="4">
        <v>4</v>
      </c>
      <c r="AD10" s="4">
        <v>4</v>
      </c>
      <c r="AE10" s="4">
        <v>4</v>
      </c>
      <c r="AF10" s="4">
        <v>4</v>
      </c>
      <c r="AG10" s="4">
        <v>3</v>
      </c>
      <c r="AH10" s="4">
        <v>3</v>
      </c>
      <c r="AI10" s="4">
        <v>3</v>
      </c>
      <c r="AJ10" s="5" t="s">
        <v>78</v>
      </c>
    </row>
    <row r="11" spans="1:36">
      <c r="A11" s="9">
        <v>46245.547380555552</v>
      </c>
      <c r="B11" s="4" t="s">
        <v>65</v>
      </c>
      <c r="C11" s="4" t="s">
        <v>79</v>
      </c>
      <c r="D11" s="4">
        <v>4</v>
      </c>
      <c r="E11" s="4">
        <v>3</v>
      </c>
      <c r="F11" s="4">
        <v>4</v>
      </c>
      <c r="G11" s="4">
        <v>4</v>
      </c>
      <c r="H11" s="4">
        <v>3</v>
      </c>
      <c r="I11" s="4">
        <v>4</v>
      </c>
      <c r="J11" s="4">
        <v>4</v>
      </c>
      <c r="K11" s="4">
        <v>5</v>
      </c>
      <c r="L11" s="4">
        <v>4</v>
      </c>
      <c r="M11" s="4">
        <v>3</v>
      </c>
      <c r="N11" s="4">
        <v>3</v>
      </c>
      <c r="O11" s="4">
        <v>4</v>
      </c>
      <c r="P11" s="4">
        <v>2</v>
      </c>
      <c r="Q11" s="4">
        <v>2</v>
      </c>
      <c r="R11" s="4">
        <v>4</v>
      </c>
      <c r="S11" s="4">
        <v>3</v>
      </c>
      <c r="T11" s="4">
        <v>4</v>
      </c>
      <c r="U11" s="4">
        <v>4</v>
      </c>
      <c r="V11" s="4">
        <v>5</v>
      </c>
      <c r="W11" s="4">
        <v>4</v>
      </c>
      <c r="X11" s="4">
        <v>5</v>
      </c>
      <c r="Y11" s="4">
        <v>5</v>
      </c>
      <c r="Z11" s="4">
        <v>5</v>
      </c>
      <c r="AA11" s="4">
        <v>1</v>
      </c>
      <c r="AB11" s="4">
        <v>4</v>
      </c>
      <c r="AC11" s="4">
        <v>4</v>
      </c>
      <c r="AD11" s="4">
        <v>5</v>
      </c>
      <c r="AE11" s="4">
        <v>4</v>
      </c>
      <c r="AF11" s="4">
        <v>2</v>
      </c>
      <c r="AG11" s="4">
        <v>2</v>
      </c>
      <c r="AH11" s="4">
        <v>3</v>
      </c>
      <c r="AI11" s="4">
        <v>2</v>
      </c>
      <c r="AJ11" s="5" t="s">
        <v>80</v>
      </c>
    </row>
    <row r="12" spans="1:36">
      <c r="A12" s="9">
        <v>46245.55231712963</v>
      </c>
      <c r="B12" s="4" t="s">
        <v>71</v>
      </c>
      <c r="C12" s="4" t="s">
        <v>79</v>
      </c>
      <c r="D12" s="4">
        <v>4</v>
      </c>
      <c r="E12" s="4">
        <v>3</v>
      </c>
      <c r="F12" s="4">
        <v>3</v>
      </c>
      <c r="G12" s="4">
        <v>4</v>
      </c>
      <c r="H12" s="4">
        <v>2</v>
      </c>
      <c r="I12" s="4">
        <v>3</v>
      </c>
      <c r="J12" s="4">
        <v>2</v>
      </c>
      <c r="K12" s="4">
        <v>5</v>
      </c>
      <c r="L12" s="4">
        <v>1</v>
      </c>
      <c r="M12" s="4">
        <v>4</v>
      </c>
      <c r="N12" s="4">
        <v>2</v>
      </c>
      <c r="O12" s="4">
        <v>3</v>
      </c>
      <c r="P12" s="4">
        <v>2</v>
      </c>
      <c r="Q12" s="4">
        <v>3</v>
      </c>
      <c r="R12" s="4">
        <v>5</v>
      </c>
      <c r="S12" s="4">
        <v>1</v>
      </c>
      <c r="T12" s="4">
        <v>5</v>
      </c>
      <c r="U12" s="4">
        <v>2</v>
      </c>
      <c r="V12" s="4">
        <v>5</v>
      </c>
      <c r="W12" s="4">
        <v>5</v>
      </c>
      <c r="X12" s="4">
        <v>5</v>
      </c>
      <c r="Y12" s="4">
        <v>5</v>
      </c>
      <c r="Z12" s="4">
        <v>5</v>
      </c>
      <c r="AA12" s="4">
        <v>2</v>
      </c>
      <c r="AB12" s="4">
        <v>5</v>
      </c>
      <c r="AC12" s="4">
        <v>3</v>
      </c>
      <c r="AD12" s="4">
        <v>5</v>
      </c>
      <c r="AE12" s="4">
        <v>5</v>
      </c>
      <c r="AF12" s="4">
        <v>1</v>
      </c>
      <c r="AG12" s="4">
        <v>1</v>
      </c>
      <c r="AH12" s="4">
        <v>1</v>
      </c>
      <c r="AI12" s="4">
        <v>5</v>
      </c>
      <c r="AJ12" s="5" t="s">
        <v>75</v>
      </c>
    </row>
    <row r="13" spans="1:36">
      <c r="A13" s="9">
        <v>46245.555924710643</v>
      </c>
      <c r="B13" s="4" t="s">
        <v>63</v>
      </c>
      <c r="C13" s="4" t="s">
        <v>81</v>
      </c>
      <c r="D13" s="4">
        <v>4</v>
      </c>
      <c r="E13" s="4">
        <v>3</v>
      </c>
      <c r="F13" s="4">
        <v>1</v>
      </c>
      <c r="G13" s="4">
        <v>4</v>
      </c>
      <c r="H13" s="4">
        <v>2</v>
      </c>
      <c r="I13" s="4">
        <v>3</v>
      </c>
      <c r="J13" s="4">
        <v>1</v>
      </c>
      <c r="K13" s="4">
        <v>4</v>
      </c>
      <c r="L13" s="4">
        <v>2</v>
      </c>
      <c r="M13" s="4">
        <v>2</v>
      </c>
      <c r="N13" s="4">
        <v>1</v>
      </c>
      <c r="O13" s="4">
        <v>5</v>
      </c>
      <c r="P13" s="4">
        <v>5</v>
      </c>
      <c r="Q13" s="4">
        <v>1</v>
      </c>
      <c r="R13" s="4">
        <v>3</v>
      </c>
      <c r="S13" s="4">
        <v>4</v>
      </c>
      <c r="T13" s="4">
        <v>3</v>
      </c>
      <c r="U13" s="4">
        <v>4</v>
      </c>
      <c r="V13" s="4">
        <v>5</v>
      </c>
      <c r="W13" s="4">
        <v>3</v>
      </c>
      <c r="X13" s="4">
        <v>4</v>
      </c>
      <c r="Y13" s="4">
        <v>2</v>
      </c>
      <c r="Z13" s="4">
        <v>2</v>
      </c>
      <c r="AA13" s="4">
        <v>3</v>
      </c>
      <c r="AB13" s="4">
        <v>4</v>
      </c>
      <c r="AC13" s="4">
        <v>4</v>
      </c>
      <c r="AD13" s="4">
        <v>5</v>
      </c>
      <c r="AE13" s="4">
        <v>4</v>
      </c>
      <c r="AF13" s="4">
        <v>4</v>
      </c>
      <c r="AG13" s="4">
        <v>4</v>
      </c>
      <c r="AH13" s="4">
        <v>4</v>
      </c>
      <c r="AI13" s="4">
        <v>4</v>
      </c>
      <c r="AJ13" s="5" t="s">
        <v>82</v>
      </c>
    </row>
    <row r="14" spans="1:36">
      <c r="A14" s="9">
        <v>46245.559769571759</v>
      </c>
      <c r="B14" s="4" t="s">
        <v>71</v>
      </c>
      <c r="C14" s="4" t="s">
        <v>83</v>
      </c>
      <c r="D14" s="4">
        <v>4</v>
      </c>
      <c r="E14" s="4">
        <v>4</v>
      </c>
      <c r="F14" s="4">
        <v>2</v>
      </c>
      <c r="G14" s="4">
        <v>4</v>
      </c>
      <c r="H14" s="4">
        <v>3</v>
      </c>
      <c r="I14" s="4">
        <v>3</v>
      </c>
      <c r="J14" s="4">
        <v>3</v>
      </c>
      <c r="K14" s="4">
        <v>4</v>
      </c>
      <c r="L14" s="4">
        <v>4</v>
      </c>
      <c r="M14" s="4">
        <v>3</v>
      </c>
      <c r="N14" s="4">
        <v>3</v>
      </c>
      <c r="O14" s="4">
        <v>4</v>
      </c>
      <c r="P14" s="4">
        <v>2</v>
      </c>
      <c r="Q14" s="4">
        <v>3</v>
      </c>
      <c r="R14" s="4">
        <v>4</v>
      </c>
      <c r="S14" s="4">
        <v>2</v>
      </c>
      <c r="T14" s="4">
        <v>4</v>
      </c>
      <c r="U14" s="4">
        <v>4</v>
      </c>
      <c r="V14" s="4">
        <v>4</v>
      </c>
      <c r="W14" s="4">
        <v>3</v>
      </c>
      <c r="X14" s="4">
        <v>4</v>
      </c>
      <c r="Y14" s="4">
        <v>4</v>
      </c>
      <c r="Z14" s="4">
        <v>3</v>
      </c>
      <c r="AA14" s="4">
        <v>3</v>
      </c>
      <c r="AB14" s="4">
        <v>3</v>
      </c>
      <c r="AC14" s="4">
        <v>4</v>
      </c>
      <c r="AD14" s="4">
        <v>4</v>
      </c>
      <c r="AE14" s="4">
        <v>4</v>
      </c>
      <c r="AF14" s="4">
        <v>2</v>
      </c>
      <c r="AG14" s="4">
        <v>1</v>
      </c>
      <c r="AH14" s="4">
        <v>2</v>
      </c>
      <c r="AI14" s="4">
        <v>4</v>
      </c>
      <c r="AJ14" s="5" t="s">
        <v>84</v>
      </c>
    </row>
    <row r="15" spans="1:36">
      <c r="A15" s="9">
        <v>46245.576611377313</v>
      </c>
      <c r="B15" s="4" t="s">
        <v>71</v>
      </c>
      <c r="C15" s="4" t="s">
        <v>85</v>
      </c>
      <c r="D15" s="4">
        <v>5</v>
      </c>
      <c r="E15" s="4">
        <v>4</v>
      </c>
      <c r="F15" s="4">
        <v>2</v>
      </c>
      <c r="G15" s="4">
        <v>5</v>
      </c>
      <c r="H15" s="4">
        <v>3</v>
      </c>
      <c r="I15" s="4">
        <v>1</v>
      </c>
      <c r="J15" s="4">
        <v>1</v>
      </c>
      <c r="K15" s="4">
        <v>5</v>
      </c>
      <c r="L15" s="4">
        <v>1</v>
      </c>
      <c r="M15" s="4">
        <v>4</v>
      </c>
      <c r="N15" s="4">
        <v>1</v>
      </c>
      <c r="O15" s="4">
        <v>3</v>
      </c>
      <c r="P15" s="4">
        <v>1</v>
      </c>
      <c r="Q15" s="4">
        <v>1</v>
      </c>
      <c r="R15" s="4">
        <v>4</v>
      </c>
      <c r="S15" s="4">
        <v>1</v>
      </c>
      <c r="T15" s="4">
        <v>4</v>
      </c>
      <c r="U15" s="4">
        <v>4</v>
      </c>
      <c r="V15" s="4">
        <v>5</v>
      </c>
      <c r="W15" s="4">
        <v>3</v>
      </c>
      <c r="X15" s="4">
        <v>5</v>
      </c>
      <c r="Y15" s="4">
        <v>4</v>
      </c>
      <c r="Z15" s="4">
        <v>3</v>
      </c>
      <c r="AA15" s="4">
        <v>3</v>
      </c>
      <c r="AB15" s="4">
        <v>3</v>
      </c>
      <c r="AC15" s="4">
        <v>3</v>
      </c>
      <c r="AD15" s="4">
        <v>4</v>
      </c>
      <c r="AE15" s="4">
        <v>4</v>
      </c>
      <c r="AF15" s="4">
        <v>2</v>
      </c>
      <c r="AG15" s="4">
        <v>2</v>
      </c>
      <c r="AH15" s="4">
        <v>1</v>
      </c>
      <c r="AI15" s="4">
        <v>4</v>
      </c>
      <c r="AJ15" s="5" t="s">
        <v>86</v>
      </c>
    </row>
    <row r="16" spans="1:36">
      <c r="A16" s="9">
        <v>46245.578173969909</v>
      </c>
      <c r="B16" s="4" t="s">
        <v>71</v>
      </c>
      <c r="C16" s="4" t="s">
        <v>87</v>
      </c>
      <c r="D16" s="4">
        <v>3</v>
      </c>
      <c r="E16" s="4">
        <v>2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3</v>
      </c>
      <c r="L16" s="4">
        <v>3</v>
      </c>
      <c r="M16" s="4">
        <v>3</v>
      </c>
      <c r="N16" s="4">
        <v>3</v>
      </c>
      <c r="O16" s="4">
        <v>2</v>
      </c>
      <c r="P16" s="4">
        <v>3</v>
      </c>
      <c r="Q16" s="4">
        <v>3</v>
      </c>
      <c r="R16" s="4">
        <v>3</v>
      </c>
      <c r="S16" s="4">
        <v>3</v>
      </c>
      <c r="T16" s="4">
        <v>3</v>
      </c>
      <c r="U16" s="4">
        <v>3</v>
      </c>
      <c r="V16" s="4">
        <v>3</v>
      </c>
      <c r="W16" s="4">
        <v>3</v>
      </c>
      <c r="X16" s="4">
        <v>3</v>
      </c>
      <c r="Y16" s="4">
        <v>3</v>
      </c>
      <c r="Z16" s="4">
        <v>3</v>
      </c>
      <c r="AA16" s="4">
        <v>3</v>
      </c>
      <c r="AB16" s="4">
        <v>3</v>
      </c>
      <c r="AC16" s="4">
        <v>3</v>
      </c>
      <c r="AD16" s="4">
        <v>3</v>
      </c>
      <c r="AE16" s="4">
        <v>3</v>
      </c>
      <c r="AF16" s="4">
        <v>3</v>
      </c>
      <c r="AG16" s="4">
        <v>3</v>
      </c>
      <c r="AH16" s="4">
        <v>3</v>
      </c>
      <c r="AI16" s="4">
        <v>3</v>
      </c>
      <c r="AJ16" s="5" t="s">
        <v>88</v>
      </c>
    </row>
    <row r="17" spans="1:36">
      <c r="A17" s="9">
        <v>46245.580403321757</v>
      </c>
      <c r="B17" s="4" t="s">
        <v>71</v>
      </c>
      <c r="C17" s="4" t="s">
        <v>87</v>
      </c>
      <c r="D17" s="4">
        <v>3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4</v>
      </c>
      <c r="K17" s="4">
        <v>3</v>
      </c>
      <c r="L17" s="4">
        <v>4</v>
      </c>
      <c r="M17" s="4">
        <v>3</v>
      </c>
      <c r="N17" s="4">
        <v>3</v>
      </c>
      <c r="O17" s="4">
        <v>3</v>
      </c>
      <c r="P17" s="4">
        <v>4</v>
      </c>
      <c r="Q17" s="4">
        <v>4</v>
      </c>
      <c r="R17" s="4">
        <v>4</v>
      </c>
      <c r="S17" s="4">
        <v>3</v>
      </c>
      <c r="T17" s="4">
        <v>3</v>
      </c>
      <c r="U17" s="4">
        <v>4</v>
      </c>
      <c r="V17" s="4">
        <v>4</v>
      </c>
      <c r="W17" s="4">
        <v>4</v>
      </c>
      <c r="X17" s="4">
        <v>5</v>
      </c>
      <c r="Y17" s="4">
        <v>3</v>
      </c>
      <c r="Z17" s="4">
        <v>4</v>
      </c>
      <c r="AA17" s="4">
        <v>5</v>
      </c>
      <c r="AB17" s="4">
        <v>4</v>
      </c>
      <c r="AC17" s="4">
        <v>4</v>
      </c>
      <c r="AD17" s="4">
        <v>4</v>
      </c>
      <c r="AE17" s="4">
        <v>4</v>
      </c>
      <c r="AF17" s="4">
        <v>3</v>
      </c>
      <c r="AG17" s="4">
        <v>1</v>
      </c>
      <c r="AH17" s="4">
        <v>5</v>
      </c>
      <c r="AI17" s="4">
        <v>5</v>
      </c>
      <c r="AJ17" s="5" t="s">
        <v>89</v>
      </c>
    </row>
    <row r="18" spans="1:36">
      <c r="A18" s="9">
        <v>46245.582800243057</v>
      </c>
      <c r="B18" s="4" t="s">
        <v>71</v>
      </c>
      <c r="C18" s="4" t="s">
        <v>90</v>
      </c>
      <c r="D18" s="4">
        <v>3</v>
      </c>
      <c r="E18" s="4">
        <v>2</v>
      </c>
      <c r="F18" s="4">
        <v>2</v>
      </c>
      <c r="G18" s="4">
        <v>3</v>
      </c>
      <c r="H18" s="4">
        <v>3</v>
      </c>
      <c r="I18" s="4">
        <v>3</v>
      </c>
      <c r="J18" s="4">
        <v>2</v>
      </c>
      <c r="K18" s="4">
        <v>4</v>
      </c>
      <c r="L18" s="4">
        <v>2</v>
      </c>
      <c r="M18" s="4">
        <v>2</v>
      </c>
      <c r="N18" s="4">
        <v>2</v>
      </c>
      <c r="O18" s="4">
        <v>4</v>
      </c>
      <c r="P18" s="4">
        <v>2</v>
      </c>
      <c r="Q18" s="4">
        <v>3</v>
      </c>
      <c r="R18" s="4">
        <v>3</v>
      </c>
      <c r="S18" s="4">
        <v>3</v>
      </c>
      <c r="T18" s="4">
        <v>4</v>
      </c>
      <c r="U18" s="4">
        <v>3</v>
      </c>
      <c r="V18" s="4">
        <v>4</v>
      </c>
      <c r="W18" s="4">
        <v>4</v>
      </c>
      <c r="X18" s="4">
        <v>4</v>
      </c>
      <c r="Y18" s="4">
        <v>2</v>
      </c>
      <c r="Z18" s="4">
        <v>3</v>
      </c>
      <c r="AA18" s="4">
        <v>3</v>
      </c>
      <c r="AB18" s="4">
        <v>2</v>
      </c>
      <c r="AC18" s="4">
        <v>2</v>
      </c>
      <c r="AD18" s="4">
        <v>5</v>
      </c>
      <c r="AE18" s="4">
        <v>4</v>
      </c>
      <c r="AF18" s="4">
        <v>3</v>
      </c>
      <c r="AG18" s="4">
        <v>1</v>
      </c>
      <c r="AH18" s="4">
        <v>1</v>
      </c>
      <c r="AI18" s="4">
        <v>4</v>
      </c>
      <c r="AJ18" s="5" t="s">
        <v>75</v>
      </c>
    </row>
    <row r="19" spans="1:36">
      <c r="A19" s="9">
        <v>46245.62035243056</v>
      </c>
      <c r="B19" s="4" t="s">
        <v>71</v>
      </c>
      <c r="C19" s="4" t="s">
        <v>85</v>
      </c>
      <c r="D19" s="4">
        <v>3</v>
      </c>
      <c r="E19" s="4">
        <v>4</v>
      </c>
      <c r="F19" s="4">
        <v>4</v>
      </c>
      <c r="G19" s="4">
        <v>4</v>
      </c>
      <c r="H19" s="4">
        <v>3</v>
      </c>
      <c r="I19" s="4">
        <v>3</v>
      </c>
      <c r="J19" s="4">
        <v>3</v>
      </c>
      <c r="K19" s="4">
        <v>4</v>
      </c>
      <c r="L19" s="4">
        <v>3</v>
      </c>
      <c r="M19" s="4">
        <v>4</v>
      </c>
      <c r="N19" s="4">
        <v>3</v>
      </c>
      <c r="O19" s="4">
        <v>3</v>
      </c>
      <c r="P19" s="4">
        <v>3</v>
      </c>
      <c r="Q19" s="4">
        <v>4</v>
      </c>
      <c r="R19" s="4">
        <v>3</v>
      </c>
      <c r="S19" s="4">
        <v>3</v>
      </c>
      <c r="T19" s="4">
        <v>4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4</v>
      </c>
      <c r="AA19" s="4">
        <v>3</v>
      </c>
      <c r="AB19" s="4">
        <v>3</v>
      </c>
      <c r="AC19" s="4">
        <v>3</v>
      </c>
      <c r="AD19" s="4">
        <v>3</v>
      </c>
      <c r="AE19" s="4">
        <v>3</v>
      </c>
      <c r="AF19" s="4">
        <v>3</v>
      </c>
      <c r="AG19" s="4">
        <v>4</v>
      </c>
      <c r="AH19" s="4">
        <v>3</v>
      </c>
      <c r="AI19" s="4">
        <v>3</v>
      </c>
      <c r="AJ19" s="5" t="s">
        <v>91</v>
      </c>
    </row>
    <row r="20" spans="1:36">
      <c r="A20" s="9">
        <v>46245.62520336805</v>
      </c>
      <c r="B20" s="4" t="s">
        <v>63</v>
      </c>
      <c r="C20" s="4" t="s">
        <v>81</v>
      </c>
      <c r="D20" s="4">
        <v>4</v>
      </c>
      <c r="E20" s="4">
        <v>2</v>
      </c>
      <c r="F20" s="4">
        <v>4</v>
      </c>
      <c r="G20" s="4">
        <v>3</v>
      </c>
      <c r="H20" s="4">
        <v>4</v>
      </c>
      <c r="I20" s="4">
        <v>3</v>
      </c>
      <c r="J20" s="4">
        <v>3</v>
      </c>
      <c r="K20" s="4">
        <v>3</v>
      </c>
      <c r="L20" s="4">
        <v>4</v>
      </c>
      <c r="M20" s="4">
        <v>3</v>
      </c>
      <c r="N20" s="4">
        <v>4</v>
      </c>
      <c r="O20" s="4">
        <v>4</v>
      </c>
      <c r="P20" s="4">
        <v>3</v>
      </c>
      <c r="Q20" s="4">
        <v>2</v>
      </c>
      <c r="R20" s="4">
        <v>3</v>
      </c>
      <c r="S20" s="4">
        <v>3</v>
      </c>
      <c r="T20" s="4">
        <v>4</v>
      </c>
      <c r="U20" s="4">
        <v>4</v>
      </c>
      <c r="V20" s="4">
        <v>4</v>
      </c>
      <c r="W20" s="4">
        <v>4</v>
      </c>
      <c r="X20" s="4">
        <v>3</v>
      </c>
      <c r="Y20" s="4">
        <v>3</v>
      </c>
      <c r="Z20" s="4">
        <v>3</v>
      </c>
      <c r="AA20" s="4">
        <v>3</v>
      </c>
      <c r="AB20" s="4">
        <v>4</v>
      </c>
      <c r="AC20" s="4">
        <v>4</v>
      </c>
      <c r="AD20" s="4">
        <v>4</v>
      </c>
      <c r="AE20" s="4">
        <v>3</v>
      </c>
      <c r="AF20" s="4">
        <v>3</v>
      </c>
      <c r="AG20" s="4">
        <v>3</v>
      </c>
      <c r="AH20" s="4">
        <v>2</v>
      </c>
      <c r="AI20" s="4">
        <v>3</v>
      </c>
      <c r="AJ20" s="5" t="s">
        <v>92</v>
      </c>
    </row>
    <row r="21" spans="1:36">
      <c r="A21" s="9">
        <v>46245.625968645836</v>
      </c>
      <c r="B21" s="4" t="s">
        <v>71</v>
      </c>
      <c r="C21" s="4" t="s">
        <v>85</v>
      </c>
      <c r="D21" s="4">
        <v>4</v>
      </c>
      <c r="E21" s="4">
        <v>4</v>
      </c>
      <c r="F21" s="4">
        <v>2</v>
      </c>
      <c r="G21" s="4">
        <v>4</v>
      </c>
      <c r="H21" s="4">
        <v>3</v>
      </c>
      <c r="I21" s="4">
        <v>3</v>
      </c>
      <c r="J21" s="4">
        <v>2</v>
      </c>
      <c r="K21" s="4">
        <v>4</v>
      </c>
      <c r="L21" s="4">
        <v>1</v>
      </c>
      <c r="M21" s="4">
        <v>4</v>
      </c>
      <c r="N21" s="4">
        <v>4</v>
      </c>
      <c r="O21" s="4">
        <v>4</v>
      </c>
      <c r="P21" s="4">
        <v>1</v>
      </c>
      <c r="Q21" s="4">
        <v>2</v>
      </c>
      <c r="R21" s="4">
        <v>4</v>
      </c>
      <c r="S21" s="4">
        <v>2</v>
      </c>
      <c r="T21" s="4">
        <v>4</v>
      </c>
      <c r="U21" s="4">
        <v>2</v>
      </c>
      <c r="V21" s="4">
        <v>5</v>
      </c>
      <c r="W21" s="4">
        <v>4</v>
      </c>
      <c r="X21" s="4">
        <v>5</v>
      </c>
      <c r="Y21" s="4">
        <v>5</v>
      </c>
      <c r="Z21" s="4">
        <v>5</v>
      </c>
      <c r="AA21" s="4">
        <v>2</v>
      </c>
      <c r="AB21" s="4">
        <v>2</v>
      </c>
      <c r="AC21" s="4">
        <v>2</v>
      </c>
      <c r="AD21" s="4">
        <v>5</v>
      </c>
      <c r="AE21" s="4">
        <v>4</v>
      </c>
      <c r="AF21" s="4">
        <v>2</v>
      </c>
      <c r="AG21" s="4">
        <v>1</v>
      </c>
      <c r="AH21" s="4">
        <v>1</v>
      </c>
      <c r="AI21" s="4">
        <v>4</v>
      </c>
      <c r="AJ21" s="5" t="s">
        <v>93</v>
      </c>
    </row>
    <row r="22" spans="1:36">
      <c r="A22" s="9">
        <v>46245.645919490737</v>
      </c>
      <c r="B22" s="4" t="s">
        <v>71</v>
      </c>
      <c r="C22" s="4" t="s">
        <v>68</v>
      </c>
      <c r="D22" s="4">
        <v>3</v>
      </c>
      <c r="E22" s="4">
        <v>1</v>
      </c>
      <c r="F22" s="4">
        <v>3</v>
      </c>
      <c r="G22" s="4">
        <v>4</v>
      </c>
      <c r="H22" s="4">
        <v>2</v>
      </c>
      <c r="I22" s="4">
        <v>3</v>
      </c>
      <c r="J22" s="4">
        <v>4</v>
      </c>
      <c r="K22" s="4">
        <v>4</v>
      </c>
      <c r="L22" s="4">
        <v>3</v>
      </c>
      <c r="M22" s="4">
        <v>3</v>
      </c>
      <c r="N22" s="4">
        <v>2</v>
      </c>
      <c r="O22" s="4">
        <v>3</v>
      </c>
      <c r="P22" s="4">
        <v>2</v>
      </c>
      <c r="Q22" s="4">
        <v>2</v>
      </c>
      <c r="R22" s="4">
        <v>3</v>
      </c>
      <c r="S22" s="4">
        <v>3</v>
      </c>
      <c r="T22" s="4">
        <v>3</v>
      </c>
      <c r="U22" s="4">
        <v>3</v>
      </c>
      <c r="V22" s="4">
        <v>2</v>
      </c>
      <c r="W22" s="4">
        <v>2</v>
      </c>
      <c r="X22" s="4">
        <v>3</v>
      </c>
      <c r="Y22" s="4">
        <v>1</v>
      </c>
      <c r="Z22" s="4">
        <v>1</v>
      </c>
      <c r="AA22" s="4">
        <v>3</v>
      </c>
      <c r="AB22" s="4">
        <v>1</v>
      </c>
      <c r="AC22" s="4">
        <v>2</v>
      </c>
      <c r="AD22" s="4">
        <v>2</v>
      </c>
      <c r="AE22" s="4">
        <v>1</v>
      </c>
      <c r="AF22" s="4">
        <v>3</v>
      </c>
      <c r="AG22" s="4">
        <v>2</v>
      </c>
      <c r="AH22" s="4">
        <v>3</v>
      </c>
      <c r="AI22" s="4">
        <v>2</v>
      </c>
      <c r="AJ22" s="5" t="s">
        <v>94</v>
      </c>
    </row>
    <row r="23" spans="1:36">
      <c r="A23" s="9">
        <v>46245.647440868051</v>
      </c>
      <c r="B23" s="4" t="s">
        <v>65</v>
      </c>
      <c r="C23" s="4" t="s">
        <v>95</v>
      </c>
      <c r="D23" s="4">
        <v>5</v>
      </c>
      <c r="E23" s="4">
        <v>2</v>
      </c>
      <c r="F23" s="4">
        <v>1</v>
      </c>
      <c r="G23" s="4">
        <v>5</v>
      </c>
      <c r="H23" s="4">
        <v>1</v>
      </c>
      <c r="I23" s="4">
        <v>1</v>
      </c>
      <c r="J23" s="4">
        <v>1</v>
      </c>
      <c r="K23" s="4">
        <v>5</v>
      </c>
      <c r="L23" s="4">
        <v>1</v>
      </c>
      <c r="M23" s="4">
        <v>5</v>
      </c>
      <c r="N23" s="4">
        <v>2</v>
      </c>
      <c r="O23" s="4">
        <v>3</v>
      </c>
      <c r="P23" s="4">
        <v>1</v>
      </c>
      <c r="Q23" s="4">
        <v>1</v>
      </c>
      <c r="R23" s="4">
        <v>5</v>
      </c>
      <c r="S23" s="4">
        <v>1</v>
      </c>
      <c r="T23" s="4">
        <v>5</v>
      </c>
      <c r="U23" s="4">
        <v>5</v>
      </c>
      <c r="V23" s="4">
        <v>5</v>
      </c>
      <c r="W23" s="4">
        <v>5</v>
      </c>
      <c r="X23" s="4">
        <v>5</v>
      </c>
      <c r="Y23" s="4">
        <v>3</v>
      </c>
      <c r="Z23" s="4">
        <v>5</v>
      </c>
      <c r="AA23" s="4">
        <v>1</v>
      </c>
      <c r="AB23" s="4">
        <v>5</v>
      </c>
      <c r="AC23" s="4">
        <v>5</v>
      </c>
      <c r="AD23" s="4">
        <v>5</v>
      </c>
      <c r="AE23" s="4">
        <v>4</v>
      </c>
      <c r="AF23" s="4">
        <v>1</v>
      </c>
      <c r="AG23" s="4">
        <v>1</v>
      </c>
      <c r="AH23" s="4">
        <v>1</v>
      </c>
      <c r="AI23" s="4">
        <v>5</v>
      </c>
      <c r="AJ23" s="5" t="s">
        <v>96</v>
      </c>
    </row>
    <row r="24" spans="1:36">
      <c r="A24" s="9">
        <v>46245.686745914354</v>
      </c>
      <c r="B24" s="4" t="s">
        <v>63</v>
      </c>
      <c r="C24" s="4" t="s">
        <v>97</v>
      </c>
      <c r="D24" s="4">
        <v>5</v>
      </c>
      <c r="E24" s="4">
        <v>3</v>
      </c>
      <c r="F24" s="4">
        <v>4</v>
      </c>
      <c r="G24" s="4">
        <v>5</v>
      </c>
      <c r="H24" s="4">
        <v>4</v>
      </c>
      <c r="I24" s="4">
        <v>1</v>
      </c>
      <c r="J24" s="4">
        <v>2</v>
      </c>
      <c r="K24" s="4">
        <v>5</v>
      </c>
      <c r="L24" s="4">
        <v>1</v>
      </c>
      <c r="M24" s="4">
        <v>5</v>
      </c>
      <c r="N24" s="4">
        <v>1</v>
      </c>
      <c r="O24" s="4">
        <v>5</v>
      </c>
      <c r="P24" s="4">
        <v>1</v>
      </c>
      <c r="Q24" s="4">
        <v>1</v>
      </c>
      <c r="R24" s="4">
        <v>5</v>
      </c>
      <c r="S24" s="4">
        <v>1</v>
      </c>
      <c r="T24" s="4">
        <v>5</v>
      </c>
      <c r="U24" s="4">
        <v>3</v>
      </c>
      <c r="V24" s="4">
        <v>5</v>
      </c>
      <c r="W24" s="4">
        <v>5</v>
      </c>
      <c r="X24" s="4">
        <v>5</v>
      </c>
      <c r="Y24" s="4">
        <v>4</v>
      </c>
      <c r="Z24" s="4">
        <v>5</v>
      </c>
      <c r="AA24" s="4">
        <v>2</v>
      </c>
      <c r="AB24" s="4">
        <v>1</v>
      </c>
      <c r="AC24" s="4">
        <v>1</v>
      </c>
      <c r="AD24" s="4">
        <v>5</v>
      </c>
      <c r="AE24" s="4">
        <v>5</v>
      </c>
      <c r="AF24" s="4">
        <v>5</v>
      </c>
      <c r="AG24" s="4">
        <v>1</v>
      </c>
      <c r="AH24" s="4">
        <v>1</v>
      </c>
      <c r="AI24" s="4">
        <v>5</v>
      </c>
      <c r="AJ24" s="5" t="s">
        <v>98</v>
      </c>
    </row>
    <row r="25" spans="1:36">
      <c r="A25" s="9">
        <v>46245.694525462968</v>
      </c>
      <c r="B25" s="4" t="s">
        <v>71</v>
      </c>
      <c r="C25" s="4" t="s">
        <v>85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  <c r="I25" s="4">
        <v>4</v>
      </c>
      <c r="J25" s="4">
        <v>4</v>
      </c>
      <c r="K25" s="4">
        <v>2</v>
      </c>
      <c r="L25" s="4">
        <v>4</v>
      </c>
      <c r="M25" s="4">
        <v>2</v>
      </c>
      <c r="N25" s="4">
        <v>2</v>
      </c>
      <c r="O25" s="4">
        <v>4</v>
      </c>
      <c r="P25" s="4">
        <v>4</v>
      </c>
      <c r="Q25" s="4">
        <v>2</v>
      </c>
      <c r="R25" s="4">
        <v>4</v>
      </c>
      <c r="S25" s="4">
        <v>3</v>
      </c>
      <c r="T25" s="4">
        <v>3</v>
      </c>
      <c r="U25" s="4">
        <v>2</v>
      </c>
      <c r="V25" s="4">
        <v>2</v>
      </c>
      <c r="W25" s="4">
        <v>2</v>
      </c>
      <c r="X25" s="4">
        <v>3</v>
      </c>
      <c r="Y25" s="4">
        <v>2</v>
      </c>
      <c r="Z25" s="4">
        <v>2</v>
      </c>
      <c r="AA25" s="4">
        <v>2</v>
      </c>
      <c r="AB25" s="4">
        <v>2</v>
      </c>
      <c r="AC25" s="4">
        <v>2</v>
      </c>
      <c r="AD25" s="4">
        <v>3</v>
      </c>
      <c r="AE25" s="4">
        <v>3</v>
      </c>
      <c r="AF25" s="4">
        <v>2</v>
      </c>
      <c r="AG25" s="4">
        <v>2</v>
      </c>
      <c r="AH25" s="4">
        <v>3</v>
      </c>
      <c r="AI25" s="4">
        <v>3</v>
      </c>
      <c r="AJ25" s="5" t="s">
        <v>99</v>
      </c>
    </row>
    <row r="26" spans="1:36">
      <c r="A26" s="9">
        <v>46245.69521273148</v>
      </c>
      <c r="B26" s="4" t="s">
        <v>65</v>
      </c>
      <c r="C26" s="4" t="s">
        <v>97</v>
      </c>
      <c r="D26" s="4">
        <v>3</v>
      </c>
      <c r="E26" s="4">
        <v>2</v>
      </c>
      <c r="F26" s="4">
        <v>3</v>
      </c>
      <c r="G26" s="4">
        <v>1</v>
      </c>
      <c r="H26" s="4">
        <v>5</v>
      </c>
      <c r="I26" s="4">
        <v>5</v>
      </c>
      <c r="J26" s="4">
        <v>1</v>
      </c>
      <c r="K26" s="4">
        <v>3</v>
      </c>
      <c r="L26" s="4">
        <v>4</v>
      </c>
      <c r="M26" s="4">
        <v>5</v>
      </c>
      <c r="N26" s="4">
        <v>3</v>
      </c>
      <c r="O26" s="4">
        <v>4</v>
      </c>
      <c r="P26" s="4">
        <v>3</v>
      </c>
      <c r="Q26" s="4">
        <v>1</v>
      </c>
      <c r="R26" s="4">
        <v>3</v>
      </c>
      <c r="S26" s="4">
        <v>3</v>
      </c>
      <c r="T26" s="4">
        <v>3</v>
      </c>
      <c r="U26" s="4">
        <v>4</v>
      </c>
      <c r="V26" s="4">
        <v>4</v>
      </c>
      <c r="W26" s="4">
        <v>4</v>
      </c>
      <c r="X26" s="4">
        <v>4</v>
      </c>
      <c r="Y26" s="4">
        <v>4</v>
      </c>
      <c r="Z26" s="4">
        <v>4</v>
      </c>
      <c r="AA26" s="4">
        <v>2</v>
      </c>
      <c r="AB26" s="4">
        <v>4</v>
      </c>
      <c r="AC26" s="4">
        <v>4</v>
      </c>
      <c r="AD26" s="4">
        <v>4</v>
      </c>
      <c r="AE26" s="4">
        <v>4</v>
      </c>
      <c r="AF26" s="4">
        <v>1</v>
      </c>
      <c r="AG26" s="4">
        <v>1</v>
      </c>
      <c r="AH26" s="4">
        <v>1</v>
      </c>
      <c r="AI26" s="4">
        <v>3</v>
      </c>
      <c r="AJ26" s="5" t="s">
        <v>100</v>
      </c>
    </row>
    <row r="27" spans="1:36">
      <c r="A27" s="9">
        <v>46245.726699212959</v>
      </c>
      <c r="B27" s="4" t="s">
        <v>63</v>
      </c>
      <c r="C27" s="4" t="s">
        <v>81</v>
      </c>
      <c r="D27" s="4">
        <v>5</v>
      </c>
      <c r="E27" s="4">
        <v>5</v>
      </c>
      <c r="F27" s="4">
        <v>1</v>
      </c>
      <c r="G27" s="4">
        <v>5</v>
      </c>
      <c r="H27" s="4">
        <v>3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3</v>
      </c>
      <c r="O27" s="4">
        <v>5</v>
      </c>
      <c r="P27" s="4">
        <v>1</v>
      </c>
      <c r="Q27" s="4">
        <v>1</v>
      </c>
      <c r="R27" s="4">
        <v>5</v>
      </c>
      <c r="S27" s="4">
        <v>5</v>
      </c>
      <c r="T27" s="4">
        <v>5</v>
      </c>
      <c r="U27" s="4">
        <v>3</v>
      </c>
      <c r="V27" s="4">
        <v>5</v>
      </c>
      <c r="W27" s="4">
        <v>5</v>
      </c>
      <c r="X27" s="4">
        <v>5</v>
      </c>
      <c r="Y27" s="4">
        <v>1</v>
      </c>
      <c r="Z27" s="4">
        <v>1</v>
      </c>
      <c r="AA27" s="4">
        <v>1</v>
      </c>
      <c r="AB27" s="4">
        <v>5</v>
      </c>
      <c r="AC27" s="4">
        <v>5</v>
      </c>
      <c r="AD27" s="4">
        <v>5</v>
      </c>
      <c r="AE27" s="4">
        <v>5</v>
      </c>
      <c r="AF27" s="4">
        <v>5</v>
      </c>
      <c r="AG27" s="4">
        <v>1</v>
      </c>
      <c r="AH27" s="4">
        <v>1</v>
      </c>
      <c r="AI27" s="4">
        <v>3</v>
      </c>
      <c r="AJ27" s="5" t="s">
        <v>101</v>
      </c>
    </row>
    <row r="28" spans="1:36">
      <c r="A28" s="9">
        <v>46245.735614618054</v>
      </c>
      <c r="B28" s="4" t="s">
        <v>63</v>
      </c>
      <c r="C28" s="4" t="s">
        <v>81</v>
      </c>
      <c r="D28" s="4">
        <v>4</v>
      </c>
      <c r="E28" s="4">
        <v>2</v>
      </c>
      <c r="F28" s="4">
        <v>3</v>
      </c>
      <c r="G28" s="4">
        <v>5</v>
      </c>
      <c r="H28" s="4">
        <v>3</v>
      </c>
      <c r="I28" s="4">
        <v>3</v>
      </c>
      <c r="J28" s="4">
        <v>3</v>
      </c>
      <c r="K28" s="4">
        <v>4</v>
      </c>
      <c r="L28" s="4">
        <v>2</v>
      </c>
      <c r="M28" s="4">
        <v>3</v>
      </c>
      <c r="N28" s="4">
        <v>3</v>
      </c>
      <c r="O28" s="4">
        <v>5</v>
      </c>
      <c r="P28" s="4">
        <v>2</v>
      </c>
      <c r="Q28" s="4">
        <v>2</v>
      </c>
      <c r="R28" s="4">
        <v>3</v>
      </c>
      <c r="S28" s="4">
        <v>3</v>
      </c>
      <c r="T28" s="4">
        <v>3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  <c r="Z28" s="4">
        <v>3</v>
      </c>
      <c r="AA28" s="4">
        <v>3</v>
      </c>
      <c r="AB28" s="4">
        <v>3</v>
      </c>
      <c r="AC28" s="4">
        <v>3</v>
      </c>
      <c r="AD28" s="4">
        <v>4</v>
      </c>
      <c r="AE28" s="4">
        <v>3</v>
      </c>
      <c r="AF28" s="4">
        <v>4</v>
      </c>
      <c r="AG28" s="4">
        <v>3</v>
      </c>
      <c r="AH28" s="4">
        <v>3</v>
      </c>
      <c r="AI28" s="4">
        <v>3</v>
      </c>
      <c r="AJ28" s="5" t="s">
        <v>102</v>
      </c>
    </row>
    <row r="29" spans="1:36">
      <c r="A29" s="9">
        <v>46245.978698182866</v>
      </c>
      <c r="B29" s="4" t="s">
        <v>63</v>
      </c>
      <c r="C29" s="4" t="s">
        <v>97</v>
      </c>
      <c r="D29" s="4">
        <v>5</v>
      </c>
      <c r="E29" s="4">
        <v>5</v>
      </c>
      <c r="F29" s="4">
        <v>2</v>
      </c>
      <c r="G29" s="4">
        <v>5</v>
      </c>
      <c r="H29" s="4">
        <v>3</v>
      </c>
      <c r="I29" s="4">
        <v>1</v>
      </c>
      <c r="J29" s="4">
        <v>1</v>
      </c>
      <c r="K29" s="4">
        <v>5</v>
      </c>
      <c r="L29" s="4">
        <v>1</v>
      </c>
      <c r="M29" s="4">
        <v>4</v>
      </c>
      <c r="N29" s="4">
        <v>1</v>
      </c>
      <c r="O29" s="4">
        <v>4</v>
      </c>
      <c r="P29" s="4">
        <v>1</v>
      </c>
      <c r="Q29" s="4">
        <v>3</v>
      </c>
      <c r="R29" s="4">
        <v>5</v>
      </c>
      <c r="S29" s="4">
        <v>1</v>
      </c>
      <c r="T29" s="4">
        <v>5</v>
      </c>
      <c r="U29" s="4">
        <v>5</v>
      </c>
      <c r="V29" s="4">
        <v>5</v>
      </c>
      <c r="W29" s="4">
        <v>5</v>
      </c>
      <c r="X29" s="4">
        <v>5</v>
      </c>
      <c r="Y29" s="4">
        <v>4</v>
      </c>
      <c r="Z29" s="4">
        <v>4</v>
      </c>
      <c r="AA29" s="4">
        <v>1</v>
      </c>
      <c r="AB29" s="4">
        <v>3</v>
      </c>
      <c r="AC29" s="4">
        <v>2</v>
      </c>
      <c r="AD29" s="4">
        <v>5</v>
      </c>
      <c r="AE29" s="4">
        <v>5</v>
      </c>
      <c r="AF29" s="4">
        <v>1</v>
      </c>
      <c r="AG29" s="4">
        <v>1</v>
      </c>
      <c r="AH29" s="4">
        <v>1</v>
      </c>
      <c r="AI29" s="4">
        <v>5</v>
      </c>
      <c r="AJ29" s="5" t="s">
        <v>103</v>
      </c>
    </row>
    <row r="30" spans="1:36">
      <c r="A30" s="9">
        <v>46246.389822210651</v>
      </c>
      <c r="B30" s="4" t="s">
        <v>71</v>
      </c>
      <c r="C30" s="4" t="s">
        <v>77</v>
      </c>
      <c r="D30" s="4">
        <v>4</v>
      </c>
      <c r="E30" s="4">
        <v>4</v>
      </c>
      <c r="F30" s="4">
        <v>3</v>
      </c>
      <c r="G30" s="4">
        <v>4</v>
      </c>
      <c r="H30" s="4">
        <v>3</v>
      </c>
      <c r="I30" s="4">
        <v>3</v>
      </c>
      <c r="J30" s="4">
        <v>2</v>
      </c>
      <c r="K30" s="4">
        <v>4</v>
      </c>
      <c r="L30" s="4">
        <v>3</v>
      </c>
      <c r="M30" s="4">
        <v>3</v>
      </c>
      <c r="N30" s="4">
        <v>3</v>
      </c>
      <c r="O30" s="4">
        <v>3</v>
      </c>
      <c r="P30" s="4">
        <v>2</v>
      </c>
      <c r="Q30" s="4">
        <v>2</v>
      </c>
      <c r="R30" s="4">
        <v>4</v>
      </c>
      <c r="S30" s="4">
        <v>3</v>
      </c>
      <c r="T30" s="4">
        <v>4</v>
      </c>
      <c r="U30" s="4">
        <v>3</v>
      </c>
      <c r="V30" s="4">
        <v>4</v>
      </c>
      <c r="W30" s="4">
        <v>4</v>
      </c>
      <c r="X30" s="4">
        <v>3</v>
      </c>
      <c r="Y30" s="4">
        <v>3</v>
      </c>
      <c r="Z30" s="4">
        <v>3</v>
      </c>
      <c r="AA30" s="4">
        <v>2</v>
      </c>
      <c r="AB30" s="4">
        <v>3</v>
      </c>
      <c r="AC30" s="4">
        <v>3</v>
      </c>
      <c r="AD30" s="4">
        <v>4</v>
      </c>
      <c r="AE30" s="4">
        <v>4</v>
      </c>
      <c r="AF30" s="4">
        <v>3</v>
      </c>
      <c r="AG30" s="4">
        <v>2</v>
      </c>
      <c r="AH30" s="4">
        <v>2</v>
      </c>
      <c r="AI30" s="4">
        <v>4</v>
      </c>
      <c r="AJ30" s="5" t="s">
        <v>104</v>
      </c>
    </row>
    <row r="31" spans="1:36">
      <c r="A31" s="9">
        <v>46246.391639884256</v>
      </c>
      <c r="B31" s="4" t="s">
        <v>63</v>
      </c>
      <c r="C31" s="4" t="s">
        <v>105</v>
      </c>
      <c r="D31" s="4">
        <v>5</v>
      </c>
      <c r="E31" s="4">
        <v>3</v>
      </c>
      <c r="F31" s="4">
        <v>3</v>
      </c>
      <c r="G31" s="4">
        <v>4</v>
      </c>
      <c r="H31" s="4">
        <v>3</v>
      </c>
      <c r="I31" s="4">
        <v>2</v>
      </c>
      <c r="J31" s="4">
        <v>1</v>
      </c>
      <c r="K31" s="4">
        <v>5</v>
      </c>
      <c r="L31" s="4">
        <v>1</v>
      </c>
      <c r="M31" s="4">
        <v>4</v>
      </c>
      <c r="N31" s="4">
        <v>1</v>
      </c>
      <c r="O31" s="4">
        <v>4</v>
      </c>
      <c r="P31" s="4">
        <v>3</v>
      </c>
      <c r="Q31" s="4">
        <v>3</v>
      </c>
      <c r="R31" s="4">
        <v>3</v>
      </c>
      <c r="S31" s="4">
        <v>3</v>
      </c>
      <c r="T31" s="4">
        <v>3</v>
      </c>
      <c r="U31" s="4">
        <v>3</v>
      </c>
      <c r="V31" s="4">
        <v>4</v>
      </c>
      <c r="W31" s="4">
        <v>3</v>
      </c>
      <c r="X31" s="4">
        <v>2</v>
      </c>
      <c r="Y31" s="4">
        <v>3</v>
      </c>
      <c r="Z31" s="4">
        <v>3</v>
      </c>
      <c r="AA31" s="4">
        <v>2</v>
      </c>
      <c r="AB31" s="4">
        <v>4</v>
      </c>
      <c r="AC31" s="4">
        <v>4</v>
      </c>
      <c r="AD31" s="4">
        <v>4</v>
      </c>
      <c r="AE31" s="4">
        <v>4</v>
      </c>
      <c r="AF31" s="4">
        <v>4</v>
      </c>
      <c r="AG31" s="4">
        <v>2</v>
      </c>
      <c r="AH31" s="4">
        <v>1</v>
      </c>
      <c r="AI31" s="4">
        <v>3</v>
      </c>
      <c r="AJ31" s="5" t="s">
        <v>106</v>
      </c>
    </row>
    <row r="32" spans="1:36">
      <c r="A32" s="9">
        <v>46246.585121168981</v>
      </c>
      <c r="B32" s="4" t="s">
        <v>63</v>
      </c>
      <c r="C32" s="4" t="s">
        <v>105</v>
      </c>
      <c r="D32" s="4">
        <v>5</v>
      </c>
      <c r="E32" s="4">
        <v>3</v>
      </c>
      <c r="F32" s="4">
        <v>3</v>
      </c>
      <c r="G32" s="4">
        <v>4</v>
      </c>
      <c r="H32" s="4">
        <v>3</v>
      </c>
      <c r="I32" s="4">
        <v>2</v>
      </c>
      <c r="J32" s="4">
        <v>1</v>
      </c>
      <c r="K32" s="4">
        <v>4</v>
      </c>
      <c r="L32" s="4">
        <v>1</v>
      </c>
      <c r="M32" s="4">
        <v>3</v>
      </c>
      <c r="N32" s="4">
        <v>2</v>
      </c>
      <c r="O32" s="4">
        <v>3</v>
      </c>
      <c r="P32" s="4">
        <v>2</v>
      </c>
      <c r="Q32" s="4">
        <v>2</v>
      </c>
      <c r="R32" s="4">
        <v>4</v>
      </c>
      <c r="S32" s="4">
        <v>3</v>
      </c>
      <c r="T32" s="4">
        <v>5</v>
      </c>
      <c r="U32" s="4">
        <v>3</v>
      </c>
      <c r="V32" s="4">
        <v>4</v>
      </c>
      <c r="W32" s="4">
        <v>4</v>
      </c>
      <c r="X32" s="4">
        <v>4</v>
      </c>
      <c r="Y32" s="4">
        <v>4</v>
      </c>
      <c r="Z32" s="4">
        <v>4</v>
      </c>
      <c r="AA32" s="4">
        <v>4</v>
      </c>
      <c r="AB32" s="4">
        <v>4</v>
      </c>
      <c r="AC32" s="4">
        <v>3</v>
      </c>
      <c r="AD32" s="4">
        <v>4</v>
      </c>
      <c r="AE32" s="4">
        <v>4</v>
      </c>
      <c r="AF32" s="4">
        <v>1</v>
      </c>
      <c r="AG32" s="4">
        <v>1</v>
      </c>
      <c r="AH32" s="4">
        <v>1</v>
      </c>
      <c r="AI32" s="4">
        <v>4</v>
      </c>
      <c r="AJ32" s="5" t="s">
        <v>75</v>
      </c>
    </row>
    <row r="33" spans="1:36">
      <c r="A33" s="9">
        <v>46246.589969745371</v>
      </c>
      <c r="B33" s="4" t="s">
        <v>65</v>
      </c>
      <c r="C33" s="4" t="s">
        <v>74</v>
      </c>
      <c r="D33" s="4">
        <v>5</v>
      </c>
      <c r="E33" s="4">
        <v>3</v>
      </c>
      <c r="F33" s="4">
        <v>3</v>
      </c>
      <c r="G33" s="4">
        <v>4</v>
      </c>
      <c r="H33" s="4">
        <v>4</v>
      </c>
      <c r="I33" s="4">
        <v>4</v>
      </c>
      <c r="J33" s="4">
        <v>3</v>
      </c>
      <c r="K33" s="4">
        <v>5</v>
      </c>
      <c r="L33" s="4">
        <v>4</v>
      </c>
      <c r="M33" s="4">
        <v>3</v>
      </c>
      <c r="N33" s="4">
        <v>3</v>
      </c>
      <c r="O33" s="4">
        <v>3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3</v>
      </c>
      <c r="V33" s="4">
        <v>5</v>
      </c>
      <c r="W33" s="4">
        <v>4</v>
      </c>
      <c r="X33" s="4">
        <v>5</v>
      </c>
      <c r="Y33" s="4">
        <v>5</v>
      </c>
      <c r="Z33" s="4">
        <v>5</v>
      </c>
      <c r="AA33" s="4">
        <v>4</v>
      </c>
      <c r="AB33" s="4">
        <v>5</v>
      </c>
      <c r="AC33" s="4">
        <v>5</v>
      </c>
      <c r="AD33" s="4">
        <v>5</v>
      </c>
      <c r="AE33" s="4">
        <v>5</v>
      </c>
      <c r="AF33" s="4">
        <v>5</v>
      </c>
      <c r="AG33" s="4">
        <v>2</v>
      </c>
      <c r="AH33" s="4">
        <v>2</v>
      </c>
      <c r="AI33" s="4">
        <v>2</v>
      </c>
      <c r="AJ33" s="5" t="s">
        <v>75</v>
      </c>
    </row>
    <row r="34" spans="1:36">
      <c r="A34" s="9">
        <v>46246.590778518519</v>
      </c>
      <c r="B34" s="4" t="s">
        <v>65</v>
      </c>
      <c r="C34" s="4" t="s">
        <v>74</v>
      </c>
      <c r="D34" s="4">
        <v>4</v>
      </c>
      <c r="E34" s="4">
        <v>5</v>
      </c>
      <c r="F34" s="4">
        <v>4</v>
      </c>
      <c r="G34" s="4">
        <v>5</v>
      </c>
      <c r="H34" s="4">
        <v>2</v>
      </c>
      <c r="I34" s="4">
        <v>3</v>
      </c>
      <c r="J34" s="4">
        <v>2</v>
      </c>
      <c r="K34" s="4">
        <v>5</v>
      </c>
      <c r="L34" s="4">
        <v>4</v>
      </c>
      <c r="M34" s="4">
        <v>5</v>
      </c>
      <c r="N34" s="4">
        <v>2</v>
      </c>
      <c r="O34" s="4">
        <v>5</v>
      </c>
      <c r="P34" s="4">
        <v>1</v>
      </c>
      <c r="Q34" s="4">
        <v>1</v>
      </c>
      <c r="R34" s="4">
        <v>5</v>
      </c>
      <c r="S34" s="4">
        <v>1</v>
      </c>
      <c r="T34" s="4">
        <v>5</v>
      </c>
      <c r="U34" s="4">
        <v>5</v>
      </c>
      <c r="V34" s="4">
        <v>5</v>
      </c>
      <c r="W34" s="4">
        <v>5</v>
      </c>
      <c r="X34" s="4">
        <v>5</v>
      </c>
      <c r="Y34" s="4">
        <v>5</v>
      </c>
      <c r="Z34" s="4">
        <v>5</v>
      </c>
      <c r="AA34" s="4">
        <v>1</v>
      </c>
      <c r="AB34" s="4">
        <v>5</v>
      </c>
      <c r="AC34" s="4">
        <v>2</v>
      </c>
      <c r="AD34" s="4">
        <v>4</v>
      </c>
      <c r="AE34" s="4">
        <v>4</v>
      </c>
      <c r="AF34" s="4">
        <v>3</v>
      </c>
      <c r="AG34" s="4">
        <v>3</v>
      </c>
      <c r="AH34" s="4">
        <v>2</v>
      </c>
      <c r="AI34" s="4">
        <v>4</v>
      </c>
      <c r="AJ34" s="5" t="s">
        <v>107</v>
      </c>
    </row>
    <row r="35" spans="1:36">
      <c r="A35" s="9">
        <v>46246.596323449077</v>
      </c>
      <c r="B35" s="4" t="s">
        <v>65</v>
      </c>
      <c r="C35" s="4" t="s">
        <v>74</v>
      </c>
      <c r="D35" s="4">
        <v>5</v>
      </c>
      <c r="E35" s="4">
        <v>4</v>
      </c>
      <c r="F35" s="4">
        <v>3</v>
      </c>
      <c r="G35" s="4">
        <v>5</v>
      </c>
      <c r="H35" s="4">
        <v>3</v>
      </c>
      <c r="I35" s="4">
        <v>3</v>
      </c>
      <c r="J35" s="4">
        <v>3</v>
      </c>
      <c r="K35" s="4">
        <v>5</v>
      </c>
      <c r="L35" s="4">
        <v>2</v>
      </c>
      <c r="M35" s="4">
        <v>3</v>
      </c>
      <c r="N35" s="4">
        <v>3</v>
      </c>
      <c r="O35" s="4">
        <v>4</v>
      </c>
      <c r="P35" s="4">
        <v>1</v>
      </c>
      <c r="Q35" s="4">
        <v>3</v>
      </c>
      <c r="R35" s="4">
        <v>4</v>
      </c>
      <c r="S35" s="4">
        <v>4</v>
      </c>
      <c r="T35" s="4">
        <v>4</v>
      </c>
      <c r="U35" s="4">
        <v>3</v>
      </c>
      <c r="V35" s="4">
        <v>5</v>
      </c>
      <c r="W35" s="4">
        <v>4</v>
      </c>
      <c r="X35" s="4">
        <v>5</v>
      </c>
      <c r="Y35" s="4">
        <v>5</v>
      </c>
      <c r="Z35" s="4">
        <v>5</v>
      </c>
      <c r="AA35" s="4">
        <v>1</v>
      </c>
      <c r="AB35" s="4">
        <v>5</v>
      </c>
      <c r="AC35" s="4">
        <v>5</v>
      </c>
      <c r="AD35" s="4">
        <v>5</v>
      </c>
      <c r="AE35" s="4">
        <v>5</v>
      </c>
      <c r="AF35" s="4">
        <v>5</v>
      </c>
      <c r="AG35" s="4">
        <v>1</v>
      </c>
      <c r="AH35" s="4">
        <v>1</v>
      </c>
      <c r="AI35" s="4">
        <v>5</v>
      </c>
      <c r="AJ35" s="5" t="s">
        <v>75</v>
      </c>
    </row>
    <row r="36" spans="1:36">
      <c r="A36" s="9">
        <v>46246.600970300926</v>
      </c>
      <c r="B36" s="4" t="s">
        <v>65</v>
      </c>
      <c r="C36" s="4" t="s">
        <v>97</v>
      </c>
      <c r="D36" s="4">
        <v>5</v>
      </c>
      <c r="E36" s="4">
        <v>4</v>
      </c>
      <c r="F36" s="4">
        <v>2</v>
      </c>
      <c r="G36" s="4">
        <v>4</v>
      </c>
      <c r="H36" s="4">
        <v>4</v>
      </c>
      <c r="I36" s="4">
        <v>4</v>
      </c>
      <c r="J36" s="4">
        <v>3</v>
      </c>
      <c r="K36" s="4">
        <v>4</v>
      </c>
      <c r="L36" s="4">
        <v>3</v>
      </c>
      <c r="M36" s="4">
        <v>3</v>
      </c>
      <c r="N36" s="4">
        <v>3</v>
      </c>
      <c r="O36" s="4">
        <v>4</v>
      </c>
      <c r="P36" s="4">
        <v>3</v>
      </c>
      <c r="Q36" s="4">
        <v>3</v>
      </c>
      <c r="R36" s="4">
        <v>3</v>
      </c>
      <c r="S36" s="4">
        <v>3</v>
      </c>
      <c r="T36" s="4">
        <v>4</v>
      </c>
      <c r="U36" s="4">
        <v>4</v>
      </c>
      <c r="V36" s="4">
        <v>4</v>
      </c>
      <c r="W36" s="4">
        <v>4</v>
      </c>
      <c r="X36" s="4">
        <v>3</v>
      </c>
      <c r="Y36" s="4">
        <v>3</v>
      </c>
      <c r="Z36" s="4">
        <v>3</v>
      </c>
      <c r="AA36" s="4">
        <v>4</v>
      </c>
      <c r="AB36" s="4">
        <v>3</v>
      </c>
      <c r="AC36" s="4">
        <v>3</v>
      </c>
      <c r="AD36" s="4">
        <v>4</v>
      </c>
      <c r="AE36" s="4">
        <v>4</v>
      </c>
      <c r="AF36" s="4">
        <v>4</v>
      </c>
      <c r="AG36" s="4">
        <v>3</v>
      </c>
      <c r="AH36" s="4">
        <v>3</v>
      </c>
      <c r="AI36" s="4">
        <v>4</v>
      </c>
      <c r="AJ36" s="5" t="s">
        <v>108</v>
      </c>
    </row>
    <row r="37" spans="1:36">
      <c r="A37" s="9">
        <v>46246.663210150466</v>
      </c>
      <c r="B37" s="4" t="s">
        <v>71</v>
      </c>
      <c r="C37" s="4" t="s">
        <v>105</v>
      </c>
      <c r="D37" s="4">
        <v>5</v>
      </c>
      <c r="E37" s="4">
        <v>1</v>
      </c>
      <c r="F37" s="4">
        <v>2</v>
      </c>
      <c r="G37" s="4">
        <v>5</v>
      </c>
      <c r="H37" s="4">
        <v>3</v>
      </c>
      <c r="I37" s="4">
        <v>3</v>
      </c>
      <c r="J37" s="4">
        <v>3</v>
      </c>
      <c r="K37" s="4">
        <v>4</v>
      </c>
      <c r="L37" s="4">
        <v>3</v>
      </c>
      <c r="M37" s="4">
        <v>1</v>
      </c>
      <c r="N37" s="4">
        <v>2</v>
      </c>
      <c r="O37" s="4">
        <v>3</v>
      </c>
      <c r="P37" s="4">
        <v>4</v>
      </c>
      <c r="Q37" s="4">
        <v>3</v>
      </c>
      <c r="R37" s="4">
        <v>3</v>
      </c>
      <c r="S37" s="4">
        <v>3</v>
      </c>
      <c r="T37" s="4">
        <v>3</v>
      </c>
      <c r="U37" s="4">
        <v>3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3</v>
      </c>
      <c r="AD37" s="4">
        <v>2</v>
      </c>
      <c r="AE37" s="4">
        <v>2</v>
      </c>
      <c r="AF37" s="4">
        <v>3</v>
      </c>
      <c r="AG37" s="4">
        <v>3</v>
      </c>
      <c r="AH37" s="4">
        <v>3</v>
      </c>
      <c r="AI37" s="4">
        <v>3</v>
      </c>
      <c r="AJ37" s="5" t="s">
        <v>109</v>
      </c>
    </row>
    <row r="38" spans="1:36">
      <c r="A38" s="9">
        <v>46246.738662719908</v>
      </c>
      <c r="B38" s="4" t="s">
        <v>65</v>
      </c>
      <c r="C38" s="4" t="s">
        <v>110</v>
      </c>
      <c r="D38" s="4">
        <v>4</v>
      </c>
      <c r="E38" s="4">
        <v>2</v>
      </c>
      <c r="F38" s="4">
        <v>3</v>
      </c>
      <c r="G38" s="4">
        <v>4</v>
      </c>
      <c r="H38" s="4">
        <v>3</v>
      </c>
      <c r="I38" s="4">
        <v>1</v>
      </c>
      <c r="J38" s="4">
        <v>1</v>
      </c>
      <c r="K38" s="4">
        <v>5</v>
      </c>
      <c r="L38" s="4">
        <v>1</v>
      </c>
      <c r="M38" s="4">
        <v>4</v>
      </c>
      <c r="N38" s="4">
        <v>2</v>
      </c>
      <c r="O38" s="4">
        <v>3</v>
      </c>
      <c r="P38" s="4">
        <v>2</v>
      </c>
      <c r="Q38" s="4">
        <v>2</v>
      </c>
      <c r="R38" s="4">
        <v>3</v>
      </c>
      <c r="S38" s="4">
        <v>2</v>
      </c>
      <c r="T38" s="4">
        <v>3</v>
      </c>
      <c r="U38" s="4">
        <v>4</v>
      </c>
      <c r="V38" s="4">
        <v>4</v>
      </c>
      <c r="W38" s="4">
        <v>3</v>
      </c>
      <c r="X38" s="4">
        <v>4</v>
      </c>
      <c r="Y38" s="4">
        <v>4</v>
      </c>
      <c r="Z38" s="4">
        <v>4</v>
      </c>
      <c r="AA38" s="4">
        <v>1</v>
      </c>
      <c r="AB38" s="4">
        <v>3</v>
      </c>
      <c r="AC38" s="4">
        <v>3</v>
      </c>
      <c r="AD38" s="4">
        <v>5</v>
      </c>
      <c r="AE38" s="4">
        <v>5</v>
      </c>
      <c r="AF38" s="4">
        <v>2</v>
      </c>
      <c r="AG38" s="4">
        <v>1</v>
      </c>
      <c r="AH38" s="4">
        <v>1</v>
      </c>
      <c r="AI38" s="4">
        <v>5</v>
      </c>
      <c r="AJ38" s="5" t="s">
        <v>111</v>
      </c>
    </row>
    <row r="39" spans="1:36">
      <c r="A39" s="9">
        <v>46246.740712256942</v>
      </c>
      <c r="B39" s="4" t="s">
        <v>63</v>
      </c>
      <c r="C39" s="4" t="s">
        <v>68</v>
      </c>
      <c r="D39" s="4">
        <v>1</v>
      </c>
      <c r="E39" s="4">
        <v>2</v>
      </c>
      <c r="F39" s="4">
        <v>3</v>
      </c>
      <c r="G39" s="4">
        <v>3</v>
      </c>
      <c r="H39" s="4">
        <v>3</v>
      </c>
      <c r="I39" s="4">
        <v>3</v>
      </c>
      <c r="J39" s="4">
        <v>4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2</v>
      </c>
      <c r="Q39" s="4">
        <v>3</v>
      </c>
      <c r="R39" s="4">
        <v>3</v>
      </c>
      <c r="S39" s="4">
        <v>3</v>
      </c>
      <c r="T39" s="4">
        <v>3</v>
      </c>
      <c r="U39" s="4">
        <v>2</v>
      </c>
      <c r="V39" s="4">
        <v>3</v>
      </c>
      <c r="W39" s="4">
        <v>3</v>
      </c>
      <c r="X39" s="4">
        <v>2</v>
      </c>
      <c r="Y39" s="4">
        <v>2</v>
      </c>
      <c r="Z39" s="4">
        <v>3</v>
      </c>
      <c r="AA39" s="4">
        <v>3</v>
      </c>
      <c r="AB39" s="4">
        <v>4</v>
      </c>
      <c r="AC39" s="4">
        <v>4</v>
      </c>
      <c r="AD39" s="4">
        <v>4</v>
      </c>
      <c r="AE39" s="4">
        <v>3</v>
      </c>
      <c r="AF39" s="4">
        <v>4</v>
      </c>
      <c r="AG39" s="4">
        <v>2</v>
      </c>
      <c r="AH39" s="4">
        <v>2</v>
      </c>
      <c r="AI39" s="4">
        <v>4</v>
      </c>
      <c r="AJ39" s="5" t="s">
        <v>112</v>
      </c>
    </row>
    <row r="40" spans="1:36">
      <c r="A40" s="9">
        <v>46246.754480960648</v>
      </c>
      <c r="B40" s="4" t="s">
        <v>71</v>
      </c>
      <c r="C40" s="4" t="s">
        <v>113</v>
      </c>
      <c r="D40" s="4">
        <v>5</v>
      </c>
      <c r="E40" s="4">
        <v>4</v>
      </c>
      <c r="F40" s="4">
        <v>5</v>
      </c>
      <c r="G40" s="4">
        <v>5</v>
      </c>
      <c r="H40" s="4">
        <v>4</v>
      </c>
      <c r="I40" s="4">
        <v>3</v>
      </c>
      <c r="J40" s="4">
        <v>4</v>
      </c>
      <c r="K40" s="4">
        <v>5</v>
      </c>
      <c r="L40" s="4">
        <v>1</v>
      </c>
      <c r="M40" s="4">
        <v>3</v>
      </c>
      <c r="N40" s="4">
        <v>3</v>
      </c>
      <c r="O40" s="4">
        <v>5</v>
      </c>
      <c r="P40" s="4">
        <v>4</v>
      </c>
      <c r="Q40" s="4">
        <v>3</v>
      </c>
      <c r="R40" s="4">
        <v>5</v>
      </c>
      <c r="S40" s="4">
        <v>5</v>
      </c>
      <c r="T40" s="4">
        <v>5</v>
      </c>
      <c r="U40" s="4">
        <v>5</v>
      </c>
      <c r="V40" s="4">
        <v>5</v>
      </c>
      <c r="W40" s="4">
        <v>5</v>
      </c>
      <c r="X40" s="4">
        <v>5</v>
      </c>
      <c r="Y40" s="4">
        <v>4</v>
      </c>
      <c r="Z40" s="4">
        <v>4</v>
      </c>
      <c r="AA40" s="4">
        <v>4</v>
      </c>
      <c r="AB40" s="4">
        <v>3</v>
      </c>
      <c r="AC40" s="4">
        <v>3</v>
      </c>
      <c r="AD40" s="4">
        <v>5</v>
      </c>
      <c r="AE40" s="4">
        <v>5</v>
      </c>
      <c r="AF40" s="4">
        <v>1</v>
      </c>
      <c r="AG40" s="4">
        <v>1</v>
      </c>
      <c r="AH40" s="4">
        <v>1</v>
      </c>
      <c r="AI40" s="4">
        <v>5</v>
      </c>
      <c r="AJ40" s="5" t="s">
        <v>114</v>
      </c>
    </row>
    <row r="41" spans="1:36">
      <c r="A41" s="9">
        <v>46246.757511493051</v>
      </c>
      <c r="B41" s="4" t="s">
        <v>63</v>
      </c>
      <c r="C41" s="4" t="s">
        <v>68</v>
      </c>
      <c r="D41" s="4">
        <v>3</v>
      </c>
      <c r="E41" s="4">
        <v>3</v>
      </c>
      <c r="F41" s="4">
        <v>4</v>
      </c>
      <c r="G41" s="4">
        <v>3</v>
      </c>
      <c r="H41" s="4">
        <v>4</v>
      </c>
      <c r="I41" s="4">
        <v>4</v>
      </c>
      <c r="J41" s="4">
        <v>4</v>
      </c>
      <c r="K41" s="4">
        <v>3</v>
      </c>
      <c r="L41" s="4">
        <v>3</v>
      </c>
      <c r="M41" s="4">
        <v>3</v>
      </c>
      <c r="N41" s="4">
        <v>4</v>
      </c>
      <c r="O41" s="4">
        <v>3</v>
      </c>
      <c r="P41" s="4">
        <v>3</v>
      </c>
      <c r="Q41" s="4">
        <v>4</v>
      </c>
      <c r="R41" s="4">
        <v>3</v>
      </c>
      <c r="S41" s="4">
        <v>4</v>
      </c>
      <c r="T41" s="4">
        <v>4</v>
      </c>
      <c r="U41" s="4">
        <v>3</v>
      </c>
      <c r="V41" s="4">
        <v>3</v>
      </c>
      <c r="W41" s="4">
        <v>3</v>
      </c>
      <c r="X41" s="4">
        <v>3</v>
      </c>
      <c r="Y41" s="4">
        <v>4</v>
      </c>
      <c r="Z41" s="4">
        <v>3</v>
      </c>
      <c r="AA41" s="4">
        <v>4</v>
      </c>
      <c r="AB41" s="4">
        <v>3</v>
      </c>
      <c r="AC41" s="4">
        <v>3</v>
      </c>
      <c r="AD41" s="4">
        <v>4</v>
      </c>
      <c r="AE41" s="4">
        <v>3</v>
      </c>
      <c r="AF41" s="4">
        <v>4</v>
      </c>
      <c r="AG41" s="4">
        <v>2</v>
      </c>
      <c r="AH41" s="4">
        <v>4</v>
      </c>
      <c r="AI41" s="4">
        <v>3</v>
      </c>
      <c r="AJ41" s="5" t="s">
        <v>115</v>
      </c>
    </row>
    <row r="42" spans="1:36">
      <c r="A42" s="9">
        <v>46246.760100057872</v>
      </c>
      <c r="B42" s="4" t="s">
        <v>63</v>
      </c>
      <c r="C42" s="4" t="s">
        <v>68</v>
      </c>
      <c r="D42" s="4">
        <v>2</v>
      </c>
      <c r="E42" s="4">
        <v>2</v>
      </c>
      <c r="F42" s="4">
        <v>3</v>
      </c>
      <c r="G42" s="4">
        <v>2</v>
      </c>
      <c r="H42" s="4">
        <v>5</v>
      </c>
      <c r="I42" s="4">
        <v>4</v>
      </c>
      <c r="J42" s="4">
        <v>4</v>
      </c>
      <c r="K42" s="4">
        <v>3</v>
      </c>
      <c r="L42" s="4">
        <v>3</v>
      </c>
      <c r="M42" s="4">
        <v>2</v>
      </c>
      <c r="N42" s="4">
        <v>2</v>
      </c>
      <c r="O42" s="4">
        <v>3</v>
      </c>
      <c r="P42" s="4">
        <v>2</v>
      </c>
      <c r="Q42" s="4">
        <v>3</v>
      </c>
      <c r="R42" s="4">
        <v>2</v>
      </c>
      <c r="S42" s="4">
        <v>4</v>
      </c>
      <c r="T42" s="4">
        <v>5</v>
      </c>
      <c r="U42" s="4">
        <v>3</v>
      </c>
      <c r="V42" s="4">
        <v>3</v>
      </c>
      <c r="W42" s="4">
        <v>3</v>
      </c>
      <c r="X42" s="4">
        <v>2</v>
      </c>
      <c r="Y42" s="4">
        <v>2</v>
      </c>
      <c r="Z42" s="4">
        <v>2</v>
      </c>
      <c r="AA42" s="4">
        <v>3</v>
      </c>
      <c r="AB42" s="4">
        <v>3</v>
      </c>
      <c r="AC42" s="4">
        <v>3</v>
      </c>
      <c r="AD42" s="4">
        <v>3</v>
      </c>
      <c r="AE42" s="4">
        <v>1</v>
      </c>
      <c r="AF42" s="4">
        <v>3</v>
      </c>
      <c r="AG42" s="4">
        <v>2</v>
      </c>
      <c r="AH42" s="4">
        <v>2</v>
      </c>
      <c r="AI42" s="4">
        <v>3</v>
      </c>
      <c r="AJ42" s="5" t="s">
        <v>116</v>
      </c>
    </row>
    <row r="43" spans="1:36">
      <c r="A43" s="9">
        <v>46246.766900775459</v>
      </c>
      <c r="B43" s="4" t="s">
        <v>65</v>
      </c>
      <c r="C43" s="4" t="s">
        <v>110</v>
      </c>
      <c r="D43" s="4">
        <v>4</v>
      </c>
      <c r="E43" s="4">
        <v>3</v>
      </c>
      <c r="F43" s="4">
        <v>3</v>
      </c>
      <c r="G43" s="4">
        <v>2</v>
      </c>
      <c r="H43" s="4">
        <v>1</v>
      </c>
      <c r="I43" s="4">
        <v>2</v>
      </c>
      <c r="J43" s="4">
        <v>2</v>
      </c>
      <c r="K43" s="4">
        <v>3</v>
      </c>
      <c r="L43" s="4">
        <v>1</v>
      </c>
      <c r="M43" s="4">
        <v>3</v>
      </c>
      <c r="N43" s="4">
        <v>1</v>
      </c>
      <c r="O43" s="4">
        <v>4</v>
      </c>
      <c r="P43" s="4">
        <v>1</v>
      </c>
      <c r="Q43" s="4">
        <v>3</v>
      </c>
      <c r="R43" s="4">
        <v>3</v>
      </c>
      <c r="S43" s="4">
        <v>2</v>
      </c>
      <c r="T43" s="4">
        <v>3</v>
      </c>
      <c r="U43" s="4">
        <v>4</v>
      </c>
      <c r="V43" s="4">
        <v>4</v>
      </c>
      <c r="W43" s="4">
        <v>4</v>
      </c>
      <c r="X43" s="4">
        <v>4</v>
      </c>
      <c r="Y43" s="4">
        <v>3</v>
      </c>
      <c r="Z43" s="4">
        <v>3</v>
      </c>
      <c r="AA43" s="4">
        <v>1</v>
      </c>
      <c r="AB43" s="4">
        <v>4</v>
      </c>
      <c r="AC43" s="4">
        <v>3</v>
      </c>
      <c r="AD43" s="4">
        <v>4</v>
      </c>
      <c r="AE43" s="4">
        <v>4</v>
      </c>
      <c r="AF43" s="4">
        <v>3</v>
      </c>
      <c r="AG43" s="4">
        <v>1</v>
      </c>
      <c r="AH43" s="4">
        <v>1</v>
      </c>
      <c r="AI43" s="4">
        <v>2</v>
      </c>
      <c r="AJ43" s="5" t="s">
        <v>117</v>
      </c>
    </row>
    <row r="44" spans="1:36">
      <c r="A44" s="9">
        <v>46246.787782847226</v>
      </c>
      <c r="B44" s="4" t="s">
        <v>63</v>
      </c>
      <c r="C44" s="4" t="s">
        <v>68</v>
      </c>
      <c r="D44" s="4">
        <v>2</v>
      </c>
      <c r="E44" s="4">
        <v>3</v>
      </c>
      <c r="F44" s="4">
        <v>4</v>
      </c>
      <c r="G44" s="4">
        <v>3</v>
      </c>
      <c r="H44" s="4">
        <v>5</v>
      </c>
      <c r="I44" s="4">
        <v>5</v>
      </c>
      <c r="J44" s="4">
        <v>5</v>
      </c>
      <c r="K44" s="4">
        <v>1</v>
      </c>
      <c r="L44" s="4">
        <v>5</v>
      </c>
      <c r="M44" s="4">
        <v>2</v>
      </c>
      <c r="N44" s="4">
        <v>4</v>
      </c>
      <c r="O44" s="4">
        <v>3</v>
      </c>
      <c r="P44" s="4">
        <v>3</v>
      </c>
      <c r="Q44" s="4">
        <v>3</v>
      </c>
      <c r="R44" s="4">
        <v>3</v>
      </c>
      <c r="S44" s="4">
        <v>4</v>
      </c>
      <c r="T44" s="4">
        <v>4</v>
      </c>
      <c r="U44" s="4">
        <v>1</v>
      </c>
      <c r="V44" s="4">
        <v>3</v>
      </c>
      <c r="W44" s="4">
        <v>2</v>
      </c>
      <c r="X44" s="4">
        <v>1</v>
      </c>
      <c r="Y44" s="4">
        <v>1</v>
      </c>
      <c r="Z44" s="4">
        <v>2</v>
      </c>
      <c r="AA44" s="4">
        <v>5</v>
      </c>
      <c r="AB44" s="4">
        <v>2</v>
      </c>
      <c r="AC44" s="4">
        <v>2</v>
      </c>
      <c r="AD44" s="4">
        <v>4</v>
      </c>
      <c r="AE44" s="4">
        <v>3</v>
      </c>
      <c r="AF44" s="4">
        <v>4</v>
      </c>
      <c r="AG44" s="4">
        <v>4</v>
      </c>
      <c r="AH44" s="4">
        <v>4</v>
      </c>
      <c r="AI44" s="4">
        <v>3</v>
      </c>
      <c r="AJ44" s="5" t="s">
        <v>118</v>
      </c>
    </row>
    <row r="45" spans="1:36">
      <c r="A45" s="9">
        <v>46246.791257245372</v>
      </c>
      <c r="B45" s="4" t="s">
        <v>71</v>
      </c>
      <c r="C45" s="4" t="s">
        <v>68</v>
      </c>
      <c r="D45" s="4">
        <v>3</v>
      </c>
      <c r="E45" s="4">
        <v>3</v>
      </c>
      <c r="F45" s="4">
        <v>3</v>
      </c>
      <c r="G45" s="4">
        <v>4</v>
      </c>
      <c r="H45" s="4">
        <v>2</v>
      </c>
      <c r="I45" s="4">
        <v>4</v>
      </c>
      <c r="J45" s="4">
        <v>4</v>
      </c>
      <c r="K45" s="4">
        <v>4</v>
      </c>
      <c r="L45" s="4">
        <v>2</v>
      </c>
      <c r="M45" s="4">
        <v>2</v>
      </c>
      <c r="N45" s="4">
        <v>2</v>
      </c>
      <c r="O45" s="4">
        <v>4</v>
      </c>
      <c r="P45" s="4">
        <v>1</v>
      </c>
      <c r="Q45" s="4">
        <v>3</v>
      </c>
      <c r="R45" s="4">
        <v>4</v>
      </c>
      <c r="S45" s="4">
        <v>2</v>
      </c>
      <c r="T45" s="4">
        <v>3</v>
      </c>
      <c r="U45" s="4">
        <v>2</v>
      </c>
      <c r="V45" s="4">
        <v>2</v>
      </c>
      <c r="W45" s="4">
        <v>4</v>
      </c>
      <c r="X45" s="4">
        <v>3</v>
      </c>
      <c r="Y45" s="4">
        <v>2</v>
      </c>
      <c r="Z45" s="4">
        <v>2</v>
      </c>
      <c r="AA45" s="4">
        <v>2</v>
      </c>
      <c r="AB45" s="4">
        <v>2</v>
      </c>
      <c r="AC45" s="4">
        <v>3</v>
      </c>
      <c r="AD45" s="4">
        <v>5</v>
      </c>
      <c r="AE45" s="4">
        <v>3</v>
      </c>
      <c r="AF45" s="4">
        <v>2</v>
      </c>
      <c r="AG45" s="4">
        <v>2</v>
      </c>
      <c r="AH45" s="4">
        <v>4</v>
      </c>
      <c r="AI45" s="4">
        <v>3</v>
      </c>
      <c r="AJ45" s="5" t="s">
        <v>119</v>
      </c>
    </row>
    <row r="46" spans="1:36">
      <c r="A46" s="9">
        <v>46246.858902233798</v>
      </c>
      <c r="B46" s="4" t="s">
        <v>65</v>
      </c>
      <c r="C46" s="4" t="s">
        <v>68</v>
      </c>
      <c r="D46" s="4">
        <v>3</v>
      </c>
      <c r="E46" s="4">
        <v>3</v>
      </c>
      <c r="F46" s="4">
        <v>3</v>
      </c>
      <c r="G46" s="4">
        <v>4</v>
      </c>
      <c r="H46" s="4">
        <v>3</v>
      </c>
      <c r="I46" s="4">
        <v>3</v>
      </c>
      <c r="J46" s="4">
        <v>2</v>
      </c>
      <c r="K46" s="4">
        <v>3</v>
      </c>
      <c r="L46" s="4">
        <v>3</v>
      </c>
      <c r="M46" s="4">
        <v>4</v>
      </c>
      <c r="N46" s="4">
        <v>3</v>
      </c>
      <c r="O46" s="4">
        <v>4</v>
      </c>
      <c r="P46" s="4">
        <v>2</v>
      </c>
      <c r="Q46" s="4">
        <v>4</v>
      </c>
      <c r="R46" s="4">
        <v>3</v>
      </c>
      <c r="S46" s="4">
        <v>3</v>
      </c>
      <c r="T46" s="4">
        <v>4</v>
      </c>
      <c r="U46" s="4">
        <v>3</v>
      </c>
      <c r="V46" s="4">
        <v>4</v>
      </c>
      <c r="W46" s="4">
        <v>3</v>
      </c>
      <c r="X46" s="4">
        <v>4</v>
      </c>
      <c r="Y46" s="4">
        <v>3</v>
      </c>
      <c r="Z46" s="4">
        <v>3</v>
      </c>
      <c r="AA46" s="4">
        <v>3</v>
      </c>
      <c r="AB46" s="4">
        <v>3</v>
      </c>
      <c r="AC46" s="4">
        <v>4</v>
      </c>
      <c r="AD46" s="4">
        <v>3</v>
      </c>
      <c r="AE46" s="4">
        <v>3</v>
      </c>
      <c r="AF46" s="4">
        <v>3</v>
      </c>
      <c r="AG46" s="4">
        <v>3</v>
      </c>
      <c r="AH46" s="4">
        <v>2</v>
      </c>
      <c r="AI46" s="4">
        <v>3</v>
      </c>
      <c r="AJ46" s="5" t="s">
        <v>80</v>
      </c>
    </row>
    <row r="47" spans="1:36">
      <c r="A47" s="9">
        <v>46246.935632696761</v>
      </c>
      <c r="B47" s="4" t="s">
        <v>71</v>
      </c>
      <c r="C47" s="4" t="s">
        <v>97</v>
      </c>
      <c r="D47" s="4">
        <v>3</v>
      </c>
      <c r="E47" s="4">
        <v>3</v>
      </c>
      <c r="F47" s="4">
        <v>3</v>
      </c>
      <c r="G47" s="4">
        <v>3</v>
      </c>
      <c r="H47" s="4">
        <v>4</v>
      </c>
      <c r="I47" s="4">
        <v>4</v>
      </c>
      <c r="J47" s="4">
        <v>3</v>
      </c>
      <c r="K47" s="4">
        <v>3</v>
      </c>
      <c r="L47" s="4">
        <v>4</v>
      </c>
      <c r="M47" s="4">
        <v>3</v>
      </c>
      <c r="N47" s="4">
        <v>3</v>
      </c>
      <c r="O47" s="4">
        <v>3</v>
      </c>
      <c r="P47" s="4">
        <v>4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4</v>
      </c>
      <c r="W47" s="4">
        <v>2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2</v>
      </c>
      <c r="AE47" s="4">
        <v>3</v>
      </c>
      <c r="AF47" s="4">
        <v>3</v>
      </c>
      <c r="AG47" s="4">
        <v>4</v>
      </c>
      <c r="AH47" s="4">
        <v>4</v>
      </c>
      <c r="AI47" s="4">
        <v>3</v>
      </c>
      <c r="AJ47" s="5" t="s">
        <v>120</v>
      </c>
    </row>
    <row r="48" spans="1:36">
      <c r="A48" s="9">
        <v>46247.022123483795</v>
      </c>
      <c r="B48" s="4" t="s">
        <v>65</v>
      </c>
      <c r="C48" s="4" t="s">
        <v>105</v>
      </c>
      <c r="D48" s="4">
        <v>4</v>
      </c>
      <c r="E48" s="4">
        <v>4</v>
      </c>
      <c r="F48" s="4">
        <v>4</v>
      </c>
      <c r="G48" s="4">
        <v>4</v>
      </c>
      <c r="H48" s="4">
        <v>3</v>
      </c>
      <c r="I48" s="4">
        <v>3</v>
      </c>
      <c r="J48" s="4">
        <v>3</v>
      </c>
      <c r="K48" s="4">
        <v>5</v>
      </c>
      <c r="L48" s="4">
        <v>4</v>
      </c>
      <c r="M48" s="4">
        <v>4</v>
      </c>
      <c r="N48" s="4">
        <v>2</v>
      </c>
      <c r="O48" s="4">
        <v>4</v>
      </c>
      <c r="P48" s="4">
        <v>1</v>
      </c>
      <c r="Q48" s="4">
        <v>1</v>
      </c>
      <c r="R48" s="4">
        <v>5</v>
      </c>
      <c r="S48" s="4">
        <v>4</v>
      </c>
      <c r="T48" s="4">
        <v>4</v>
      </c>
      <c r="U48" s="4">
        <v>5</v>
      </c>
      <c r="V48" s="4">
        <v>5</v>
      </c>
      <c r="W48" s="4">
        <v>5</v>
      </c>
      <c r="X48" s="4">
        <v>4</v>
      </c>
      <c r="Y48" s="4">
        <v>4</v>
      </c>
      <c r="Z48" s="4">
        <v>4</v>
      </c>
      <c r="AA48" s="4">
        <v>2</v>
      </c>
      <c r="AB48" s="4">
        <v>2</v>
      </c>
      <c r="AC48" s="4">
        <v>2</v>
      </c>
      <c r="AD48" s="4">
        <v>5</v>
      </c>
      <c r="AE48" s="4">
        <v>4</v>
      </c>
      <c r="AF48" s="4">
        <v>1</v>
      </c>
      <c r="AG48" s="4">
        <v>1</v>
      </c>
      <c r="AH48" s="4">
        <v>1</v>
      </c>
      <c r="AI48" s="4">
        <v>4</v>
      </c>
      <c r="AJ48" s="5" t="s">
        <v>121</v>
      </c>
    </row>
    <row r="49" spans="1:36">
      <c r="A49" s="9">
        <v>46247.316919803241</v>
      </c>
      <c r="B49" s="4" t="s">
        <v>71</v>
      </c>
      <c r="C49" s="4" t="s">
        <v>68</v>
      </c>
      <c r="D49" s="4">
        <v>5</v>
      </c>
      <c r="E49" s="4">
        <v>5</v>
      </c>
      <c r="F49" s="4">
        <v>4</v>
      </c>
      <c r="G49" s="4">
        <v>5</v>
      </c>
      <c r="H49" s="4">
        <v>5</v>
      </c>
      <c r="I49" s="4">
        <v>1</v>
      </c>
      <c r="J49" s="4">
        <v>1</v>
      </c>
      <c r="K49" s="4">
        <v>5</v>
      </c>
      <c r="L49" s="4">
        <v>1</v>
      </c>
      <c r="M49" s="4">
        <v>1</v>
      </c>
      <c r="N49" s="4">
        <v>5</v>
      </c>
      <c r="O49" s="4">
        <v>5</v>
      </c>
      <c r="P49" s="4">
        <v>1</v>
      </c>
      <c r="Q49" s="4">
        <v>2</v>
      </c>
      <c r="R49" s="4">
        <v>5</v>
      </c>
      <c r="S49" s="4">
        <v>5</v>
      </c>
      <c r="T49" s="4">
        <v>5</v>
      </c>
      <c r="U49" s="4">
        <v>5</v>
      </c>
      <c r="V49" s="4">
        <v>5</v>
      </c>
      <c r="W49" s="4">
        <v>5</v>
      </c>
      <c r="X49" s="4">
        <v>5</v>
      </c>
      <c r="Y49" s="4">
        <v>5</v>
      </c>
      <c r="Z49" s="4">
        <v>5</v>
      </c>
      <c r="AA49" s="4">
        <v>5</v>
      </c>
      <c r="AB49" s="4">
        <v>1</v>
      </c>
      <c r="AC49" s="4">
        <v>1</v>
      </c>
      <c r="AD49" s="4">
        <v>5</v>
      </c>
      <c r="AE49" s="4">
        <v>5</v>
      </c>
      <c r="AF49" s="4">
        <v>5</v>
      </c>
      <c r="AG49" s="4">
        <v>1</v>
      </c>
      <c r="AH49" s="4">
        <v>1</v>
      </c>
      <c r="AI49" s="4">
        <v>5</v>
      </c>
      <c r="AJ49" s="5" t="s">
        <v>122</v>
      </c>
    </row>
    <row r="50" spans="1:36">
      <c r="A50" s="9">
        <v>46247.444336365741</v>
      </c>
      <c r="B50" s="4" t="s">
        <v>71</v>
      </c>
      <c r="C50" s="4" t="s">
        <v>77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2</v>
      </c>
      <c r="J50" s="4">
        <v>5</v>
      </c>
      <c r="K50" s="4">
        <v>3</v>
      </c>
      <c r="L50" s="4">
        <v>2</v>
      </c>
      <c r="M50" s="4">
        <v>2</v>
      </c>
      <c r="N50" s="4">
        <v>1</v>
      </c>
      <c r="O50" s="4">
        <v>5</v>
      </c>
      <c r="P50" s="4">
        <v>5</v>
      </c>
      <c r="Q50" s="4">
        <v>3</v>
      </c>
      <c r="R50" s="4">
        <v>1</v>
      </c>
      <c r="S50" s="4">
        <v>1</v>
      </c>
      <c r="T50" s="4">
        <v>2</v>
      </c>
      <c r="U50" s="4">
        <v>2</v>
      </c>
      <c r="V50" s="4">
        <v>2</v>
      </c>
      <c r="W50" s="4">
        <v>3</v>
      </c>
      <c r="X50" s="4">
        <v>4</v>
      </c>
      <c r="Y50" s="4">
        <v>3</v>
      </c>
      <c r="Z50" s="4">
        <v>2</v>
      </c>
      <c r="AA50" s="4">
        <v>2</v>
      </c>
      <c r="AB50" s="4">
        <v>2</v>
      </c>
      <c r="AC50" s="4">
        <v>3</v>
      </c>
      <c r="AD50" s="4">
        <v>2</v>
      </c>
      <c r="AE50" s="4">
        <v>3</v>
      </c>
      <c r="AF50" s="4">
        <v>2</v>
      </c>
      <c r="AG50" s="4">
        <v>2</v>
      </c>
      <c r="AH50" s="4">
        <v>2</v>
      </c>
      <c r="AI50" s="4">
        <v>3</v>
      </c>
      <c r="AJ50" s="5" t="s">
        <v>123</v>
      </c>
    </row>
    <row r="51" spans="1:36">
      <c r="A51" s="9">
        <v>46248.882888263892</v>
      </c>
      <c r="B51" s="4" t="s">
        <v>63</v>
      </c>
      <c r="C51" s="4" t="s">
        <v>68</v>
      </c>
      <c r="D51" s="4">
        <v>2</v>
      </c>
      <c r="E51" s="4">
        <v>1</v>
      </c>
      <c r="F51" s="4">
        <v>5</v>
      </c>
      <c r="G51" s="4">
        <v>2</v>
      </c>
      <c r="H51" s="4">
        <v>5</v>
      </c>
      <c r="I51" s="4">
        <v>5</v>
      </c>
      <c r="J51" s="4">
        <v>3</v>
      </c>
      <c r="K51" s="4">
        <v>2</v>
      </c>
      <c r="L51" s="4">
        <v>5</v>
      </c>
      <c r="M51" s="4">
        <v>3</v>
      </c>
      <c r="N51" s="4">
        <v>4</v>
      </c>
      <c r="O51" s="4">
        <v>3</v>
      </c>
      <c r="P51" s="4">
        <v>2</v>
      </c>
      <c r="Q51" s="4">
        <v>2</v>
      </c>
      <c r="R51" s="4">
        <v>4</v>
      </c>
      <c r="S51" s="4">
        <v>1</v>
      </c>
      <c r="T51" s="4">
        <v>4</v>
      </c>
      <c r="U51" s="4">
        <v>4</v>
      </c>
      <c r="V51" s="4">
        <v>3</v>
      </c>
      <c r="W51" s="4">
        <v>3</v>
      </c>
      <c r="X51" s="4">
        <v>4</v>
      </c>
      <c r="Y51" s="4">
        <v>2</v>
      </c>
      <c r="Z51" s="4">
        <v>4</v>
      </c>
      <c r="AA51" s="4">
        <v>3</v>
      </c>
      <c r="AB51" s="4">
        <v>4</v>
      </c>
      <c r="AC51" s="4">
        <v>4</v>
      </c>
      <c r="AD51" s="4">
        <v>5</v>
      </c>
      <c r="AE51" s="4">
        <v>3</v>
      </c>
      <c r="AF51" s="4">
        <v>1</v>
      </c>
      <c r="AG51" s="4">
        <v>1</v>
      </c>
      <c r="AH51" s="4">
        <v>1</v>
      </c>
      <c r="AI51" s="4">
        <v>4</v>
      </c>
      <c r="AJ51" s="5" t="s">
        <v>124</v>
      </c>
    </row>
    <row r="52" spans="1:36">
      <c r="A52" s="9">
        <v>46248.895953298612</v>
      </c>
      <c r="B52" s="4" t="s">
        <v>65</v>
      </c>
      <c r="C52" s="4" t="s">
        <v>74</v>
      </c>
      <c r="D52" s="4">
        <v>4</v>
      </c>
      <c r="E52" s="4">
        <v>4</v>
      </c>
      <c r="F52" s="4">
        <v>3</v>
      </c>
      <c r="G52" s="4">
        <v>5</v>
      </c>
      <c r="H52" s="4">
        <v>2</v>
      </c>
      <c r="I52" s="4">
        <v>3</v>
      </c>
      <c r="J52" s="4">
        <v>3</v>
      </c>
      <c r="K52" s="4">
        <v>4</v>
      </c>
      <c r="L52" s="4">
        <v>4</v>
      </c>
      <c r="M52" s="4">
        <v>4</v>
      </c>
      <c r="N52" s="4">
        <v>2</v>
      </c>
      <c r="O52" s="4">
        <v>4</v>
      </c>
      <c r="P52" s="4">
        <v>3</v>
      </c>
      <c r="Q52" s="4">
        <v>4</v>
      </c>
      <c r="R52" s="4">
        <v>5</v>
      </c>
      <c r="S52" s="4">
        <v>2</v>
      </c>
      <c r="T52" s="4">
        <v>4</v>
      </c>
      <c r="U52" s="4">
        <v>5</v>
      </c>
      <c r="V52" s="4">
        <v>5</v>
      </c>
      <c r="W52" s="4">
        <v>4</v>
      </c>
      <c r="X52" s="4">
        <v>4</v>
      </c>
      <c r="Y52" s="4">
        <v>4</v>
      </c>
      <c r="Z52" s="4">
        <v>5</v>
      </c>
      <c r="AA52" s="4">
        <v>3</v>
      </c>
      <c r="AB52" s="4">
        <v>5</v>
      </c>
      <c r="AC52" s="4">
        <v>5</v>
      </c>
      <c r="AD52" s="4">
        <v>5</v>
      </c>
      <c r="AE52" s="4">
        <v>4</v>
      </c>
      <c r="AF52" s="4">
        <v>1</v>
      </c>
      <c r="AG52" s="4">
        <v>1</v>
      </c>
      <c r="AH52" s="4">
        <v>1</v>
      </c>
      <c r="AI52" s="4">
        <v>5</v>
      </c>
      <c r="AJ52" s="5" t="s">
        <v>108</v>
      </c>
    </row>
    <row r="53" spans="1:36">
      <c r="A53" s="9">
        <v>46248.903350196764</v>
      </c>
      <c r="B53" s="4" t="s">
        <v>65</v>
      </c>
      <c r="C53" s="4" t="s">
        <v>64</v>
      </c>
      <c r="D53" s="4">
        <v>5</v>
      </c>
      <c r="E53" s="4">
        <v>4</v>
      </c>
      <c r="F53" s="4">
        <v>1</v>
      </c>
      <c r="G53" s="4">
        <v>5</v>
      </c>
      <c r="H53" s="4">
        <v>4</v>
      </c>
      <c r="I53" s="4">
        <v>1</v>
      </c>
      <c r="J53" s="4">
        <v>1</v>
      </c>
      <c r="K53" s="4">
        <v>5</v>
      </c>
      <c r="L53" s="4">
        <v>1</v>
      </c>
      <c r="M53" s="4">
        <v>5</v>
      </c>
      <c r="N53" s="4">
        <v>1</v>
      </c>
      <c r="O53" s="4">
        <v>5</v>
      </c>
      <c r="P53" s="4">
        <v>1</v>
      </c>
      <c r="Q53" s="4">
        <v>1</v>
      </c>
      <c r="R53" s="4">
        <v>5</v>
      </c>
      <c r="S53" s="4">
        <v>1</v>
      </c>
      <c r="T53" s="4">
        <v>5</v>
      </c>
      <c r="U53" s="4">
        <v>5</v>
      </c>
      <c r="V53" s="4">
        <v>5</v>
      </c>
      <c r="W53" s="4">
        <v>5</v>
      </c>
      <c r="X53" s="4">
        <v>5</v>
      </c>
      <c r="Y53" s="4">
        <v>5</v>
      </c>
      <c r="Z53" s="4">
        <v>5</v>
      </c>
      <c r="AA53" s="4">
        <v>1</v>
      </c>
      <c r="AB53" s="4">
        <v>5</v>
      </c>
      <c r="AC53" s="4">
        <v>5</v>
      </c>
      <c r="AD53" s="4">
        <v>5</v>
      </c>
      <c r="AE53" s="4">
        <v>5</v>
      </c>
      <c r="AF53" s="4">
        <v>1</v>
      </c>
      <c r="AG53" s="4">
        <v>1</v>
      </c>
      <c r="AH53" s="4">
        <v>1</v>
      </c>
      <c r="AI53" s="4">
        <v>5</v>
      </c>
      <c r="AJ53" s="5" t="s">
        <v>125</v>
      </c>
    </row>
    <row r="54" spans="1:36">
      <c r="A54" s="9">
        <v>46248.940497986114</v>
      </c>
      <c r="B54" s="4" t="s">
        <v>65</v>
      </c>
      <c r="C54" s="4" t="s">
        <v>74</v>
      </c>
      <c r="D54" s="4">
        <v>5</v>
      </c>
      <c r="E54" s="4">
        <v>4</v>
      </c>
      <c r="F54" s="4">
        <v>4</v>
      </c>
      <c r="G54" s="4">
        <v>5</v>
      </c>
      <c r="H54" s="4">
        <v>4</v>
      </c>
      <c r="I54" s="4">
        <v>4</v>
      </c>
      <c r="J54" s="4">
        <v>3</v>
      </c>
      <c r="K54" s="4">
        <v>5</v>
      </c>
      <c r="L54" s="4">
        <v>2</v>
      </c>
      <c r="M54" s="4">
        <v>3</v>
      </c>
      <c r="N54" s="4">
        <v>2</v>
      </c>
      <c r="O54" s="4">
        <v>3</v>
      </c>
      <c r="P54" s="4">
        <v>1</v>
      </c>
      <c r="Q54" s="4">
        <v>3</v>
      </c>
      <c r="R54" s="4">
        <v>4</v>
      </c>
      <c r="S54" s="4">
        <v>3</v>
      </c>
      <c r="T54" s="4">
        <v>4</v>
      </c>
      <c r="U54" s="4">
        <v>4</v>
      </c>
      <c r="V54" s="4">
        <v>4</v>
      </c>
      <c r="W54" s="4">
        <v>4</v>
      </c>
      <c r="X54" s="4">
        <v>5</v>
      </c>
      <c r="Y54" s="4">
        <v>4</v>
      </c>
      <c r="Z54" s="4">
        <v>5</v>
      </c>
      <c r="AA54" s="4">
        <v>3</v>
      </c>
      <c r="AB54" s="4">
        <v>3</v>
      </c>
      <c r="AC54" s="4">
        <v>2</v>
      </c>
      <c r="AD54" s="4">
        <v>5</v>
      </c>
      <c r="AE54" s="4">
        <v>4</v>
      </c>
      <c r="AF54" s="4">
        <v>1</v>
      </c>
      <c r="AG54" s="4">
        <v>1</v>
      </c>
      <c r="AH54" s="4">
        <v>1</v>
      </c>
      <c r="AI54" s="4">
        <v>4</v>
      </c>
      <c r="AJ54" s="5" t="s">
        <v>126</v>
      </c>
    </row>
    <row r="55" spans="1:36">
      <c r="A55" s="9">
        <v>46248.984546145832</v>
      </c>
      <c r="B55" s="4" t="s">
        <v>65</v>
      </c>
      <c r="C55" s="4" t="s">
        <v>67</v>
      </c>
      <c r="D55" s="4">
        <v>3</v>
      </c>
      <c r="E55" s="4">
        <v>4</v>
      </c>
      <c r="F55" s="4">
        <v>3</v>
      </c>
      <c r="G55" s="4">
        <v>4</v>
      </c>
      <c r="H55" s="4">
        <v>2</v>
      </c>
      <c r="I55" s="4">
        <v>2</v>
      </c>
      <c r="J55" s="4">
        <v>4</v>
      </c>
      <c r="K55" s="4">
        <v>3</v>
      </c>
      <c r="L55" s="4">
        <v>5</v>
      </c>
      <c r="M55" s="4">
        <v>4</v>
      </c>
      <c r="N55" s="4">
        <v>3</v>
      </c>
      <c r="O55" s="4">
        <v>3</v>
      </c>
      <c r="P55" s="4">
        <v>2</v>
      </c>
      <c r="Q55" s="4">
        <v>3</v>
      </c>
      <c r="R55" s="4">
        <v>2</v>
      </c>
      <c r="S55" s="4">
        <v>3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v>3</v>
      </c>
      <c r="AC55" s="4">
        <v>3</v>
      </c>
      <c r="AD55" s="4">
        <v>4</v>
      </c>
      <c r="AE55" s="4">
        <v>3</v>
      </c>
      <c r="AF55" s="4">
        <v>3</v>
      </c>
      <c r="AG55" s="4">
        <v>2</v>
      </c>
      <c r="AH55" s="4">
        <v>2</v>
      </c>
      <c r="AI55" s="4">
        <v>2</v>
      </c>
      <c r="AJ55" s="5" t="s">
        <v>127</v>
      </c>
    </row>
    <row r="56" spans="1:36">
      <c r="A56" s="9">
        <v>46249.007412592589</v>
      </c>
      <c r="B56" s="4" t="s">
        <v>65</v>
      </c>
      <c r="C56" s="4" t="s">
        <v>110</v>
      </c>
      <c r="D56" s="4">
        <v>4</v>
      </c>
      <c r="E56" s="4">
        <v>3</v>
      </c>
      <c r="F56" s="4">
        <v>2</v>
      </c>
      <c r="G56" s="4">
        <v>4</v>
      </c>
      <c r="H56" s="4">
        <v>3</v>
      </c>
      <c r="I56" s="4">
        <v>4</v>
      </c>
      <c r="J56" s="4">
        <v>4</v>
      </c>
      <c r="K56" s="4">
        <v>4</v>
      </c>
      <c r="L56" s="4">
        <v>3</v>
      </c>
      <c r="M56" s="4">
        <v>4</v>
      </c>
      <c r="N56" s="4">
        <v>3</v>
      </c>
      <c r="O56" s="4">
        <v>4</v>
      </c>
      <c r="P56" s="4">
        <v>1</v>
      </c>
      <c r="Q56" s="4">
        <v>1</v>
      </c>
      <c r="R56" s="4">
        <v>5</v>
      </c>
      <c r="S56" s="4">
        <v>1</v>
      </c>
      <c r="T56" s="4">
        <v>5</v>
      </c>
      <c r="U56" s="4">
        <v>5</v>
      </c>
      <c r="V56" s="4">
        <v>5</v>
      </c>
      <c r="W56" s="4">
        <v>5</v>
      </c>
      <c r="X56" s="4">
        <v>5</v>
      </c>
      <c r="Y56" s="4">
        <v>4</v>
      </c>
      <c r="Z56" s="4">
        <v>4</v>
      </c>
      <c r="AA56" s="4">
        <v>2</v>
      </c>
      <c r="AB56" s="4">
        <v>5</v>
      </c>
      <c r="AC56" s="4">
        <v>5</v>
      </c>
      <c r="AD56" s="4">
        <v>5</v>
      </c>
      <c r="AE56" s="4">
        <v>5</v>
      </c>
      <c r="AF56" s="4">
        <v>1</v>
      </c>
      <c r="AG56" s="4">
        <v>1</v>
      </c>
      <c r="AH56" s="4">
        <v>1</v>
      </c>
      <c r="AI56" s="4">
        <v>5</v>
      </c>
      <c r="AJ56" s="5" t="s">
        <v>75</v>
      </c>
    </row>
    <row r="57" spans="1:36">
      <c r="A57" s="9">
        <v>46249.270969421297</v>
      </c>
      <c r="B57" s="4" t="s">
        <v>65</v>
      </c>
      <c r="C57" s="4" t="s">
        <v>66</v>
      </c>
      <c r="D57" s="4">
        <v>4</v>
      </c>
      <c r="E57" s="4">
        <v>4</v>
      </c>
      <c r="F57" s="4">
        <v>4</v>
      </c>
      <c r="G57" s="4">
        <v>4</v>
      </c>
      <c r="H57" s="4">
        <v>4</v>
      </c>
      <c r="I57" s="4">
        <v>2</v>
      </c>
      <c r="J57" s="4">
        <v>3</v>
      </c>
      <c r="K57" s="4">
        <v>4</v>
      </c>
      <c r="L57" s="4">
        <v>1</v>
      </c>
      <c r="M57" s="4">
        <v>3</v>
      </c>
      <c r="N57" s="4">
        <v>2</v>
      </c>
      <c r="O57" s="4">
        <v>4</v>
      </c>
      <c r="P57" s="4">
        <v>1</v>
      </c>
      <c r="Q57" s="4">
        <v>2</v>
      </c>
      <c r="R57" s="4">
        <v>4</v>
      </c>
      <c r="S57" s="4">
        <v>3</v>
      </c>
      <c r="T57" s="4">
        <v>4</v>
      </c>
      <c r="U57" s="4">
        <v>3</v>
      </c>
      <c r="V57" s="4">
        <v>4</v>
      </c>
      <c r="W57" s="4">
        <v>3</v>
      </c>
      <c r="X57" s="4">
        <v>3</v>
      </c>
      <c r="Y57" s="4">
        <v>3</v>
      </c>
      <c r="Z57" s="4">
        <v>3</v>
      </c>
      <c r="AA57" s="4">
        <v>3</v>
      </c>
      <c r="AB57" s="4">
        <v>3</v>
      </c>
      <c r="AC57" s="4">
        <v>3</v>
      </c>
      <c r="AD57" s="4">
        <v>4</v>
      </c>
      <c r="AE57" s="4">
        <v>4</v>
      </c>
      <c r="AF57" s="4">
        <v>2</v>
      </c>
      <c r="AG57" s="4">
        <v>3</v>
      </c>
      <c r="AH57" s="4">
        <v>3</v>
      </c>
      <c r="AI57" s="4">
        <v>4</v>
      </c>
      <c r="AJ57" s="5" t="s">
        <v>128</v>
      </c>
    </row>
    <row r="58" spans="1:36">
      <c r="A58" s="9">
        <v>46249.421870023143</v>
      </c>
      <c r="B58" s="4" t="s">
        <v>71</v>
      </c>
      <c r="C58" s="4" t="s">
        <v>110</v>
      </c>
      <c r="D58" s="4">
        <v>3</v>
      </c>
      <c r="E58" s="4">
        <v>2</v>
      </c>
      <c r="F58" s="4">
        <v>2</v>
      </c>
      <c r="G58" s="4">
        <v>3</v>
      </c>
      <c r="H58" s="4">
        <v>4</v>
      </c>
      <c r="I58" s="4">
        <v>5</v>
      </c>
      <c r="J58" s="4">
        <v>5</v>
      </c>
      <c r="K58" s="4">
        <v>3</v>
      </c>
      <c r="L58" s="4">
        <v>5</v>
      </c>
      <c r="M58" s="4">
        <v>2</v>
      </c>
      <c r="N58" s="4">
        <v>2</v>
      </c>
      <c r="O58" s="4">
        <v>5</v>
      </c>
      <c r="P58" s="4">
        <v>5</v>
      </c>
      <c r="Q58" s="4">
        <v>4</v>
      </c>
      <c r="R58" s="4">
        <v>3</v>
      </c>
      <c r="S58" s="4">
        <v>3</v>
      </c>
      <c r="T58" s="4">
        <v>3</v>
      </c>
      <c r="U58" s="4">
        <v>4</v>
      </c>
      <c r="V58" s="4">
        <v>3</v>
      </c>
      <c r="W58" s="4">
        <v>4</v>
      </c>
      <c r="X58" s="4">
        <v>3</v>
      </c>
      <c r="Y58" s="4">
        <v>3</v>
      </c>
      <c r="Z58" s="4">
        <v>4</v>
      </c>
      <c r="AA58" s="4">
        <v>5</v>
      </c>
      <c r="AB58" s="4">
        <v>3</v>
      </c>
      <c r="AC58" s="4">
        <v>3</v>
      </c>
      <c r="AD58" s="4">
        <v>5</v>
      </c>
      <c r="AE58" s="4">
        <v>2</v>
      </c>
      <c r="AF58" s="4">
        <v>2</v>
      </c>
      <c r="AG58" s="4">
        <v>2</v>
      </c>
      <c r="AH58" s="4">
        <v>2</v>
      </c>
      <c r="AI58" s="4">
        <v>2</v>
      </c>
      <c r="AJ58" s="5" t="s">
        <v>129</v>
      </c>
    </row>
    <row r="59" spans="1:36">
      <c r="A59" s="10">
        <v>46249.501615243054</v>
      </c>
      <c r="B59" s="6" t="s">
        <v>130</v>
      </c>
      <c r="C59" s="6" t="s">
        <v>97</v>
      </c>
      <c r="D59" s="6">
        <v>5</v>
      </c>
      <c r="E59" s="6">
        <v>4</v>
      </c>
      <c r="F59" s="6">
        <v>4</v>
      </c>
      <c r="G59" s="6">
        <v>4</v>
      </c>
      <c r="H59" s="6">
        <v>4</v>
      </c>
      <c r="I59" s="6">
        <v>3</v>
      </c>
      <c r="J59" s="6">
        <v>3</v>
      </c>
      <c r="K59" s="6">
        <v>4</v>
      </c>
      <c r="L59" s="6">
        <v>2</v>
      </c>
      <c r="M59" s="6">
        <v>4</v>
      </c>
      <c r="N59" s="6">
        <v>3</v>
      </c>
      <c r="O59" s="6">
        <v>4</v>
      </c>
      <c r="P59" s="6">
        <v>3</v>
      </c>
      <c r="Q59" s="6">
        <v>2</v>
      </c>
      <c r="R59" s="6">
        <v>4</v>
      </c>
      <c r="S59" s="6">
        <v>2</v>
      </c>
      <c r="T59" s="6">
        <v>4</v>
      </c>
      <c r="U59" s="6">
        <v>4</v>
      </c>
      <c r="V59" s="6">
        <v>4</v>
      </c>
      <c r="W59" s="6">
        <v>4</v>
      </c>
      <c r="X59" s="6">
        <v>4</v>
      </c>
      <c r="Y59" s="6">
        <v>4</v>
      </c>
      <c r="Z59" s="6">
        <v>4</v>
      </c>
      <c r="AA59" s="6">
        <v>3</v>
      </c>
      <c r="AB59" s="6">
        <v>4</v>
      </c>
      <c r="AC59" s="6">
        <v>5</v>
      </c>
      <c r="AD59" s="6">
        <v>5</v>
      </c>
      <c r="AE59" s="6">
        <v>5</v>
      </c>
      <c r="AF59" s="6">
        <v>5</v>
      </c>
      <c r="AG59" s="6">
        <v>1</v>
      </c>
      <c r="AH59" s="6">
        <v>2</v>
      </c>
      <c r="AI59" s="6">
        <v>4</v>
      </c>
      <c r="AJ59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9"/>
  <sheetViews>
    <sheetView showGridLines="0" workbookViewId="0"/>
  </sheetViews>
  <sheetFormatPr defaultRowHeight="13.8"/>
  <cols>
    <col min="1" max="2" width="19" customWidth="1"/>
    <col min="3" max="3" width="21" customWidth="1"/>
    <col min="4" max="6" width="32" customWidth="1"/>
    <col min="7" max="38" width="8" customWidth="1"/>
    <col min="39" max="40" width="60" customWidth="1"/>
  </cols>
  <sheetData>
    <row r="1" spans="1:40" ht="42" customHeight="1">
      <c r="A1" s="11" t="s">
        <v>131</v>
      </c>
      <c r="B1" s="11" t="s">
        <v>132</v>
      </c>
      <c r="C1" s="11" t="s">
        <v>30</v>
      </c>
      <c r="D1" s="11" t="s">
        <v>21</v>
      </c>
      <c r="E1" s="11" t="s">
        <v>19</v>
      </c>
      <c r="F1" s="11" t="s">
        <v>133</v>
      </c>
      <c r="G1" s="11" t="s">
        <v>134</v>
      </c>
      <c r="H1" s="11" t="s">
        <v>135</v>
      </c>
      <c r="I1" s="11" t="s">
        <v>136</v>
      </c>
      <c r="J1" s="11" t="s">
        <v>137</v>
      </c>
      <c r="K1" s="11" t="s">
        <v>138</v>
      </c>
      <c r="L1" s="11" t="s">
        <v>139</v>
      </c>
      <c r="M1" s="11" t="s">
        <v>140</v>
      </c>
      <c r="N1" s="11" t="s">
        <v>141</v>
      </c>
      <c r="O1" s="11" t="s">
        <v>142</v>
      </c>
      <c r="P1" s="11" t="s">
        <v>143</v>
      </c>
      <c r="Q1" s="11" t="s">
        <v>144</v>
      </c>
      <c r="R1" s="11" t="s">
        <v>145</v>
      </c>
      <c r="S1" s="11" t="s">
        <v>146</v>
      </c>
      <c r="T1" s="11" t="s">
        <v>147</v>
      </c>
      <c r="U1" s="11" t="s">
        <v>148</v>
      </c>
      <c r="V1" s="11" t="s">
        <v>149</v>
      </c>
      <c r="W1" s="11" t="s">
        <v>150</v>
      </c>
      <c r="X1" s="11" t="s">
        <v>151</v>
      </c>
      <c r="Y1" s="11" t="s">
        <v>152</v>
      </c>
      <c r="Z1" s="11" t="s">
        <v>153</v>
      </c>
      <c r="AA1" s="11" t="s">
        <v>154</v>
      </c>
      <c r="AB1" s="11" t="s">
        <v>155</v>
      </c>
      <c r="AC1" s="11" t="s">
        <v>156</v>
      </c>
      <c r="AD1" s="11" t="s">
        <v>157</v>
      </c>
      <c r="AE1" s="11" t="s">
        <v>158</v>
      </c>
      <c r="AF1" s="11" t="s">
        <v>159</v>
      </c>
      <c r="AG1" s="11" t="s">
        <v>160</v>
      </c>
      <c r="AH1" s="11" t="s">
        <v>161</v>
      </c>
      <c r="AI1" s="11" t="s">
        <v>162</v>
      </c>
      <c r="AJ1" s="11" t="s">
        <v>163</v>
      </c>
      <c r="AK1" s="11" t="s">
        <v>164</v>
      </c>
      <c r="AL1" s="11" t="s">
        <v>165</v>
      </c>
      <c r="AM1" s="11" t="s">
        <v>166</v>
      </c>
      <c r="AN1" s="11" t="s">
        <v>167</v>
      </c>
    </row>
    <row r="2" spans="1:40">
      <c r="A2" s="18" t="s">
        <v>168</v>
      </c>
      <c r="B2" s="21">
        <v>1</v>
      </c>
      <c r="C2" s="24">
        <v>46245.490659664356</v>
      </c>
      <c r="D2" s="12" t="s">
        <v>64</v>
      </c>
      <c r="E2" s="12" t="s">
        <v>63</v>
      </c>
      <c r="F2" s="12" t="s">
        <v>63</v>
      </c>
      <c r="G2" s="21">
        <v>1</v>
      </c>
      <c r="H2" s="21">
        <v>2</v>
      </c>
      <c r="I2" s="21">
        <v>5</v>
      </c>
      <c r="J2" s="21">
        <v>1</v>
      </c>
      <c r="K2" s="21">
        <v>2</v>
      </c>
      <c r="L2" s="21">
        <v>5</v>
      </c>
      <c r="M2" s="21">
        <v>5</v>
      </c>
      <c r="N2" s="21">
        <v>1</v>
      </c>
      <c r="O2" s="21">
        <v>4</v>
      </c>
      <c r="P2" s="21">
        <v>3</v>
      </c>
      <c r="Q2" s="21">
        <v>5</v>
      </c>
      <c r="R2" s="21">
        <v>5</v>
      </c>
      <c r="S2" s="21">
        <v>3</v>
      </c>
      <c r="T2" s="21">
        <v>5</v>
      </c>
      <c r="U2" s="21">
        <v>1</v>
      </c>
      <c r="V2" s="21">
        <v>1</v>
      </c>
      <c r="W2" s="21">
        <v>3</v>
      </c>
      <c r="X2" s="21">
        <v>5</v>
      </c>
      <c r="Y2" s="21">
        <v>4</v>
      </c>
      <c r="Z2" s="21">
        <v>5</v>
      </c>
      <c r="AA2" s="21">
        <v>2</v>
      </c>
      <c r="AB2" s="21">
        <v>1</v>
      </c>
      <c r="AC2" s="21">
        <v>5</v>
      </c>
      <c r="AD2" s="21">
        <v>4</v>
      </c>
      <c r="AE2" s="21">
        <v>2</v>
      </c>
      <c r="AF2" s="21">
        <v>4</v>
      </c>
      <c r="AG2" s="21">
        <v>4</v>
      </c>
      <c r="AH2" s="21">
        <v>5</v>
      </c>
      <c r="AI2" s="21">
        <v>5</v>
      </c>
      <c r="AJ2" s="21">
        <v>1</v>
      </c>
      <c r="AK2" s="21">
        <v>1</v>
      </c>
      <c r="AL2" s="21">
        <v>1</v>
      </c>
      <c r="AM2" s="12"/>
      <c r="AN2" s="13"/>
    </row>
    <row r="3" spans="1:40">
      <c r="A3" s="19" t="s">
        <v>168</v>
      </c>
      <c r="B3" s="22">
        <v>2</v>
      </c>
      <c r="C3" s="25">
        <v>46245.495483379629</v>
      </c>
      <c r="D3" s="14" t="s">
        <v>66</v>
      </c>
      <c r="E3" s="14" t="s">
        <v>65</v>
      </c>
      <c r="F3" s="14" t="s">
        <v>65</v>
      </c>
      <c r="G3" s="22">
        <v>4</v>
      </c>
      <c r="H3" s="22">
        <v>4</v>
      </c>
      <c r="I3" s="22">
        <v>1</v>
      </c>
      <c r="J3" s="22">
        <v>4</v>
      </c>
      <c r="K3" s="22">
        <v>2</v>
      </c>
      <c r="L3" s="22">
        <v>4</v>
      </c>
      <c r="M3" s="22">
        <v>1</v>
      </c>
      <c r="N3" s="22">
        <v>3</v>
      </c>
      <c r="O3" s="22">
        <v>4</v>
      </c>
      <c r="P3" s="22">
        <v>3</v>
      </c>
      <c r="Q3" s="22">
        <v>2</v>
      </c>
      <c r="R3" s="22">
        <v>2</v>
      </c>
      <c r="S3" s="22">
        <v>4</v>
      </c>
      <c r="T3" s="22">
        <v>1</v>
      </c>
      <c r="U3" s="22">
        <v>3</v>
      </c>
      <c r="V3" s="22">
        <v>2</v>
      </c>
      <c r="W3" s="22">
        <v>4</v>
      </c>
      <c r="X3" s="22">
        <v>4</v>
      </c>
      <c r="Y3" s="22">
        <v>3</v>
      </c>
      <c r="Z3" s="22">
        <v>4</v>
      </c>
      <c r="AA3" s="22">
        <v>4</v>
      </c>
      <c r="AB3" s="22">
        <v>3</v>
      </c>
      <c r="AC3" s="22">
        <v>4</v>
      </c>
      <c r="AD3" s="22">
        <v>3</v>
      </c>
      <c r="AE3" s="22">
        <v>4</v>
      </c>
      <c r="AF3" s="22">
        <v>3</v>
      </c>
      <c r="AG3" s="22">
        <v>5</v>
      </c>
      <c r="AH3" s="22">
        <v>5</v>
      </c>
      <c r="AI3" s="22">
        <v>1</v>
      </c>
      <c r="AJ3" s="22">
        <v>1</v>
      </c>
      <c r="AK3" s="22">
        <v>1</v>
      </c>
      <c r="AL3" s="22">
        <v>5</v>
      </c>
      <c r="AM3" s="14"/>
      <c r="AN3" s="15"/>
    </row>
    <row r="4" spans="1:40">
      <c r="A4" s="19" t="s">
        <v>168</v>
      </c>
      <c r="B4" s="22">
        <v>3</v>
      </c>
      <c r="C4" s="25">
        <v>46245.496583194443</v>
      </c>
      <c r="D4" s="14" t="s">
        <v>67</v>
      </c>
      <c r="E4" s="14" t="s">
        <v>65</v>
      </c>
      <c r="F4" s="14" t="s">
        <v>65</v>
      </c>
      <c r="G4" s="22">
        <v>4</v>
      </c>
      <c r="H4" s="22">
        <v>3</v>
      </c>
      <c r="I4" s="22">
        <v>3</v>
      </c>
      <c r="J4" s="22">
        <v>5</v>
      </c>
      <c r="K4" s="22">
        <v>1</v>
      </c>
      <c r="L4" s="22">
        <v>1</v>
      </c>
      <c r="M4" s="22">
        <v>3</v>
      </c>
      <c r="N4" s="22">
        <v>4</v>
      </c>
      <c r="O4" s="22">
        <v>3</v>
      </c>
      <c r="P4" s="22">
        <v>1</v>
      </c>
      <c r="Q4" s="22">
        <v>1</v>
      </c>
      <c r="R4" s="22">
        <v>1</v>
      </c>
      <c r="S4" s="22">
        <v>4</v>
      </c>
      <c r="T4" s="22">
        <v>1</v>
      </c>
      <c r="U4" s="22">
        <v>3</v>
      </c>
      <c r="V4" s="22">
        <v>2</v>
      </c>
      <c r="W4" s="22">
        <v>2</v>
      </c>
      <c r="X4" s="22">
        <v>2</v>
      </c>
      <c r="Y4" s="22">
        <v>3</v>
      </c>
      <c r="Z4" s="22">
        <v>3</v>
      </c>
      <c r="AA4" s="22">
        <v>3</v>
      </c>
      <c r="AB4" s="22">
        <v>4</v>
      </c>
      <c r="AC4" s="22">
        <v>4</v>
      </c>
      <c r="AD4" s="22">
        <v>4</v>
      </c>
      <c r="AE4" s="22">
        <v>5</v>
      </c>
      <c r="AF4" s="22">
        <v>5</v>
      </c>
      <c r="AG4" s="22">
        <v>3</v>
      </c>
      <c r="AH4" s="22">
        <v>3</v>
      </c>
      <c r="AI4" s="22">
        <v>3</v>
      </c>
      <c r="AJ4" s="22">
        <v>3</v>
      </c>
      <c r="AK4" s="22">
        <v>3</v>
      </c>
      <c r="AL4" s="22">
        <v>3</v>
      </c>
      <c r="AM4" s="14"/>
      <c r="AN4" s="15"/>
    </row>
    <row r="5" spans="1:40">
      <c r="A5" s="19" t="s">
        <v>168</v>
      </c>
      <c r="B5" s="22">
        <v>4</v>
      </c>
      <c r="C5" s="25">
        <v>46245.501802060186</v>
      </c>
      <c r="D5" s="14" t="s">
        <v>68</v>
      </c>
      <c r="E5" s="14" t="s">
        <v>63</v>
      </c>
      <c r="F5" s="14" t="s">
        <v>63</v>
      </c>
      <c r="G5" s="22">
        <v>4</v>
      </c>
      <c r="H5" s="22">
        <v>3</v>
      </c>
      <c r="I5" s="22">
        <v>3</v>
      </c>
      <c r="J5" s="22">
        <v>3</v>
      </c>
      <c r="K5" s="22">
        <v>3</v>
      </c>
      <c r="L5" s="22">
        <v>3</v>
      </c>
      <c r="M5" s="22">
        <v>3</v>
      </c>
      <c r="N5" s="22">
        <v>3</v>
      </c>
      <c r="O5" s="22">
        <v>4</v>
      </c>
      <c r="P5" s="22">
        <v>1</v>
      </c>
      <c r="Q5" s="22">
        <v>3</v>
      </c>
      <c r="R5" s="22">
        <v>3</v>
      </c>
      <c r="S5" s="22">
        <v>3</v>
      </c>
      <c r="T5" s="22">
        <v>1</v>
      </c>
      <c r="U5" s="22">
        <v>3</v>
      </c>
      <c r="V5" s="22">
        <v>2</v>
      </c>
      <c r="W5" s="22">
        <v>3</v>
      </c>
      <c r="X5" s="22">
        <v>4</v>
      </c>
      <c r="Y5" s="22">
        <v>4</v>
      </c>
      <c r="Z5" s="22">
        <v>3</v>
      </c>
      <c r="AA5" s="22">
        <v>4</v>
      </c>
      <c r="AB5" s="22">
        <v>2</v>
      </c>
      <c r="AC5" s="22">
        <v>3</v>
      </c>
      <c r="AD5" s="22">
        <v>3</v>
      </c>
      <c r="AE5" s="22">
        <v>3</v>
      </c>
      <c r="AF5" s="22">
        <v>4</v>
      </c>
      <c r="AG5" s="22">
        <v>5</v>
      </c>
      <c r="AH5" s="22">
        <v>4</v>
      </c>
      <c r="AI5" s="22">
        <v>3</v>
      </c>
      <c r="AJ5" s="22">
        <v>1</v>
      </c>
      <c r="AK5" s="22">
        <v>1</v>
      </c>
      <c r="AL5" s="22">
        <v>5</v>
      </c>
      <c r="AM5" s="14" t="s">
        <v>69</v>
      </c>
      <c r="AN5" s="15"/>
    </row>
    <row r="6" spans="1:40">
      <c r="A6" s="19" t="s">
        <v>168</v>
      </c>
      <c r="B6" s="22">
        <v>5</v>
      </c>
      <c r="C6" s="25">
        <v>46245.517431759261</v>
      </c>
      <c r="D6" s="14" t="s">
        <v>66</v>
      </c>
      <c r="E6" s="14" t="s">
        <v>65</v>
      </c>
      <c r="F6" s="14" t="s">
        <v>65</v>
      </c>
      <c r="G6" s="22">
        <v>4</v>
      </c>
      <c r="H6" s="22">
        <v>4</v>
      </c>
      <c r="I6" s="22">
        <v>1</v>
      </c>
      <c r="J6" s="22">
        <v>4</v>
      </c>
      <c r="K6" s="22">
        <v>2</v>
      </c>
      <c r="L6" s="22">
        <v>4</v>
      </c>
      <c r="M6" s="22">
        <v>1</v>
      </c>
      <c r="N6" s="22">
        <v>4</v>
      </c>
      <c r="O6" s="22">
        <v>4</v>
      </c>
      <c r="P6" s="22">
        <v>1</v>
      </c>
      <c r="Q6" s="22">
        <v>2</v>
      </c>
      <c r="R6" s="22">
        <v>2</v>
      </c>
      <c r="S6" s="22">
        <v>4</v>
      </c>
      <c r="T6" s="22">
        <v>2</v>
      </c>
      <c r="U6" s="22">
        <v>4</v>
      </c>
      <c r="V6" s="22">
        <v>2</v>
      </c>
      <c r="W6" s="22">
        <v>4</v>
      </c>
      <c r="X6" s="22">
        <v>4</v>
      </c>
      <c r="Y6" s="22">
        <v>4</v>
      </c>
      <c r="Z6" s="22">
        <v>3</v>
      </c>
      <c r="AA6" s="22">
        <v>4</v>
      </c>
      <c r="AB6" s="22">
        <v>3</v>
      </c>
      <c r="AC6" s="22">
        <v>4</v>
      </c>
      <c r="AD6" s="22">
        <v>3</v>
      </c>
      <c r="AE6" s="22">
        <v>4</v>
      </c>
      <c r="AF6" s="22">
        <v>3</v>
      </c>
      <c r="AG6" s="22">
        <v>4</v>
      </c>
      <c r="AH6" s="22">
        <v>4</v>
      </c>
      <c r="AI6" s="22">
        <v>4</v>
      </c>
      <c r="AJ6" s="22">
        <v>4</v>
      </c>
      <c r="AK6" s="22">
        <v>3</v>
      </c>
      <c r="AL6" s="22">
        <v>3</v>
      </c>
      <c r="AM6" s="14" t="s">
        <v>70</v>
      </c>
      <c r="AN6" s="15"/>
    </row>
    <row r="7" spans="1:40">
      <c r="A7" s="19" t="s">
        <v>168</v>
      </c>
      <c r="B7" s="22">
        <v>6</v>
      </c>
      <c r="C7" s="25">
        <v>46245.526697280089</v>
      </c>
      <c r="D7" s="14" t="s">
        <v>72</v>
      </c>
      <c r="E7" s="14" t="s">
        <v>71</v>
      </c>
      <c r="F7" s="14" t="s">
        <v>71</v>
      </c>
      <c r="G7" s="22">
        <v>3</v>
      </c>
      <c r="H7" s="22">
        <v>3</v>
      </c>
      <c r="I7" s="22">
        <v>4</v>
      </c>
      <c r="J7" s="22">
        <v>3</v>
      </c>
      <c r="K7" s="22">
        <v>3</v>
      </c>
      <c r="L7" s="22">
        <v>2</v>
      </c>
      <c r="M7" s="22">
        <v>1</v>
      </c>
      <c r="N7" s="22">
        <v>4</v>
      </c>
      <c r="O7" s="22">
        <v>5</v>
      </c>
      <c r="P7" s="22">
        <v>1</v>
      </c>
      <c r="Q7" s="22">
        <v>4</v>
      </c>
      <c r="R7" s="22">
        <v>4</v>
      </c>
      <c r="S7" s="22">
        <v>5</v>
      </c>
      <c r="T7" s="22">
        <v>1</v>
      </c>
      <c r="U7" s="22">
        <v>5</v>
      </c>
      <c r="V7" s="22">
        <v>3</v>
      </c>
      <c r="W7" s="22">
        <v>5</v>
      </c>
      <c r="X7" s="22">
        <v>5</v>
      </c>
      <c r="Y7" s="22">
        <v>5</v>
      </c>
      <c r="Z7" s="22">
        <v>5</v>
      </c>
      <c r="AA7" s="22">
        <v>5</v>
      </c>
      <c r="AB7" s="22">
        <v>5</v>
      </c>
      <c r="AC7" s="22">
        <v>5</v>
      </c>
      <c r="AD7" s="22">
        <v>1</v>
      </c>
      <c r="AE7" s="22">
        <v>5</v>
      </c>
      <c r="AF7" s="22">
        <v>5</v>
      </c>
      <c r="AG7" s="22">
        <v>5</v>
      </c>
      <c r="AH7" s="22">
        <v>5</v>
      </c>
      <c r="AI7" s="22">
        <v>2</v>
      </c>
      <c r="AJ7" s="22">
        <v>1</v>
      </c>
      <c r="AK7" s="22">
        <v>1</v>
      </c>
      <c r="AL7" s="22">
        <v>5</v>
      </c>
      <c r="AM7" s="14" t="s">
        <v>73</v>
      </c>
      <c r="AN7" s="15"/>
    </row>
    <row r="8" spans="1:40">
      <c r="A8" s="19" t="s">
        <v>168</v>
      </c>
      <c r="B8" s="22">
        <v>7</v>
      </c>
      <c r="C8" s="25">
        <v>46245.530293275464</v>
      </c>
      <c r="D8" s="14" t="s">
        <v>74</v>
      </c>
      <c r="E8" s="14" t="s">
        <v>65</v>
      </c>
      <c r="F8" s="14" t="s">
        <v>65</v>
      </c>
      <c r="G8" s="22">
        <v>5</v>
      </c>
      <c r="H8" s="22">
        <v>5</v>
      </c>
      <c r="I8" s="22">
        <v>1</v>
      </c>
      <c r="J8" s="22">
        <v>5</v>
      </c>
      <c r="K8" s="22">
        <v>3</v>
      </c>
      <c r="L8" s="22">
        <v>3</v>
      </c>
      <c r="M8" s="22">
        <v>1</v>
      </c>
      <c r="N8" s="22">
        <v>5</v>
      </c>
      <c r="O8" s="22">
        <v>1</v>
      </c>
      <c r="P8" s="22">
        <v>1</v>
      </c>
      <c r="Q8" s="22">
        <v>2</v>
      </c>
      <c r="R8" s="22">
        <v>1</v>
      </c>
      <c r="S8" s="22">
        <v>1</v>
      </c>
      <c r="T8" s="22">
        <v>1</v>
      </c>
      <c r="U8" s="22">
        <v>5</v>
      </c>
      <c r="V8" s="22">
        <v>4</v>
      </c>
      <c r="W8" s="22">
        <v>5</v>
      </c>
      <c r="X8" s="22">
        <v>5</v>
      </c>
      <c r="Y8" s="22">
        <v>5</v>
      </c>
      <c r="Z8" s="22">
        <v>5</v>
      </c>
      <c r="AA8" s="22">
        <v>5</v>
      </c>
      <c r="AB8" s="22">
        <v>5</v>
      </c>
      <c r="AC8" s="22">
        <v>5</v>
      </c>
      <c r="AD8" s="22">
        <v>1</v>
      </c>
      <c r="AE8" s="22">
        <v>5</v>
      </c>
      <c r="AF8" s="22">
        <v>5</v>
      </c>
      <c r="AG8" s="22">
        <v>5</v>
      </c>
      <c r="AH8" s="22">
        <v>5</v>
      </c>
      <c r="AI8" s="22">
        <v>1</v>
      </c>
      <c r="AJ8" s="22">
        <v>1</v>
      </c>
      <c r="AK8" s="22">
        <v>1</v>
      </c>
      <c r="AL8" s="22">
        <v>5</v>
      </c>
      <c r="AM8" s="14" t="s">
        <v>75</v>
      </c>
      <c r="AN8" s="15"/>
    </row>
    <row r="9" spans="1:40">
      <c r="A9" s="19" t="s">
        <v>168</v>
      </c>
      <c r="B9" s="22">
        <v>8</v>
      </c>
      <c r="C9" s="25">
        <v>46245.544857650464</v>
      </c>
      <c r="D9" s="14" t="s">
        <v>68</v>
      </c>
      <c r="E9" s="14" t="s">
        <v>63</v>
      </c>
      <c r="F9" s="14" t="s">
        <v>63</v>
      </c>
      <c r="G9" s="22">
        <v>4</v>
      </c>
      <c r="H9" s="22">
        <v>4</v>
      </c>
      <c r="I9" s="22">
        <v>2</v>
      </c>
      <c r="J9" s="22">
        <v>3</v>
      </c>
      <c r="K9" s="22">
        <v>3</v>
      </c>
      <c r="L9" s="22">
        <v>3</v>
      </c>
      <c r="M9" s="22">
        <v>3</v>
      </c>
      <c r="N9" s="22">
        <v>3</v>
      </c>
      <c r="O9" s="22">
        <v>4</v>
      </c>
      <c r="P9" s="22">
        <v>1</v>
      </c>
      <c r="Q9" s="22">
        <v>2</v>
      </c>
      <c r="R9" s="22">
        <v>2</v>
      </c>
      <c r="S9" s="22">
        <v>3</v>
      </c>
      <c r="T9" s="22">
        <v>1</v>
      </c>
      <c r="U9" s="22">
        <v>4</v>
      </c>
      <c r="V9" s="22">
        <v>3</v>
      </c>
      <c r="W9" s="22">
        <v>3</v>
      </c>
      <c r="X9" s="22">
        <v>4</v>
      </c>
      <c r="Y9" s="22">
        <v>5</v>
      </c>
      <c r="Z9" s="22">
        <v>5</v>
      </c>
      <c r="AA9" s="22">
        <v>4</v>
      </c>
      <c r="AB9" s="22">
        <v>4</v>
      </c>
      <c r="AC9" s="22">
        <v>4</v>
      </c>
      <c r="AD9" s="22">
        <v>2</v>
      </c>
      <c r="AE9" s="22">
        <v>3</v>
      </c>
      <c r="AF9" s="22">
        <v>5</v>
      </c>
      <c r="AG9" s="22">
        <v>5</v>
      </c>
      <c r="AH9" s="22">
        <v>3</v>
      </c>
      <c r="AI9" s="22">
        <v>1</v>
      </c>
      <c r="AJ9" s="22">
        <v>2</v>
      </c>
      <c r="AK9" s="22">
        <v>1</v>
      </c>
      <c r="AL9" s="22">
        <v>5</v>
      </c>
      <c r="AM9" s="14" t="s">
        <v>76</v>
      </c>
      <c r="AN9" s="15"/>
    </row>
    <row r="10" spans="1:40">
      <c r="A10" s="19" t="s">
        <v>168</v>
      </c>
      <c r="B10" s="22">
        <v>9</v>
      </c>
      <c r="C10" s="25">
        <v>46245.545386157406</v>
      </c>
      <c r="D10" s="14" t="s">
        <v>77</v>
      </c>
      <c r="E10" s="14" t="s">
        <v>71</v>
      </c>
      <c r="F10" s="14" t="s">
        <v>71</v>
      </c>
      <c r="G10" s="22">
        <v>3</v>
      </c>
      <c r="H10" s="22">
        <v>3</v>
      </c>
      <c r="I10" s="22">
        <v>4</v>
      </c>
      <c r="J10" s="22">
        <v>3</v>
      </c>
      <c r="K10" s="22">
        <v>3</v>
      </c>
      <c r="L10" s="22">
        <v>2</v>
      </c>
      <c r="M10" s="22">
        <v>3</v>
      </c>
      <c r="N10" s="22">
        <v>4</v>
      </c>
      <c r="O10" s="22">
        <v>4</v>
      </c>
      <c r="P10" s="22">
        <v>3</v>
      </c>
      <c r="Q10" s="22">
        <v>3</v>
      </c>
      <c r="R10" s="22">
        <v>4</v>
      </c>
      <c r="S10" s="22">
        <v>4</v>
      </c>
      <c r="T10" s="22">
        <v>3</v>
      </c>
      <c r="U10" s="22">
        <v>4</v>
      </c>
      <c r="V10" s="22">
        <v>4</v>
      </c>
      <c r="W10" s="22">
        <v>4</v>
      </c>
      <c r="X10" s="22">
        <v>3</v>
      </c>
      <c r="Y10" s="22">
        <v>4</v>
      </c>
      <c r="Z10" s="22">
        <v>4</v>
      </c>
      <c r="AA10" s="22">
        <v>4</v>
      </c>
      <c r="AB10" s="22">
        <v>4</v>
      </c>
      <c r="AC10" s="22">
        <v>4</v>
      </c>
      <c r="AD10" s="22">
        <v>3</v>
      </c>
      <c r="AE10" s="22">
        <v>3</v>
      </c>
      <c r="AF10" s="22">
        <v>4</v>
      </c>
      <c r="AG10" s="22">
        <v>4</v>
      </c>
      <c r="AH10" s="22">
        <v>4</v>
      </c>
      <c r="AI10" s="22">
        <v>4</v>
      </c>
      <c r="AJ10" s="22">
        <v>3</v>
      </c>
      <c r="AK10" s="22">
        <v>3</v>
      </c>
      <c r="AL10" s="22">
        <v>3</v>
      </c>
      <c r="AM10" s="14" t="s">
        <v>78</v>
      </c>
      <c r="AN10" s="15"/>
    </row>
    <row r="11" spans="1:40">
      <c r="A11" s="19" t="s">
        <v>168</v>
      </c>
      <c r="B11" s="22">
        <v>10</v>
      </c>
      <c r="C11" s="25">
        <v>46245.547380555552</v>
      </c>
      <c r="D11" s="14" t="s">
        <v>79</v>
      </c>
      <c r="E11" s="14" t="s">
        <v>65</v>
      </c>
      <c r="F11" s="14" t="s">
        <v>65</v>
      </c>
      <c r="G11" s="22">
        <v>4</v>
      </c>
      <c r="H11" s="22">
        <v>5</v>
      </c>
      <c r="I11" s="22">
        <v>4</v>
      </c>
      <c r="J11" s="22">
        <v>3</v>
      </c>
      <c r="K11" s="22">
        <v>4</v>
      </c>
      <c r="L11" s="22">
        <v>3</v>
      </c>
      <c r="M11" s="22">
        <v>3</v>
      </c>
      <c r="N11" s="22">
        <v>4</v>
      </c>
      <c r="O11" s="22">
        <v>4</v>
      </c>
      <c r="P11" s="22">
        <v>2</v>
      </c>
      <c r="Q11" s="22">
        <v>4</v>
      </c>
      <c r="R11" s="22">
        <v>4</v>
      </c>
      <c r="S11" s="22">
        <v>3</v>
      </c>
      <c r="T11" s="22">
        <v>2</v>
      </c>
      <c r="U11" s="22">
        <v>4</v>
      </c>
      <c r="V11" s="22">
        <v>3</v>
      </c>
      <c r="W11" s="22">
        <v>4</v>
      </c>
      <c r="X11" s="22">
        <v>4</v>
      </c>
      <c r="Y11" s="22">
        <v>5</v>
      </c>
      <c r="Z11" s="22">
        <v>4</v>
      </c>
      <c r="AA11" s="22">
        <v>5</v>
      </c>
      <c r="AB11" s="22">
        <v>5</v>
      </c>
      <c r="AC11" s="22">
        <v>5</v>
      </c>
      <c r="AD11" s="22">
        <v>1</v>
      </c>
      <c r="AE11" s="22">
        <v>4</v>
      </c>
      <c r="AF11" s="22">
        <v>4</v>
      </c>
      <c r="AG11" s="22">
        <v>5</v>
      </c>
      <c r="AH11" s="22">
        <v>4</v>
      </c>
      <c r="AI11" s="22">
        <v>2</v>
      </c>
      <c r="AJ11" s="22">
        <v>2</v>
      </c>
      <c r="AK11" s="22">
        <v>3</v>
      </c>
      <c r="AL11" s="22">
        <v>2</v>
      </c>
      <c r="AM11" s="14" t="s">
        <v>80</v>
      </c>
      <c r="AN11" s="15"/>
    </row>
    <row r="12" spans="1:40">
      <c r="A12" s="19" t="s">
        <v>168</v>
      </c>
      <c r="B12" s="22">
        <v>11</v>
      </c>
      <c r="C12" s="25">
        <v>46245.55231712963</v>
      </c>
      <c r="D12" s="14" t="s">
        <v>79</v>
      </c>
      <c r="E12" s="14" t="s">
        <v>71</v>
      </c>
      <c r="F12" s="14" t="s">
        <v>71</v>
      </c>
      <c r="G12" s="22">
        <v>4</v>
      </c>
      <c r="H12" s="22">
        <v>5</v>
      </c>
      <c r="I12" s="22">
        <v>1</v>
      </c>
      <c r="J12" s="22">
        <v>3</v>
      </c>
      <c r="K12" s="22">
        <v>3</v>
      </c>
      <c r="L12" s="22">
        <v>2</v>
      </c>
      <c r="M12" s="22">
        <v>2</v>
      </c>
      <c r="N12" s="22">
        <v>4</v>
      </c>
      <c r="O12" s="22">
        <v>3</v>
      </c>
      <c r="P12" s="22">
        <v>3</v>
      </c>
      <c r="Q12" s="22">
        <v>3</v>
      </c>
      <c r="R12" s="22">
        <v>2</v>
      </c>
      <c r="S12" s="22">
        <v>4</v>
      </c>
      <c r="T12" s="22">
        <v>2</v>
      </c>
      <c r="U12" s="22">
        <v>5</v>
      </c>
      <c r="V12" s="22">
        <v>1</v>
      </c>
      <c r="W12" s="22">
        <v>5</v>
      </c>
      <c r="X12" s="22">
        <v>2</v>
      </c>
      <c r="Y12" s="22">
        <v>5</v>
      </c>
      <c r="Z12" s="22">
        <v>5</v>
      </c>
      <c r="AA12" s="22">
        <v>5</v>
      </c>
      <c r="AB12" s="22">
        <v>5</v>
      </c>
      <c r="AC12" s="22">
        <v>5</v>
      </c>
      <c r="AD12" s="22">
        <v>2</v>
      </c>
      <c r="AE12" s="22">
        <v>5</v>
      </c>
      <c r="AF12" s="22">
        <v>3</v>
      </c>
      <c r="AG12" s="22">
        <v>5</v>
      </c>
      <c r="AH12" s="22">
        <v>5</v>
      </c>
      <c r="AI12" s="22">
        <v>1</v>
      </c>
      <c r="AJ12" s="22">
        <v>1</v>
      </c>
      <c r="AK12" s="22">
        <v>1</v>
      </c>
      <c r="AL12" s="22">
        <v>5</v>
      </c>
      <c r="AM12" s="14" t="s">
        <v>75</v>
      </c>
      <c r="AN12" s="15"/>
    </row>
    <row r="13" spans="1:40">
      <c r="A13" s="19" t="s">
        <v>168</v>
      </c>
      <c r="B13" s="22">
        <v>12</v>
      </c>
      <c r="C13" s="25">
        <v>46245.555924710643</v>
      </c>
      <c r="D13" s="14" t="s">
        <v>81</v>
      </c>
      <c r="E13" s="14" t="s">
        <v>63</v>
      </c>
      <c r="F13" s="14" t="s">
        <v>63</v>
      </c>
      <c r="G13" s="22">
        <v>4</v>
      </c>
      <c r="H13" s="22">
        <v>4</v>
      </c>
      <c r="I13" s="22">
        <v>2</v>
      </c>
      <c r="J13" s="22">
        <v>3</v>
      </c>
      <c r="K13" s="22">
        <v>1</v>
      </c>
      <c r="L13" s="22">
        <v>2</v>
      </c>
      <c r="M13" s="22">
        <v>1</v>
      </c>
      <c r="N13" s="22">
        <v>4</v>
      </c>
      <c r="O13" s="22">
        <v>5</v>
      </c>
      <c r="P13" s="22">
        <v>1</v>
      </c>
      <c r="Q13" s="22">
        <v>3</v>
      </c>
      <c r="R13" s="22">
        <v>1</v>
      </c>
      <c r="S13" s="22">
        <v>2</v>
      </c>
      <c r="T13" s="22">
        <v>5</v>
      </c>
      <c r="U13" s="22">
        <v>3</v>
      </c>
      <c r="V13" s="22">
        <v>4</v>
      </c>
      <c r="W13" s="22">
        <v>3</v>
      </c>
      <c r="X13" s="22">
        <v>4</v>
      </c>
      <c r="Y13" s="22">
        <v>5</v>
      </c>
      <c r="Z13" s="22">
        <v>3</v>
      </c>
      <c r="AA13" s="22">
        <v>4</v>
      </c>
      <c r="AB13" s="22">
        <v>2</v>
      </c>
      <c r="AC13" s="22">
        <v>2</v>
      </c>
      <c r="AD13" s="22">
        <v>3</v>
      </c>
      <c r="AE13" s="22">
        <v>4</v>
      </c>
      <c r="AF13" s="22">
        <v>4</v>
      </c>
      <c r="AG13" s="22">
        <v>5</v>
      </c>
      <c r="AH13" s="22">
        <v>4</v>
      </c>
      <c r="AI13" s="22">
        <v>4</v>
      </c>
      <c r="AJ13" s="22">
        <v>4</v>
      </c>
      <c r="AK13" s="22">
        <v>4</v>
      </c>
      <c r="AL13" s="22">
        <v>4</v>
      </c>
      <c r="AM13" s="14" t="s">
        <v>82</v>
      </c>
      <c r="AN13" s="15"/>
    </row>
    <row r="14" spans="1:40">
      <c r="A14" s="19" t="s">
        <v>168</v>
      </c>
      <c r="B14" s="22">
        <v>13</v>
      </c>
      <c r="C14" s="25">
        <v>46245.559769571759</v>
      </c>
      <c r="D14" s="14" t="s">
        <v>83</v>
      </c>
      <c r="E14" s="14" t="s">
        <v>71</v>
      </c>
      <c r="F14" s="14" t="s">
        <v>71</v>
      </c>
      <c r="G14" s="22">
        <v>4</v>
      </c>
      <c r="H14" s="22">
        <v>4</v>
      </c>
      <c r="I14" s="22">
        <v>4</v>
      </c>
      <c r="J14" s="22">
        <v>4</v>
      </c>
      <c r="K14" s="22">
        <v>2</v>
      </c>
      <c r="L14" s="22">
        <v>3</v>
      </c>
      <c r="M14" s="22">
        <v>3</v>
      </c>
      <c r="N14" s="22">
        <v>4</v>
      </c>
      <c r="O14" s="22">
        <v>4</v>
      </c>
      <c r="P14" s="22">
        <v>3</v>
      </c>
      <c r="Q14" s="22">
        <v>3</v>
      </c>
      <c r="R14" s="22">
        <v>3</v>
      </c>
      <c r="S14" s="22">
        <v>3</v>
      </c>
      <c r="T14" s="22">
        <v>2</v>
      </c>
      <c r="U14" s="22">
        <v>4</v>
      </c>
      <c r="V14" s="22">
        <v>2</v>
      </c>
      <c r="W14" s="22">
        <v>4</v>
      </c>
      <c r="X14" s="22">
        <v>4</v>
      </c>
      <c r="Y14" s="22">
        <v>4</v>
      </c>
      <c r="Z14" s="22">
        <v>3</v>
      </c>
      <c r="AA14" s="22">
        <v>4</v>
      </c>
      <c r="AB14" s="22">
        <v>4</v>
      </c>
      <c r="AC14" s="22">
        <v>3</v>
      </c>
      <c r="AD14" s="22">
        <v>3</v>
      </c>
      <c r="AE14" s="22">
        <v>3</v>
      </c>
      <c r="AF14" s="22">
        <v>4</v>
      </c>
      <c r="AG14" s="22">
        <v>4</v>
      </c>
      <c r="AH14" s="22">
        <v>4</v>
      </c>
      <c r="AI14" s="22">
        <v>2</v>
      </c>
      <c r="AJ14" s="22">
        <v>1</v>
      </c>
      <c r="AK14" s="22">
        <v>2</v>
      </c>
      <c r="AL14" s="22">
        <v>4</v>
      </c>
      <c r="AM14" s="14" t="s">
        <v>84</v>
      </c>
      <c r="AN14" s="15"/>
    </row>
    <row r="15" spans="1:40">
      <c r="A15" s="19" t="s">
        <v>168</v>
      </c>
      <c r="B15" s="22">
        <v>14</v>
      </c>
      <c r="C15" s="25">
        <v>46245.576611377313</v>
      </c>
      <c r="D15" s="14" t="s">
        <v>85</v>
      </c>
      <c r="E15" s="14" t="s">
        <v>71</v>
      </c>
      <c r="F15" s="14" t="s">
        <v>71</v>
      </c>
      <c r="G15" s="22">
        <v>5</v>
      </c>
      <c r="H15" s="22">
        <v>5</v>
      </c>
      <c r="I15" s="22">
        <v>1</v>
      </c>
      <c r="J15" s="22">
        <v>4</v>
      </c>
      <c r="K15" s="22">
        <v>2</v>
      </c>
      <c r="L15" s="22">
        <v>3</v>
      </c>
      <c r="M15" s="22">
        <v>1</v>
      </c>
      <c r="N15" s="22">
        <v>5</v>
      </c>
      <c r="O15" s="22">
        <v>3</v>
      </c>
      <c r="P15" s="22">
        <v>1</v>
      </c>
      <c r="Q15" s="22">
        <v>1</v>
      </c>
      <c r="R15" s="22">
        <v>1</v>
      </c>
      <c r="S15" s="22">
        <v>4</v>
      </c>
      <c r="T15" s="22">
        <v>1</v>
      </c>
      <c r="U15" s="22">
        <v>4</v>
      </c>
      <c r="V15" s="22">
        <v>1</v>
      </c>
      <c r="W15" s="22">
        <v>4</v>
      </c>
      <c r="X15" s="22">
        <v>4</v>
      </c>
      <c r="Y15" s="22">
        <v>5</v>
      </c>
      <c r="Z15" s="22">
        <v>3</v>
      </c>
      <c r="AA15" s="22">
        <v>5</v>
      </c>
      <c r="AB15" s="22">
        <v>4</v>
      </c>
      <c r="AC15" s="22">
        <v>3</v>
      </c>
      <c r="AD15" s="22">
        <v>3</v>
      </c>
      <c r="AE15" s="22">
        <v>3</v>
      </c>
      <c r="AF15" s="22">
        <v>3</v>
      </c>
      <c r="AG15" s="22">
        <v>4</v>
      </c>
      <c r="AH15" s="22">
        <v>4</v>
      </c>
      <c r="AI15" s="22">
        <v>2</v>
      </c>
      <c r="AJ15" s="22">
        <v>2</v>
      </c>
      <c r="AK15" s="22">
        <v>1</v>
      </c>
      <c r="AL15" s="22">
        <v>4</v>
      </c>
      <c r="AM15" s="14" t="s">
        <v>86</v>
      </c>
      <c r="AN15" s="15"/>
    </row>
    <row r="16" spans="1:40">
      <c r="A16" s="19" t="s">
        <v>168</v>
      </c>
      <c r="B16" s="22">
        <v>15</v>
      </c>
      <c r="C16" s="25">
        <v>46245.578173969909</v>
      </c>
      <c r="D16" s="14" t="s">
        <v>87</v>
      </c>
      <c r="E16" s="14" t="s">
        <v>71</v>
      </c>
      <c r="F16" s="14" t="s">
        <v>71</v>
      </c>
      <c r="G16" s="22">
        <v>3</v>
      </c>
      <c r="H16" s="22">
        <v>3</v>
      </c>
      <c r="I16" s="22">
        <v>3</v>
      </c>
      <c r="J16" s="22">
        <v>2</v>
      </c>
      <c r="K16" s="22">
        <v>3</v>
      </c>
      <c r="L16" s="22">
        <v>3</v>
      </c>
      <c r="M16" s="22">
        <v>3</v>
      </c>
      <c r="N16" s="22">
        <v>3</v>
      </c>
      <c r="O16" s="22">
        <v>2</v>
      </c>
      <c r="P16" s="22">
        <v>3</v>
      </c>
      <c r="Q16" s="22">
        <v>3</v>
      </c>
      <c r="R16" s="22">
        <v>3</v>
      </c>
      <c r="S16" s="22">
        <v>3</v>
      </c>
      <c r="T16" s="22">
        <v>3</v>
      </c>
      <c r="U16" s="22">
        <v>3</v>
      </c>
      <c r="V16" s="22">
        <v>3</v>
      </c>
      <c r="W16" s="22">
        <v>3</v>
      </c>
      <c r="X16" s="22">
        <v>3</v>
      </c>
      <c r="Y16" s="22">
        <v>3</v>
      </c>
      <c r="Z16" s="22">
        <v>3</v>
      </c>
      <c r="AA16" s="22">
        <v>3</v>
      </c>
      <c r="AB16" s="22">
        <v>3</v>
      </c>
      <c r="AC16" s="22">
        <v>3</v>
      </c>
      <c r="AD16" s="22">
        <v>3</v>
      </c>
      <c r="AE16" s="22">
        <v>3</v>
      </c>
      <c r="AF16" s="22">
        <v>3</v>
      </c>
      <c r="AG16" s="22">
        <v>3</v>
      </c>
      <c r="AH16" s="22">
        <v>3</v>
      </c>
      <c r="AI16" s="22">
        <v>3</v>
      </c>
      <c r="AJ16" s="22">
        <v>3</v>
      </c>
      <c r="AK16" s="22">
        <v>3</v>
      </c>
      <c r="AL16" s="22">
        <v>3</v>
      </c>
      <c r="AM16" s="14" t="s">
        <v>88</v>
      </c>
      <c r="AN16" s="15"/>
    </row>
    <row r="17" spans="1:40">
      <c r="A17" s="19" t="s">
        <v>168</v>
      </c>
      <c r="B17" s="22">
        <v>16</v>
      </c>
      <c r="C17" s="25">
        <v>46245.580403321757</v>
      </c>
      <c r="D17" s="14" t="s">
        <v>87</v>
      </c>
      <c r="E17" s="14" t="s">
        <v>71</v>
      </c>
      <c r="F17" s="14" t="s">
        <v>71</v>
      </c>
      <c r="G17" s="22">
        <v>3</v>
      </c>
      <c r="H17" s="22">
        <v>3</v>
      </c>
      <c r="I17" s="22">
        <v>4</v>
      </c>
      <c r="J17" s="22">
        <v>3</v>
      </c>
      <c r="K17" s="22">
        <v>3</v>
      </c>
      <c r="L17" s="22">
        <v>3</v>
      </c>
      <c r="M17" s="22">
        <v>3</v>
      </c>
      <c r="N17" s="22">
        <v>3</v>
      </c>
      <c r="O17" s="22">
        <v>3</v>
      </c>
      <c r="P17" s="22">
        <v>4</v>
      </c>
      <c r="Q17" s="22">
        <v>3</v>
      </c>
      <c r="R17" s="22">
        <v>4</v>
      </c>
      <c r="S17" s="22">
        <v>3</v>
      </c>
      <c r="T17" s="22">
        <v>4</v>
      </c>
      <c r="U17" s="22">
        <v>4</v>
      </c>
      <c r="V17" s="22">
        <v>3</v>
      </c>
      <c r="W17" s="22">
        <v>3</v>
      </c>
      <c r="X17" s="22">
        <v>4</v>
      </c>
      <c r="Y17" s="22">
        <v>4</v>
      </c>
      <c r="Z17" s="22">
        <v>4</v>
      </c>
      <c r="AA17" s="22">
        <v>5</v>
      </c>
      <c r="AB17" s="22">
        <v>3</v>
      </c>
      <c r="AC17" s="22">
        <v>4</v>
      </c>
      <c r="AD17" s="22">
        <v>5</v>
      </c>
      <c r="AE17" s="22">
        <v>4</v>
      </c>
      <c r="AF17" s="22">
        <v>4</v>
      </c>
      <c r="AG17" s="22">
        <v>4</v>
      </c>
      <c r="AH17" s="22">
        <v>4</v>
      </c>
      <c r="AI17" s="22">
        <v>3</v>
      </c>
      <c r="AJ17" s="22">
        <v>1</v>
      </c>
      <c r="AK17" s="22">
        <v>5</v>
      </c>
      <c r="AL17" s="22">
        <v>5</v>
      </c>
      <c r="AM17" s="14" t="s">
        <v>89</v>
      </c>
      <c r="AN17" s="15"/>
    </row>
    <row r="18" spans="1:40">
      <c r="A18" s="19" t="s">
        <v>168</v>
      </c>
      <c r="B18" s="22">
        <v>17</v>
      </c>
      <c r="C18" s="25">
        <v>46245.582800243057</v>
      </c>
      <c r="D18" s="14" t="s">
        <v>90</v>
      </c>
      <c r="E18" s="14" t="s">
        <v>71</v>
      </c>
      <c r="F18" s="14" t="s">
        <v>71</v>
      </c>
      <c r="G18" s="22">
        <v>3</v>
      </c>
      <c r="H18" s="22">
        <v>4</v>
      </c>
      <c r="I18" s="22">
        <v>2</v>
      </c>
      <c r="J18" s="22">
        <v>2</v>
      </c>
      <c r="K18" s="22">
        <v>2</v>
      </c>
      <c r="L18" s="22">
        <v>3</v>
      </c>
      <c r="M18" s="22">
        <v>2</v>
      </c>
      <c r="N18" s="22">
        <v>3</v>
      </c>
      <c r="O18" s="22">
        <v>4</v>
      </c>
      <c r="P18" s="22">
        <v>3</v>
      </c>
      <c r="Q18" s="22">
        <v>3</v>
      </c>
      <c r="R18" s="22">
        <v>2</v>
      </c>
      <c r="S18" s="22">
        <v>2</v>
      </c>
      <c r="T18" s="22">
        <v>2</v>
      </c>
      <c r="U18" s="22">
        <v>3</v>
      </c>
      <c r="V18" s="22">
        <v>3</v>
      </c>
      <c r="W18" s="22">
        <v>4</v>
      </c>
      <c r="X18" s="22">
        <v>3</v>
      </c>
      <c r="Y18" s="22">
        <v>4</v>
      </c>
      <c r="Z18" s="22">
        <v>4</v>
      </c>
      <c r="AA18" s="22">
        <v>4</v>
      </c>
      <c r="AB18" s="22">
        <v>2</v>
      </c>
      <c r="AC18" s="22">
        <v>3</v>
      </c>
      <c r="AD18" s="22">
        <v>3</v>
      </c>
      <c r="AE18" s="22">
        <v>2</v>
      </c>
      <c r="AF18" s="22">
        <v>2</v>
      </c>
      <c r="AG18" s="22">
        <v>5</v>
      </c>
      <c r="AH18" s="22">
        <v>4</v>
      </c>
      <c r="AI18" s="22">
        <v>3</v>
      </c>
      <c r="AJ18" s="22">
        <v>1</v>
      </c>
      <c r="AK18" s="22">
        <v>1</v>
      </c>
      <c r="AL18" s="22">
        <v>4</v>
      </c>
      <c r="AM18" s="14" t="s">
        <v>75</v>
      </c>
      <c r="AN18" s="15"/>
    </row>
    <row r="19" spans="1:40">
      <c r="A19" s="19" t="s">
        <v>168</v>
      </c>
      <c r="B19" s="22">
        <v>18</v>
      </c>
      <c r="C19" s="25">
        <v>46245.62035243056</v>
      </c>
      <c r="D19" s="14" t="s">
        <v>85</v>
      </c>
      <c r="E19" s="14" t="s">
        <v>71</v>
      </c>
      <c r="F19" s="14" t="s">
        <v>71</v>
      </c>
      <c r="G19" s="22">
        <v>3</v>
      </c>
      <c r="H19" s="22">
        <v>4</v>
      </c>
      <c r="I19" s="22">
        <v>3</v>
      </c>
      <c r="J19" s="22">
        <v>4</v>
      </c>
      <c r="K19" s="22">
        <v>4</v>
      </c>
      <c r="L19" s="22">
        <v>3</v>
      </c>
      <c r="M19" s="22">
        <v>3</v>
      </c>
      <c r="N19" s="22">
        <v>4</v>
      </c>
      <c r="O19" s="22">
        <v>3</v>
      </c>
      <c r="P19" s="22">
        <v>4</v>
      </c>
      <c r="Q19" s="22">
        <v>3</v>
      </c>
      <c r="R19" s="22">
        <v>3</v>
      </c>
      <c r="S19" s="22">
        <v>4</v>
      </c>
      <c r="T19" s="22">
        <v>3</v>
      </c>
      <c r="U19" s="22">
        <v>3</v>
      </c>
      <c r="V19" s="22">
        <v>3</v>
      </c>
      <c r="W19" s="22">
        <v>4</v>
      </c>
      <c r="X19" s="22">
        <v>3</v>
      </c>
      <c r="Y19" s="22">
        <v>3</v>
      </c>
      <c r="Z19" s="22">
        <v>3</v>
      </c>
      <c r="AA19" s="22">
        <v>3</v>
      </c>
      <c r="AB19" s="22">
        <v>3</v>
      </c>
      <c r="AC19" s="22">
        <v>4</v>
      </c>
      <c r="AD19" s="22">
        <v>3</v>
      </c>
      <c r="AE19" s="22">
        <v>3</v>
      </c>
      <c r="AF19" s="22">
        <v>3</v>
      </c>
      <c r="AG19" s="22">
        <v>3</v>
      </c>
      <c r="AH19" s="22">
        <v>3</v>
      </c>
      <c r="AI19" s="22">
        <v>3</v>
      </c>
      <c r="AJ19" s="22">
        <v>4</v>
      </c>
      <c r="AK19" s="22">
        <v>3</v>
      </c>
      <c r="AL19" s="22">
        <v>3</v>
      </c>
      <c r="AM19" s="14" t="s">
        <v>91</v>
      </c>
      <c r="AN19" s="15"/>
    </row>
    <row r="20" spans="1:40">
      <c r="A20" s="19" t="s">
        <v>168</v>
      </c>
      <c r="B20" s="22">
        <v>19</v>
      </c>
      <c r="C20" s="25">
        <v>46245.62520336805</v>
      </c>
      <c r="D20" s="14" t="s">
        <v>81</v>
      </c>
      <c r="E20" s="14" t="s">
        <v>63</v>
      </c>
      <c r="F20" s="14" t="s">
        <v>63</v>
      </c>
      <c r="G20" s="22">
        <v>4</v>
      </c>
      <c r="H20" s="22">
        <v>3</v>
      </c>
      <c r="I20" s="22">
        <v>4</v>
      </c>
      <c r="J20" s="22">
        <v>2</v>
      </c>
      <c r="K20" s="22">
        <v>4</v>
      </c>
      <c r="L20" s="22">
        <v>4</v>
      </c>
      <c r="M20" s="22">
        <v>4</v>
      </c>
      <c r="N20" s="22">
        <v>3</v>
      </c>
      <c r="O20" s="22">
        <v>4</v>
      </c>
      <c r="P20" s="22">
        <v>2</v>
      </c>
      <c r="Q20" s="22">
        <v>3</v>
      </c>
      <c r="R20" s="22">
        <v>3</v>
      </c>
      <c r="S20" s="22">
        <v>3</v>
      </c>
      <c r="T20" s="22">
        <v>3</v>
      </c>
      <c r="U20" s="22">
        <v>3</v>
      </c>
      <c r="V20" s="22">
        <v>3</v>
      </c>
      <c r="W20" s="22">
        <v>4</v>
      </c>
      <c r="X20" s="22">
        <v>4</v>
      </c>
      <c r="Y20" s="22">
        <v>4</v>
      </c>
      <c r="Z20" s="22">
        <v>4</v>
      </c>
      <c r="AA20" s="22">
        <v>3</v>
      </c>
      <c r="AB20" s="22">
        <v>3</v>
      </c>
      <c r="AC20" s="22">
        <v>3</v>
      </c>
      <c r="AD20" s="22">
        <v>3</v>
      </c>
      <c r="AE20" s="22">
        <v>4</v>
      </c>
      <c r="AF20" s="22">
        <v>4</v>
      </c>
      <c r="AG20" s="22">
        <v>4</v>
      </c>
      <c r="AH20" s="22">
        <v>3</v>
      </c>
      <c r="AI20" s="22">
        <v>3</v>
      </c>
      <c r="AJ20" s="22">
        <v>3</v>
      </c>
      <c r="AK20" s="22">
        <v>2</v>
      </c>
      <c r="AL20" s="22">
        <v>3</v>
      </c>
      <c r="AM20" s="14" t="s">
        <v>92</v>
      </c>
      <c r="AN20" s="15"/>
    </row>
    <row r="21" spans="1:40">
      <c r="A21" s="19" t="s">
        <v>168</v>
      </c>
      <c r="B21" s="22">
        <v>20</v>
      </c>
      <c r="C21" s="25">
        <v>46245.625968645836</v>
      </c>
      <c r="D21" s="14" t="s">
        <v>85</v>
      </c>
      <c r="E21" s="14" t="s">
        <v>71</v>
      </c>
      <c r="F21" s="14" t="s">
        <v>71</v>
      </c>
      <c r="G21" s="22">
        <v>4</v>
      </c>
      <c r="H21" s="22">
        <v>4</v>
      </c>
      <c r="I21" s="22">
        <v>1</v>
      </c>
      <c r="J21" s="22">
        <v>4</v>
      </c>
      <c r="K21" s="22">
        <v>2</v>
      </c>
      <c r="L21" s="22">
        <v>3</v>
      </c>
      <c r="M21" s="22">
        <v>4</v>
      </c>
      <c r="N21" s="22">
        <v>4</v>
      </c>
      <c r="O21" s="22">
        <v>4</v>
      </c>
      <c r="P21" s="22">
        <v>2</v>
      </c>
      <c r="Q21" s="22">
        <v>3</v>
      </c>
      <c r="R21" s="22">
        <v>2</v>
      </c>
      <c r="S21" s="22">
        <v>4</v>
      </c>
      <c r="T21" s="22">
        <v>1</v>
      </c>
      <c r="U21" s="22">
        <v>4</v>
      </c>
      <c r="V21" s="22">
        <v>2</v>
      </c>
      <c r="W21" s="22">
        <v>4</v>
      </c>
      <c r="X21" s="22">
        <v>2</v>
      </c>
      <c r="Y21" s="22">
        <v>5</v>
      </c>
      <c r="Z21" s="22">
        <v>4</v>
      </c>
      <c r="AA21" s="22">
        <v>5</v>
      </c>
      <c r="AB21" s="22">
        <v>5</v>
      </c>
      <c r="AC21" s="22">
        <v>5</v>
      </c>
      <c r="AD21" s="22">
        <v>2</v>
      </c>
      <c r="AE21" s="22">
        <v>2</v>
      </c>
      <c r="AF21" s="22">
        <v>2</v>
      </c>
      <c r="AG21" s="22">
        <v>5</v>
      </c>
      <c r="AH21" s="22">
        <v>4</v>
      </c>
      <c r="AI21" s="22">
        <v>2</v>
      </c>
      <c r="AJ21" s="22">
        <v>1</v>
      </c>
      <c r="AK21" s="22">
        <v>1</v>
      </c>
      <c r="AL21" s="22">
        <v>4</v>
      </c>
      <c r="AM21" s="14" t="s">
        <v>93</v>
      </c>
      <c r="AN21" s="15"/>
    </row>
    <row r="22" spans="1:40">
      <c r="A22" s="19" t="s">
        <v>168</v>
      </c>
      <c r="B22" s="22">
        <v>21</v>
      </c>
      <c r="C22" s="25">
        <v>46245.645919490737</v>
      </c>
      <c r="D22" s="14" t="s">
        <v>68</v>
      </c>
      <c r="E22" s="14" t="s">
        <v>71</v>
      </c>
      <c r="F22" s="14" t="s">
        <v>71</v>
      </c>
      <c r="G22" s="22">
        <v>3</v>
      </c>
      <c r="H22" s="22">
        <v>4</v>
      </c>
      <c r="I22" s="22">
        <v>3</v>
      </c>
      <c r="J22" s="22">
        <v>1</v>
      </c>
      <c r="K22" s="22">
        <v>3</v>
      </c>
      <c r="L22" s="22">
        <v>2</v>
      </c>
      <c r="M22" s="22">
        <v>2</v>
      </c>
      <c r="N22" s="22">
        <v>4</v>
      </c>
      <c r="O22" s="22">
        <v>3</v>
      </c>
      <c r="P22" s="22">
        <v>2</v>
      </c>
      <c r="Q22" s="22">
        <v>3</v>
      </c>
      <c r="R22" s="22">
        <v>4</v>
      </c>
      <c r="S22" s="22">
        <v>3</v>
      </c>
      <c r="T22" s="22">
        <v>2</v>
      </c>
      <c r="U22" s="22">
        <v>3</v>
      </c>
      <c r="V22" s="22">
        <v>3</v>
      </c>
      <c r="W22" s="22">
        <v>3</v>
      </c>
      <c r="X22" s="22">
        <v>3</v>
      </c>
      <c r="Y22" s="22">
        <v>2</v>
      </c>
      <c r="Z22" s="22">
        <v>2</v>
      </c>
      <c r="AA22" s="22">
        <v>3</v>
      </c>
      <c r="AB22" s="22">
        <v>1</v>
      </c>
      <c r="AC22" s="22">
        <v>1</v>
      </c>
      <c r="AD22" s="22">
        <v>3</v>
      </c>
      <c r="AE22" s="22">
        <v>1</v>
      </c>
      <c r="AF22" s="22">
        <v>2</v>
      </c>
      <c r="AG22" s="22">
        <v>2</v>
      </c>
      <c r="AH22" s="22">
        <v>1</v>
      </c>
      <c r="AI22" s="22">
        <v>3</v>
      </c>
      <c r="AJ22" s="22">
        <v>2</v>
      </c>
      <c r="AK22" s="22">
        <v>3</v>
      </c>
      <c r="AL22" s="22">
        <v>2</v>
      </c>
      <c r="AM22" s="14" t="s">
        <v>94</v>
      </c>
      <c r="AN22" s="15"/>
    </row>
    <row r="23" spans="1:40">
      <c r="A23" s="19" t="s">
        <v>168</v>
      </c>
      <c r="B23" s="22">
        <v>22</v>
      </c>
      <c r="C23" s="25">
        <v>46245.647440868051</v>
      </c>
      <c r="D23" s="14" t="s">
        <v>95</v>
      </c>
      <c r="E23" s="14" t="s">
        <v>65</v>
      </c>
      <c r="F23" s="14" t="s">
        <v>65</v>
      </c>
      <c r="G23" s="22">
        <v>5</v>
      </c>
      <c r="H23" s="22">
        <v>5</v>
      </c>
      <c r="I23" s="22">
        <v>1</v>
      </c>
      <c r="J23" s="22">
        <v>2</v>
      </c>
      <c r="K23" s="22">
        <v>1</v>
      </c>
      <c r="L23" s="22">
        <v>1</v>
      </c>
      <c r="M23" s="22">
        <v>2</v>
      </c>
      <c r="N23" s="22">
        <v>5</v>
      </c>
      <c r="O23" s="22">
        <v>3</v>
      </c>
      <c r="P23" s="22">
        <v>1</v>
      </c>
      <c r="Q23" s="22">
        <v>1</v>
      </c>
      <c r="R23" s="22">
        <v>1</v>
      </c>
      <c r="S23" s="22">
        <v>5</v>
      </c>
      <c r="T23" s="22">
        <v>1</v>
      </c>
      <c r="U23" s="22">
        <v>5</v>
      </c>
      <c r="V23" s="22">
        <v>1</v>
      </c>
      <c r="W23" s="22">
        <v>5</v>
      </c>
      <c r="X23" s="22">
        <v>5</v>
      </c>
      <c r="Y23" s="22">
        <v>5</v>
      </c>
      <c r="Z23" s="22">
        <v>5</v>
      </c>
      <c r="AA23" s="22">
        <v>5</v>
      </c>
      <c r="AB23" s="22">
        <v>3</v>
      </c>
      <c r="AC23" s="22">
        <v>5</v>
      </c>
      <c r="AD23" s="22">
        <v>1</v>
      </c>
      <c r="AE23" s="22">
        <v>5</v>
      </c>
      <c r="AF23" s="22">
        <v>5</v>
      </c>
      <c r="AG23" s="22">
        <v>5</v>
      </c>
      <c r="AH23" s="22">
        <v>4</v>
      </c>
      <c r="AI23" s="22">
        <v>1</v>
      </c>
      <c r="AJ23" s="22">
        <v>1</v>
      </c>
      <c r="AK23" s="22">
        <v>1</v>
      </c>
      <c r="AL23" s="22">
        <v>5</v>
      </c>
      <c r="AM23" s="14" t="s">
        <v>96</v>
      </c>
      <c r="AN23" s="15"/>
    </row>
    <row r="24" spans="1:40">
      <c r="A24" s="19" t="s">
        <v>168</v>
      </c>
      <c r="B24" s="22">
        <v>23</v>
      </c>
      <c r="C24" s="25">
        <v>46245.686745914354</v>
      </c>
      <c r="D24" s="14" t="s">
        <v>97</v>
      </c>
      <c r="E24" s="14" t="s">
        <v>63</v>
      </c>
      <c r="F24" s="14" t="s">
        <v>63</v>
      </c>
      <c r="G24" s="22">
        <v>5</v>
      </c>
      <c r="H24" s="22">
        <v>5</v>
      </c>
      <c r="I24" s="22">
        <v>1</v>
      </c>
      <c r="J24" s="22">
        <v>3</v>
      </c>
      <c r="K24" s="22">
        <v>4</v>
      </c>
      <c r="L24" s="22">
        <v>4</v>
      </c>
      <c r="M24" s="22">
        <v>1</v>
      </c>
      <c r="N24" s="22">
        <v>5</v>
      </c>
      <c r="O24" s="22">
        <v>5</v>
      </c>
      <c r="P24" s="22">
        <v>1</v>
      </c>
      <c r="Q24" s="22">
        <v>1</v>
      </c>
      <c r="R24" s="22">
        <v>2</v>
      </c>
      <c r="S24" s="22">
        <v>5</v>
      </c>
      <c r="T24" s="22">
        <v>1</v>
      </c>
      <c r="U24" s="22">
        <v>5</v>
      </c>
      <c r="V24" s="22">
        <v>1</v>
      </c>
      <c r="W24" s="22">
        <v>5</v>
      </c>
      <c r="X24" s="22">
        <v>3</v>
      </c>
      <c r="Y24" s="22">
        <v>5</v>
      </c>
      <c r="Z24" s="22">
        <v>5</v>
      </c>
      <c r="AA24" s="22">
        <v>5</v>
      </c>
      <c r="AB24" s="22">
        <v>4</v>
      </c>
      <c r="AC24" s="22">
        <v>5</v>
      </c>
      <c r="AD24" s="22">
        <v>2</v>
      </c>
      <c r="AE24" s="22">
        <v>1</v>
      </c>
      <c r="AF24" s="22">
        <v>1</v>
      </c>
      <c r="AG24" s="22">
        <v>5</v>
      </c>
      <c r="AH24" s="22">
        <v>5</v>
      </c>
      <c r="AI24" s="22">
        <v>5</v>
      </c>
      <c r="AJ24" s="22">
        <v>1</v>
      </c>
      <c r="AK24" s="22">
        <v>1</v>
      </c>
      <c r="AL24" s="22">
        <v>5</v>
      </c>
      <c r="AM24" s="14" t="s">
        <v>98</v>
      </c>
      <c r="AN24" s="15"/>
    </row>
    <row r="25" spans="1:40">
      <c r="A25" s="19" t="s">
        <v>168</v>
      </c>
      <c r="B25" s="22">
        <v>24</v>
      </c>
      <c r="C25" s="25">
        <v>46245.694525462968</v>
      </c>
      <c r="D25" s="14" t="s">
        <v>85</v>
      </c>
      <c r="E25" s="14" t="s">
        <v>71</v>
      </c>
      <c r="F25" s="14" t="s">
        <v>71</v>
      </c>
      <c r="G25" s="22">
        <v>2</v>
      </c>
      <c r="H25" s="22">
        <v>2</v>
      </c>
      <c r="I25" s="22">
        <v>4</v>
      </c>
      <c r="J25" s="22">
        <v>2</v>
      </c>
      <c r="K25" s="22">
        <v>2</v>
      </c>
      <c r="L25" s="22">
        <v>2</v>
      </c>
      <c r="M25" s="22">
        <v>2</v>
      </c>
      <c r="N25" s="22">
        <v>2</v>
      </c>
      <c r="O25" s="22">
        <v>4</v>
      </c>
      <c r="P25" s="22">
        <v>2</v>
      </c>
      <c r="Q25" s="22">
        <v>4</v>
      </c>
      <c r="R25" s="22">
        <v>4</v>
      </c>
      <c r="S25" s="22">
        <v>2</v>
      </c>
      <c r="T25" s="22">
        <v>4</v>
      </c>
      <c r="U25" s="22">
        <v>4</v>
      </c>
      <c r="V25" s="22">
        <v>3</v>
      </c>
      <c r="W25" s="22">
        <v>3</v>
      </c>
      <c r="X25" s="22">
        <v>2</v>
      </c>
      <c r="Y25" s="22">
        <v>2</v>
      </c>
      <c r="Z25" s="22">
        <v>2</v>
      </c>
      <c r="AA25" s="22">
        <v>3</v>
      </c>
      <c r="AB25" s="22">
        <v>2</v>
      </c>
      <c r="AC25" s="22">
        <v>2</v>
      </c>
      <c r="AD25" s="22">
        <v>2</v>
      </c>
      <c r="AE25" s="22">
        <v>2</v>
      </c>
      <c r="AF25" s="22">
        <v>2</v>
      </c>
      <c r="AG25" s="22">
        <v>3</v>
      </c>
      <c r="AH25" s="22">
        <v>3</v>
      </c>
      <c r="AI25" s="22">
        <v>2</v>
      </c>
      <c r="AJ25" s="22">
        <v>2</v>
      </c>
      <c r="AK25" s="22">
        <v>3</v>
      </c>
      <c r="AL25" s="22">
        <v>3</v>
      </c>
      <c r="AM25" s="14" t="s">
        <v>99</v>
      </c>
      <c r="AN25" s="15"/>
    </row>
    <row r="26" spans="1:40">
      <c r="A26" s="19" t="s">
        <v>168</v>
      </c>
      <c r="B26" s="22">
        <v>25</v>
      </c>
      <c r="C26" s="25">
        <v>46245.69521273148</v>
      </c>
      <c r="D26" s="14" t="s">
        <v>97</v>
      </c>
      <c r="E26" s="14" t="s">
        <v>65</v>
      </c>
      <c r="F26" s="14" t="s">
        <v>65</v>
      </c>
      <c r="G26" s="22">
        <v>3</v>
      </c>
      <c r="H26" s="22">
        <v>3</v>
      </c>
      <c r="I26" s="22">
        <v>4</v>
      </c>
      <c r="J26" s="22">
        <v>2</v>
      </c>
      <c r="K26" s="22">
        <v>3</v>
      </c>
      <c r="L26" s="22">
        <v>5</v>
      </c>
      <c r="M26" s="22">
        <v>3</v>
      </c>
      <c r="N26" s="22">
        <v>1</v>
      </c>
      <c r="O26" s="22">
        <v>4</v>
      </c>
      <c r="P26" s="22">
        <v>1</v>
      </c>
      <c r="Q26" s="22">
        <v>5</v>
      </c>
      <c r="R26" s="22">
        <v>1</v>
      </c>
      <c r="S26" s="22">
        <v>5</v>
      </c>
      <c r="T26" s="22">
        <v>3</v>
      </c>
      <c r="U26" s="22">
        <v>3</v>
      </c>
      <c r="V26" s="22">
        <v>3</v>
      </c>
      <c r="W26" s="22">
        <v>3</v>
      </c>
      <c r="X26" s="22">
        <v>4</v>
      </c>
      <c r="Y26" s="22">
        <v>4</v>
      </c>
      <c r="Z26" s="22">
        <v>4</v>
      </c>
      <c r="AA26" s="22">
        <v>4</v>
      </c>
      <c r="AB26" s="22">
        <v>4</v>
      </c>
      <c r="AC26" s="22">
        <v>4</v>
      </c>
      <c r="AD26" s="22">
        <v>2</v>
      </c>
      <c r="AE26" s="22">
        <v>4</v>
      </c>
      <c r="AF26" s="22">
        <v>4</v>
      </c>
      <c r="AG26" s="22">
        <v>4</v>
      </c>
      <c r="AH26" s="22">
        <v>4</v>
      </c>
      <c r="AI26" s="22">
        <v>1</v>
      </c>
      <c r="AJ26" s="22">
        <v>1</v>
      </c>
      <c r="AK26" s="22">
        <v>1</v>
      </c>
      <c r="AL26" s="22">
        <v>3</v>
      </c>
      <c r="AM26" s="14" t="s">
        <v>100</v>
      </c>
      <c r="AN26" s="15"/>
    </row>
    <row r="27" spans="1:40">
      <c r="A27" s="19" t="s">
        <v>168</v>
      </c>
      <c r="B27" s="22">
        <v>26</v>
      </c>
      <c r="C27" s="25">
        <v>46245.726699212959</v>
      </c>
      <c r="D27" s="14" t="s">
        <v>81</v>
      </c>
      <c r="E27" s="14" t="s">
        <v>63</v>
      </c>
      <c r="F27" s="14" t="s">
        <v>63</v>
      </c>
      <c r="G27" s="22">
        <v>5</v>
      </c>
      <c r="H27" s="22">
        <v>1</v>
      </c>
      <c r="I27" s="22">
        <v>1</v>
      </c>
      <c r="J27" s="22">
        <v>5</v>
      </c>
      <c r="K27" s="22">
        <v>1</v>
      </c>
      <c r="L27" s="22">
        <v>3</v>
      </c>
      <c r="M27" s="22">
        <v>3</v>
      </c>
      <c r="N27" s="22">
        <v>5</v>
      </c>
      <c r="O27" s="22">
        <v>5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5</v>
      </c>
      <c r="V27" s="22">
        <v>5</v>
      </c>
      <c r="W27" s="22">
        <v>5</v>
      </c>
      <c r="X27" s="22">
        <v>3</v>
      </c>
      <c r="Y27" s="22">
        <v>5</v>
      </c>
      <c r="Z27" s="22">
        <v>5</v>
      </c>
      <c r="AA27" s="22">
        <v>5</v>
      </c>
      <c r="AB27" s="22">
        <v>1</v>
      </c>
      <c r="AC27" s="22">
        <v>1</v>
      </c>
      <c r="AD27" s="22">
        <v>1</v>
      </c>
      <c r="AE27" s="22">
        <v>5</v>
      </c>
      <c r="AF27" s="22">
        <v>5</v>
      </c>
      <c r="AG27" s="22">
        <v>5</v>
      </c>
      <c r="AH27" s="22">
        <v>5</v>
      </c>
      <c r="AI27" s="22">
        <v>5</v>
      </c>
      <c r="AJ27" s="22">
        <v>1</v>
      </c>
      <c r="AK27" s="22">
        <v>1</v>
      </c>
      <c r="AL27" s="22">
        <v>3</v>
      </c>
      <c r="AM27" s="14" t="s">
        <v>101</v>
      </c>
      <c r="AN27" s="15"/>
    </row>
    <row r="28" spans="1:40">
      <c r="A28" s="19" t="s">
        <v>168</v>
      </c>
      <c r="B28" s="22">
        <v>27</v>
      </c>
      <c r="C28" s="25">
        <v>46245.735614618054</v>
      </c>
      <c r="D28" s="14" t="s">
        <v>81</v>
      </c>
      <c r="E28" s="14" t="s">
        <v>63</v>
      </c>
      <c r="F28" s="14" t="s">
        <v>63</v>
      </c>
      <c r="G28" s="22">
        <v>4</v>
      </c>
      <c r="H28" s="22">
        <v>4</v>
      </c>
      <c r="I28" s="22">
        <v>2</v>
      </c>
      <c r="J28" s="22">
        <v>2</v>
      </c>
      <c r="K28" s="22">
        <v>3</v>
      </c>
      <c r="L28" s="22">
        <v>3</v>
      </c>
      <c r="M28" s="22">
        <v>3</v>
      </c>
      <c r="N28" s="22">
        <v>5</v>
      </c>
      <c r="O28" s="22">
        <v>5</v>
      </c>
      <c r="P28" s="22">
        <v>2</v>
      </c>
      <c r="Q28" s="22">
        <v>3</v>
      </c>
      <c r="R28" s="22">
        <v>3</v>
      </c>
      <c r="S28" s="22">
        <v>3</v>
      </c>
      <c r="T28" s="22">
        <v>2</v>
      </c>
      <c r="U28" s="22">
        <v>3</v>
      </c>
      <c r="V28" s="22">
        <v>3</v>
      </c>
      <c r="W28" s="22">
        <v>3</v>
      </c>
      <c r="X28" s="22">
        <v>4</v>
      </c>
      <c r="Y28" s="22">
        <v>4</v>
      </c>
      <c r="Z28" s="22">
        <v>4</v>
      </c>
      <c r="AA28" s="22">
        <v>4</v>
      </c>
      <c r="AB28" s="22">
        <v>4</v>
      </c>
      <c r="AC28" s="22">
        <v>3</v>
      </c>
      <c r="AD28" s="22">
        <v>3</v>
      </c>
      <c r="AE28" s="22">
        <v>3</v>
      </c>
      <c r="AF28" s="22">
        <v>3</v>
      </c>
      <c r="AG28" s="22">
        <v>4</v>
      </c>
      <c r="AH28" s="22">
        <v>3</v>
      </c>
      <c r="AI28" s="22">
        <v>4</v>
      </c>
      <c r="AJ28" s="22">
        <v>3</v>
      </c>
      <c r="AK28" s="22">
        <v>3</v>
      </c>
      <c r="AL28" s="22">
        <v>3</v>
      </c>
      <c r="AM28" s="14" t="s">
        <v>102</v>
      </c>
      <c r="AN28" s="15"/>
    </row>
    <row r="29" spans="1:40">
      <c r="A29" s="19" t="s">
        <v>168</v>
      </c>
      <c r="B29" s="22">
        <v>28</v>
      </c>
      <c r="C29" s="25">
        <v>46245.978698182866</v>
      </c>
      <c r="D29" s="14" t="s">
        <v>97</v>
      </c>
      <c r="E29" s="14" t="s">
        <v>63</v>
      </c>
      <c r="F29" s="14" t="s">
        <v>63</v>
      </c>
      <c r="G29" s="22">
        <v>5</v>
      </c>
      <c r="H29" s="22">
        <v>5</v>
      </c>
      <c r="I29" s="22">
        <v>1</v>
      </c>
      <c r="J29" s="22">
        <v>5</v>
      </c>
      <c r="K29" s="22">
        <v>2</v>
      </c>
      <c r="L29" s="22">
        <v>3</v>
      </c>
      <c r="M29" s="22">
        <v>1</v>
      </c>
      <c r="N29" s="22">
        <v>5</v>
      </c>
      <c r="O29" s="22">
        <v>4</v>
      </c>
      <c r="P29" s="22">
        <v>3</v>
      </c>
      <c r="Q29" s="22">
        <v>1</v>
      </c>
      <c r="R29" s="22">
        <v>1</v>
      </c>
      <c r="S29" s="22">
        <v>4</v>
      </c>
      <c r="T29" s="22">
        <v>1</v>
      </c>
      <c r="U29" s="22">
        <v>5</v>
      </c>
      <c r="V29" s="22">
        <v>1</v>
      </c>
      <c r="W29" s="22">
        <v>5</v>
      </c>
      <c r="X29" s="22">
        <v>5</v>
      </c>
      <c r="Y29" s="22">
        <v>5</v>
      </c>
      <c r="Z29" s="22">
        <v>5</v>
      </c>
      <c r="AA29" s="22">
        <v>5</v>
      </c>
      <c r="AB29" s="22">
        <v>4</v>
      </c>
      <c r="AC29" s="22">
        <v>4</v>
      </c>
      <c r="AD29" s="22">
        <v>1</v>
      </c>
      <c r="AE29" s="22">
        <v>3</v>
      </c>
      <c r="AF29" s="22">
        <v>2</v>
      </c>
      <c r="AG29" s="22">
        <v>5</v>
      </c>
      <c r="AH29" s="22">
        <v>5</v>
      </c>
      <c r="AI29" s="22">
        <v>1</v>
      </c>
      <c r="AJ29" s="22">
        <v>1</v>
      </c>
      <c r="AK29" s="22">
        <v>1</v>
      </c>
      <c r="AL29" s="22">
        <v>5</v>
      </c>
      <c r="AM29" s="14" t="s">
        <v>103</v>
      </c>
      <c r="AN29" s="15"/>
    </row>
    <row r="30" spans="1:40">
      <c r="A30" s="19" t="s">
        <v>168</v>
      </c>
      <c r="B30" s="22">
        <v>29</v>
      </c>
      <c r="C30" s="25">
        <v>46246.389822210651</v>
      </c>
      <c r="D30" s="14" t="s">
        <v>77</v>
      </c>
      <c r="E30" s="14" t="s">
        <v>71</v>
      </c>
      <c r="F30" s="14" t="s">
        <v>71</v>
      </c>
      <c r="G30" s="22">
        <v>4</v>
      </c>
      <c r="H30" s="22">
        <v>4</v>
      </c>
      <c r="I30" s="22">
        <v>3</v>
      </c>
      <c r="J30" s="22">
        <v>4</v>
      </c>
      <c r="K30" s="22">
        <v>3</v>
      </c>
      <c r="L30" s="22">
        <v>3</v>
      </c>
      <c r="M30" s="22">
        <v>3</v>
      </c>
      <c r="N30" s="22">
        <v>4</v>
      </c>
      <c r="O30" s="22">
        <v>3</v>
      </c>
      <c r="P30" s="22">
        <v>2</v>
      </c>
      <c r="Q30" s="22">
        <v>3</v>
      </c>
      <c r="R30" s="22">
        <v>2</v>
      </c>
      <c r="S30" s="22">
        <v>3</v>
      </c>
      <c r="T30" s="22">
        <v>2</v>
      </c>
      <c r="U30" s="22">
        <v>4</v>
      </c>
      <c r="V30" s="22">
        <v>3</v>
      </c>
      <c r="W30" s="22">
        <v>4</v>
      </c>
      <c r="X30" s="22">
        <v>3</v>
      </c>
      <c r="Y30" s="22">
        <v>4</v>
      </c>
      <c r="Z30" s="22">
        <v>4</v>
      </c>
      <c r="AA30" s="22">
        <v>3</v>
      </c>
      <c r="AB30" s="22">
        <v>3</v>
      </c>
      <c r="AC30" s="22">
        <v>3</v>
      </c>
      <c r="AD30" s="22">
        <v>2</v>
      </c>
      <c r="AE30" s="22">
        <v>3</v>
      </c>
      <c r="AF30" s="22">
        <v>3</v>
      </c>
      <c r="AG30" s="22">
        <v>4</v>
      </c>
      <c r="AH30" s="22">
        <v>4</v>
      </c>
      <c r="AI30" s="22">
        <v>3</v>
      </c>
      <c r="AJ30" s="22">
        <v>2</v>
      </c>
      <c r="AK30" s="22">
        <v>2</v>
      </c>
      <c r="AL30" s="22">
        <v>4</v>
      </c>
      <c r="AM30" s="14" t="s">
        <v>104</v>
      </c>
      <c r="AN30" s="15"/>
    </row>
    <row r="31" spans="1:40">
      <c r="A31" s="19" t="s">
        <v>168</v>
      </c>
      <c r="B31" s="22">
        <v>30</v>
      </c>
      <c r="C31" s="25">
        <v>46246.391639884256</v>
      </c>
      <c r="D31" s="14" t="s">
        <v>105</v>
      </c>
      <c r="E31" s="14" t="s">
        <v>63</v>
      </c>
      <c r="F31" s="14" t="s">
        <v>63</v>
      </c>
      <c r="G31" s="22">
        <v>5</v>
      </c>
      <c r="H31" s="22">
        <v>5</v>
      </c>
      <c r="I31" s="22">
        <v>1</v>
      </c>
      <c r="J31" s="22">
        <v>3</v>
      </c>
      <c r="K31" s="22">
        <v>3</v>
      </c>
      <c r="L31" s="22">
        <v>3</v>
      </c>
      <c r="M31" s="22">
        <v>1</v>
      </c>
      <c r="N31" s="22">
        <v>4</v>
      </c>
      <c r="O31" s="22">
        <v>4</v>
      </c>
      <c r="P31" s="22">
        <v>3</v>
      </c>
      <c r="Q31" s="22">
        <v>2</v>
      </c>
      <c r="R31" s="22">
        <v>1</v>
      </c>
      <c r="S31" s="22">
        <v>4</v>
      </c>
      <c r="T31" s="22">
        <v>3</v>
      </c>
      <c r="U31" s="22">
        <v>3</v>
      </c>
      <c r="V31" s="22">
        <v>3</v>
      </c>
      <c r="W31" s="22">
        <v>3</v>
      </c>
      <c r="X31" s="22">
        <v>3</v>
      </c>
      <c r="Y31" s="22">
        <v>4</v>
      </c>
      <c r="Z31" s="22">
        <v>3</v>
      </c>
      <c r="AA31" s="22">
        <v>2</v>
      </c>
      <c r="AB31" s="22">
        <v>3</v>
      </c>
      <c r="AC31" s="22">
        <v>3</v>
      </c>
      <c r="AD31" s="22">
        <v>2</v>
      </c>
      <c r="AE31" s="22">
        <v>4</v>
      </c>
      <c r="AF31" s="22">
        <v>4</v>
      </c>
      <c r="AG31" s="22">
        <v>4</v>
      </c>
      <c r="AH31" s="22">
        <v>4</v>
      </c>
      <c r="AI31" s="22">
        <v>4</v>
      </c>
      <c r="AJ31" s="22">
        <v>2</v>
      </c>
      <c r="AK31" s="22">
        <v>1</v>
      </c>
      <c r="AL31" s="22">
        <v>3</v>
      </c>
      <c r="AM31" s="14" t="s">
        <v>106</v>
      </c>
      <c r="AN31" s="15"/>
    </row>
    <row r="32" spans="1:40">
      <c r="A32" s="19" t="s">
        <v>168</v>
      </c>
      <c r="B32" s="22">
        <v>31</v>
      </c>
      <c r="C32" s="25">
        <v>46246.585121168981</v>
      </c>
      <c r="D32" s="14" t="s">
        <v>105</v>
      </c>
      <c r="E32" s="14" t="s">
        <v>63</v>
      </c>
      <c r="F32" s="14" t="s">
        <v>63</v>
      </c>
      <c r="G32" s="22">
        <v>5</v>
      </c>
      <c r="H32" s="22">
        <v>4</v>
      </c>
      <c r="I32" s="22">
        <v>1</v>
      </c>
      <c r="J32" s="22">
        <v>3</v>
      </c>
      <c r="K32" s="22">
        <v>3</v>
      </c>
      <c r="L32" s="22">
        <v>3</v>
      </c>
      <c r="M32" s="22">
        <v>2</v>
      </c>
      <c r="N32" s="22">
        <v>4</v>
      </c>
      <c r="O32" s="22">
        <v>3</v>
      </c>
      <c r="P32" s="22">
        <v>2</v>
      </c>
      <c r="Q32" s="22">
        <v>2</v>
      </c>
      <c r="R32" s="22">
        <v>1</v>
      </c>
      <c r="S32" s="22">
        <v>3</v>
      </c>
      <c r="T32" s="22">
        <v>2</v>
      </c>
      <c r="U32" s="22">
        <v>4</v>
      </c>
      <c r="V32" s="22">
        <v>3</v>
      </c>
      <c r="W32" s="22">
        <v>5</v>
      </c>
      <c r="X32" s="22">
        <v>3</v>
      </c>
      <c r="Y32" s="22">
        <v>4</v>
      </c>
      <c r="Z32" s="22">
        <v>4</v>
      </c>
      <c r="AA32" s="22">
        <v>4</v>
      </c>
      <c r="AB32" s="22">
        <v>4</v>
      </c>
      <c r="AC32" s="22">
        <v>4</v>
      </c>
      <c r="AD32" s="22">
        <v>4</v>
      </c>
      <c r="AE32" s="22">
        <v>4</v>
      </c>
      <c r="AF32" s="22">
        <v>3</v>
      </c>
      <c r="AG32" s="22">
        <v>4</v>
      </c>
      <c r="AH32" s="22">
        <v>4</v>
      </c>
      <c r="AI32" s="22">
        <v>1</v>
      </c>
      <c r="AJ32" s="22">
        <v>1</v>
      </c>
      <c r="AK32" s="22">
        <v>1</v>
      </c>
      <c r="AL32" s="22">
        <v>4</v>
      </c>
      <c r="AM32" s="14" t="s">
        <v>75</v>
      </c>
      <c r="AN32" s="15"/>
    </row>
    <row r="33" spans="1:40">
      <c r="A33" s="19" t="s">
        <v>168</v>
      </c>
      <c r="B33" s="22">
        <v>32</v>
      </c>
      <c r="C33" s="25">
        <v>46246.589969745371</v>
      </c>
      <c r="D33" s="14" t="s">
        <v>74</v>
      </c>
      <c r="E33" s="14" t="s">
        <v>65</v>
      </c>
      <c r="F33" s="14" t="s">
        <v>65</v>
      </c>
      <c r="G33" s="22">
        <v>5</v>
      </c>
      <c r="H33" s="22">
        <v>5</v>
      </c>
      <c r="I33" s="22">
        <v>4</v>
      </c>
      <c r="J33" s="22">
        <v>3</v>
      </c>
      <c r="K33" s="22">
        <v>3</v>
      </c>
      <c r="L33" s="22">
        <v>4</v>
      </c>
      <c r="M33" s="22">
        <v>3</v>
      </c>
      <c r="N33" s="22">
        <v>4</v>
      </c>
      <c r="O33" s="22">
        <v>3</v>
      </c>
      <c r="P33" s="22">
        <v>4</v>
      </c>
      <c r="Q33" s="22">
        <v>4</v>
      </c>
      <c r="R33" s="22">
        <v>3</v>
      </c>
      <c r="S33" s="22">
        <v>3</v>
      </c>
      <c r="T33" s="22">
        <v>4</v>
      </c>
      <c r="U33" s="22">
        <v>4</v>
      </c>
      <c r="V33" s="22">
        <v>4</v>
      </c>
      <c r="W33" s="22">
        <v>4</v>
      </c>
      <c r="X33" s="22">
        <v>3</v>
      </c>
      <c r="Y33" s="22">
        <v>5</v>
      </c>
      <c r="Z33" s="22">
        <v>4</v>
      </c>
      <c r="AA33" s="22">
        <v>5</v>
      </c>
      <c r="AB33" s="22">
        <v>5</v>
      </c>
      <c r="AC33" s="22">
        <v>5</v>
      </c>
      <c r="AD33" s="22">
        <v>4</v>
      </c>
      <c r="AE33" s="22">
        <v>5</v>
      </c>
      <c r="AF33" s="22">
        <v>5</v>
      </c>
      <c r="AG33" s="22">
        <v>5</v>
      </c>
      <c r="AH33" s="22">
        <v>5</v>
      </c>
      <c r="AI33" s="22">
        <v>5</v>
      </c>
      <c r="AJ33" s="22">
        <v>2</v>
      </c>
      <c r="AK33" s="22">
        <v>2</v>
      </c>
      <c r="AL33" s="22">
        <v>2</v>
      </c>
      <c r="AM33" s="14" t="s">
        <v>75</v>
      </c>
      <c r="AN33" s="15"/>
    </row>
    <row r="34" spans="1:40">
      <c r="A34" s="19" t="s">
        <v>168</v>
      </c>
      <c r="B34" s="22">
        <v>33</v>
      </c>
      <c r="C34" s="25">
        <v>46246.590778518519</v>
      </c>
      <c r="D34" s="14" t="s">
        <v>74</v>
      </c>
      <c r="E34" s="14" t="s">
        <v>65</v>
      </c>
      <c r="F34" s="14" t="s">
        <v>65</v>
      </c>
      <c r="G34" s="22">
        <v>4</v>
      </c>
      <c r="H34" s="22">
        <v>5</v>
      </c>
      <c r="I34" s="22">
        <v>4</v>
      </c>
      <c r="J34" s="22">
        <v>5</v>
      </c>
      <c r="K34" s="22">
        <v>4</v>
      </c>
      <c r="L34" s="22">
        <v>2</v>
      </c>
      <c r="M34" s="22">
        <v>2</v>
      </c>
      <c r="N34" s="22">
        <v>5</v>
      </c>
      <c r="O34" s="22">
        <v>5</v>
      </c>
      <c r="P34" s="22">
        <v>1</v>
      </c>
      <c r="Q34" s="22">
        <v>3</v>
      </c>
      <c r="R34" s="22">
        <v>2</v>
      </c>
      <c r="S34" s="22">
        <v>5</v>
      </c>
      <c r="T34" s="22">
        <v>1</v>
      </c>
      <c r="U34" s="22">
        <v>5</v>
      </c>
      <c r="V34" s="22">
        <v>1</v>
      </c>
      <c r="W34" s="22">
        <v>5</v>
      </c>
      <c r="X34" s="22">
        <v>5</v>
      </c>
      <c r="Y34" s="22">
        <v>5</v>
      </c>
      <c r="Z34" s="22">
        <v>5</v>
      </c>
      <c r="AA34" s="22">
        <v>5</v>
      </c>
      <c r="AB34" s="22">
        <v>5</v>
      </c>
      <c r="AC34" s="22">
        <v>5</v>
      </c>
      <c r="AD34" s="22">
        <v>1</v>
      </c>
      <c r="AE34" s="22">
        <v>5</v>
      </c>
      <c r="AF34" s="22">
        <v>2</v>
      </c>
      <c r="AG34" s="22">
        <v>4</v>
      </c>
      <c r="AH34" s="22">
        <v>4</v>
      </c>
      <c r="AI34" s="22">
        <v>3</v>
      </c>
      <c r="AJ34" s="22">
        <v>3</v>
      </c>
      <c r="AK34" s="22">
        <v>2</v>
      </c>
      <c r="AL34" s="22">
        <v>4</v>
      </c>
      <c r="AM34" s="14" t="s">
        <v>107</v>
      </c>
      <c r="AN34" s="15"/>
    </row>
    <row r="35" spans="1:40">
      <c r="A35" s="19" t="s">
        <v>168</v>
      </c>
      <c r="B35" s="22">
        <v>34</v>
      </c>
      <c r="C35" s="25">
        <v>46246.596323449077</v>
      </c>
      <c r="D35" s="14" t="s">
        <v>74</v>
      </c>
      <c r="E35" s="14" t="s">
        <v>65</v>
      </c>
      <c r="F35" s="14" t="s">
        <v>65</v>
      </c>
      <c r="G35" s="22">
        <v>5</v>
      </c>
      <c r="H35" s="22">
        <v>5</v>
      </c>
      <c r="I35" s="22">
        <v>2</v>
      </c>
      <c r="J35" s="22">
        <v>4</v>
      </c>
      <c r="K35" s="22">
        <v>3</v>
      </c>
      <c r="L35" s="22">
        <v>3</v>
      </c>
      <c r="M35" s="22">
        <v>3</v>
      </c>
      <c r="N35" s="22">
        <v>5</v>
      </c>
      <c r="O35" s="22">
        <v>4</v>
      </c>
      <c r="P35" s="22">
        <v>3</v>
      </c>
      <c r="Q35" s="22">
        <v>3</v>
      </c>
      <c r="R35" s="22">
        <v>3</v>
      </c>
      <c r="S35" s="22">
        <v>3</v>
      </c>
      <c r="T35" s="22">
        <v>1</v>
      </c>
      <c r="U35" s="22">
        <v>4</v>
      </c>
      <c r="V35" s="22">
        <v>4</v>
      </c>
      <c r="W35" s="22">
        <v>4</v>
      </c>
      <c r="X35" s="22">
        <v>3</v>
      </c>
      <c r="Y35" s="22">
        <v>5</v>
      </c>
      <c r="Z35" s="22">
        <v>4</v>
      </c>
      <c r="AA35" s="22">
        <v>5</v>
      </c>
      <c r="AB35" s="22">
        <v>5</v>
      </c>
      <c r="AC35" s="22">
        <v>5</v>
      </c>
      <c r="AD35" s="22">
        <v>1</v>
      </c>
      <c r="AE35" s="22">
        <v>5</v>
      </c>
      <c r="AF35" s="22">
        <v>5</v>
      </c>
      <c r="AG35" s="22">
        <v>5</v>
      </c>
      <c r="AH35" s="22">
        <v>5</v>
      </c>
      <c r="AI35" s="22">
        <v>5</v>
      </c>
      <c r="AJ35" s="22">
        <v>1</v>
      </c>
      <c r="AK35" s="22">
        <v>1</v>
      </c>
      <c r="AL35" s="22">
        <v>5</v>
      </c>
      <c r="AM35" s="14" t="s">
        <v>75</v>
      </c>
      <c r="AN35" s="15"/>
    </row>
    <row r="36" spans="1:40">
      <c r="A36" s="19" t="s">
        <v>168</v>
      </c>
      <c r="B36" s="22">
        <v>35</v>
      </c>
      <c r="C36" s="25">
        <v>46246.600970300926</v>
      </c>
      <c r="D36" s="14" t="s">
        <v>97</v>
      </c>
      <c r="E36" s="14" t="s">
        <v>65</v>
      </c>
      <c r="F36" s="14" t="s">
        <v>65</v>
      </c>
      <c r="G36" s="22">
        <v>5</v>
      </c>
      <c r="H36" s="22">
        <v>4</v>
      </c>
      <c r="I36" s="22">
        <v>3</v>
      </c>
      <c r="J36" s="22">
        <v>4</v>
      </c>
      <c r="K36" s="22">
        <v>2</v>
      </c>
      <c r="L36" s="22">
        <v>4</v>
      </c>
      <c r="M36" s="22">
        <v>3</v>
      </c>
      <c r="N36" s="22">
        <v>4</v>
      </c>
      <c r="O36" s="22">
        <v>4</v>
      </c>
      <c r="P36" s="22">
        <v>3</v>
      </c>
      <c r="Q36" s="22">
        <v>4</v>
      </c>
      <c r="R36" s="22">
        <v>3</v>
      </c>
      <c r="S36" s="22">
        <v>3</v>
      </c>
      <c r="T36" s="22">
        <v>3</v>
      </c>
      <c r="U36" s="22">
        <v>3</v>
      </c>
      <c r="V36" s="22">
        <v>3</v>
      </c>
      <c r="W36" s="22">
        <v>4</v>
      </c>
      <c r="X36" s="22">
        <v>4</v>
      </c>
      <c r="Y36" s="22">
        <v>4</v>
      </c>
      <c r="Z36" s="22">
        <v>4</v>
      </c>
      <c r="AA36" s="22">
        <v>3</v>
      </c>
      <c r="AB36" s="22">
        <v>3</v>
      </c>
      <c r="AC36" s="22">
        <v>3</v>
      </c>
      <c r="AD36" s="22">
        <v>4</v>
      </c>
      <c r="AE36" s="22">
        <v>3</v>
      </c>
      <c r="AF36" s="22">
        <v>3</v>
      </c>
      <c r="AG36" s="22">
        <v>4</v>
      </c>
      <c r="AH36" s="22">
        <v>4</v>
      </c>
      <c r="AI36" s="22">
        <v>4</v>
      </c>
      <c r="AJ36" s="22">
        <v>3</v>
      </c>
      <c r="AK36" s="22">
        <v>3</v>
      </c>
      <c r="AL36" s="22">
        <v>4</v>
      </c>
      <c r="AM36" s="14" t="s">
        <v>108</v>
      </c>
      <c r="AN36" s="15"/>
    </row>
    <row r="37" spans="1:40">
      <c r="A37" s="19" t="s">
        <v>168</v>
      </c>
      <c r="B37" s="22">
        <v>36</v>
      </c>
      <c r="C37" s="25">
        <v>46246.663210150466</v>
      </c>
      <c r="D37" s="14" t="s">
        <v>105</v>
      </c>
      <c r="E37" s="14" t="s">
        <v>71</v>
      </c>
      <c r="F37" s="14" t="s">
        <v>71</v>
      </c>
      <c r="G37" s="22">
        <v>5</v>
      </c>
      <c r="H37" s="22">
        <v>4</v>
      </c>
      <c r="I37" s="22">
        <v>3</v>
      </c>
      <c r="J37" s="22">
        <v>1</v>
      </c>
      <c r="K37" s="22">
        <v>2</v>
      </c>
      <c r="L37" s="22">
        <v>3</v>
      </c>
      <c r="M37" s="22">
        <v>2</v>
      </c>
      <c r="N37" s="22">
        <v>5</v>
      </c>
      <c r="O37" s="22">
        <v>3</v>
      </c>
      <c r="P37" s="22">
        <v>3</v>
      </c>
      <c r="Q37" s="22">
        <v>3</v>
      </c>
      <c r="R37" s="22">
        <v>3</v>
      </c>
      <c r="S37" s="22">
        <v>1</v>
      </c>
      <c r="T37" s="22">
        <v>4</v>
      </c>
      <c r="U37" s="22">
        <v>3</v>
      </c>
      <c r="V37" s="22">
        <v>3</v>
      </c>
      <c r="W37" s="22">
        <v>3</v>
      </c>
      <c r="X37" s="22">
        <v>3</v>
      </c>
      <c r="Y37" s="22">
        <v>3</v>
      </c>
      <c r="Z37" s="22">
        <v>3</v>
      </c>
      <c r="AA37" s="22">
        <v>3</v>
      </c>
      <c r="AB37" s="22">
        <v>3</v>
      </c>
      <c r="AC37" s="22">
        <v>3</v>
      </c>
      <c r="AD37" s="22">
        <v>3</v>
      </c>
      <c r="AE37" s="22">
        <v>3</v>
      </c>
      <c r="AF37" s="22">
        <v>3</v>
      </c>
      <c r="AG37" s="22">
        <v>2</v>
      </c>
      <c r="AH37" s="22">
        <v>2</v>
      </c>
      <c r="AI37" s="22">
        <v>3</v>
      </c>
      <c r="AJ37" s="22">
        <v>3</v>
      </c>
      <c r="AK37" s="22">
        <v>3</v>
      </c>
      <c r="AL37" s="22">
        <v>3</v>
      </c>
      <c r="AM37" s="14" t="s">
        <v>109</v>
      </c>
      <c r="AN37" s="15"/>
    </row>
    <row r="38" spans="1:40">
      <c r="A38" s="19" t="s">
        <v>168</v>
      </c>
      <c r="B38" s="22">
        <v>37</v>
      </c>
      <c r="C38" s="25">
        <v>46246.738662719908</v>
      </c>
      <c r="D38" s="14" t="s">
        <v>110</v>
      </c>
      <c r="E38" s="14" t="s">
        <v>65</v>
      </c>
      <c r="F38" s="14" t="s">
        <v>65</v>
      </c>
      <c r="G38" s="22">
        <v>4</v>
      </c>
      <c r="H38" s="22">
        <v>5</v>
      </c>
      <c r="I38" s="22">
        <v>1</v>
      </c>
      <c r="J38" s="22">
        <v>2</v>
      </c>
      <c r="K38" s="22">
        <v>3</v>
      </c>
      <c r="L38" s="22">
        <v>3</v>
      </c>
      <c r="M38" s="22">
        <v>2</v>
      </c>
      <c r="N38" s="22">
        <v>4</v>
      </c>
      <c r="O38" s="22">
        <v>3</v>
      </c>
      <c r="P38" s="22">
        <v>2</v>
      </c>
      <c r="Q38" s="22">
        <v>1</v>
      </c>
      <c r="R38" s="22">
        <v>1</v>
      </c>
      <c r="S38" s="22">
        <v>4</v>
      </c>
      <c r="T38" s="22">
        <v>2</v>
      </c>
      <c r="U38" s="22">
        <v>3</v>
      </c>
      <c r="V38" s="22">
        <v>2</v>
      </c>
      <c r="W38" s="22">
        <v>3</v>
      </c>
      <c r="X38" s="22">
        <v>4</v>
      </c>
      <c r="Y38" s="22">
        <v>4</v>
      </c>
      <c r="Z38" s="22">
        <v>3</v>
      </c>
      <c r="AA38" s="22">
        <v>4</v>
      </c>
      <c r="AB38" s="22">
        <v>4</v>
      </c>
      <c r="AC38" s="22">
        <v>4</v>
      </c>
      <c r="AD38" s="22">
        <v>1</v>
      </c>
      <c r="AE38" s="22">
        <v>3</v>
      </c>
      <c r="AF38" s="22">
        <v>3</v>
      </c>
      <c r="AG38" s="22">
        <v>5</v>
      </c>
      <c r="AH38" s="22">
        <v>5</v>
      </c>
      <c r="AI38" s="22">
        <v>2</v>
      </c>
      <c r="AJ38" s="22">
        <v>1</v>
      </c>
      <c r="AK38" s="22">
        <v>1</v>
      </c>
      <c r="AL38" s="22">
        <v>5</v>
      </c>
      <c r="AM38" s="14" t="s">
        <v>111</v>
      </c>
      <c r="AN38" s="15"/>
    </row>
    <row r="39" spans="1:40">
      <c r="A39" s="19" t="s">
        <v>168</v>
      </c>
      <c r="B39" s="22">
        <v>38</v>
      </c>
      <c r="C39" s="25">
        <v>46246.740712256942</v>
      </c>
      <c r="D39" s="14" t="s">
        <v>68</v>
      </c>
      <c r="E39" s="14" t="s">
        <v>63</v>
      </c>
      <c r="F39" s="14" t="s">
        <v>63</v>
      </c>
      <c r="G39" s="22">
        <v>1</v>
      </c>
      <c r="H39" s="22">
        <v>3</v>
      </c>
      <c r="I39" s="22">
        <v>3</v>
      </c>
      <c r="J39" s="22">
        <v>2</v>
      </c>
      <c r="K39" s="22">
        <v>3</v>
      </c>
      <c r="L39" s="22">
        <v>3</v>
      </c>
      <c r="M39" s="22">
        <v>3</v>
      </c>
      <c r="N39" s="22">
        <v>3</v>
      </c>
      <c r="O39" s="22">
        <v>3</v>
      </c>
      <c r="P39" s="22">
        <v>3</v>
      </c>
      <c r="Q39" s="22">
        <v>3</v>
      </c>
      <c r="R39" s="22">
        <v>4</v>
      </c>
      <c r="S39" s="22">
        <v>3</v>
      </c>
      <c r="T39" s="22">
        <v>2</v>
      </c>
      <c r="U39" s="22">
        <v>3</v>
      </c>
      <c r="V39" s="22">
        <v>3</v>
      </c>
      <c r="W39" s="22">
        <v>3</v>
      </c>
      <c r="X39" s="22">
        <v>2</v>
      </c>
      <c r="Y39" s="22">
        <v>3</v>
      </c>
      <c r="Z39" s="22">
        <v>3</v>
      </c>
      <c r="AA39" s="22">
        <v>2</v>
      </c>
      <c r="AB39" s="22">
        <v>2</v>
      </c>
      <c r="AC39" s="22">
        <v>3</v>
      </c>
      <c r="AD39" s="22">
        <v>3</v>
      </c>
      <c r="AE39" s="22">
        <v>4</v>
      </c>
      <c r="AF39" s="22">
        <v>4</v>
      </c>
      <c r="AG39" s="22">
        <v>4</v>
      </c>
      <c r="AH39" s="22">
        <v>3</v>
      </c>
      <c r="AI39" s="22">
        <v>4</v>
      </c>
      <c r="AJ39" s="22">
        <v>2</v>
      </c>
      <c r="AK39" s="22">
        <v>2</v>
      </c>
      <c r="AL39" s="22">
        <v>4</v>
      </c>
      <c r="AM39" s="14" t="s">
        <v>112</v>
      </c>
      <c r="AN39" s="15"/>
    </row>
    <row r="40" spans="1:40">
      <c r="A40" s="19" t="s">
        <v>168</v>
      </c>
      <c r="B40" s="22">
        <v>39</v>
      </c>
      <c r="C40" s="25">
        <v>46246.754480960648</v>
      </c>
      <c r="D40" s="14" t="s">
        <v>113</v>
      </c>
      <c r="E40" s="14" t="s">
        <v>71</v>
      </c>
      <c r="F40" s="14" t="s">
        <v>71</v>
      </c>
      <c r="G40" s="22">
        <v>5</v>
      </c>
      <c r="H40" s="22">
        <v>5</v>
      </c>
      <c r="I40" s="22">
        <v>1</v>
      </c>
      <c r="J40" s="22">
        <v>4</v>
      </c>
      <c r="K40" s="22">
        <v>5</v>
      </c>
      <c r="L40" s="22">
        <v>4</v>
      </c>
      <c r="M40" s="22">
        <v>3</v>
      </c>
      <c r="N40" s="22">
        <v>5</v>
      </c>
      <c r="O40" s="22">
        <v>5</v>
      </c>
      <c r="P40" s="22">
        <v>3</v>
      </c>
      <c r="Q40" s="22">
        <v>3</v>
      </c>
      <c r="R40" s="22">
        <v>4</v>
      </c>
      <c r="S40" s="22">
        <v>3</v>
      </c>
      <c r="T40" s="22">
        <v>4</v>
      </c>
      <c r="U40" s="22">
        <v>5</v>
      </c>
      <c r="V40" s="22">
        <v>5</v>
      </c>
      <c r="W40" s="22">
        <v>5</v>
      </c>
      <c r="X40" s="22">
        <v>5</v>
      </c>
      <c r="Y40" s="22">
        <v>5</v>
      </c>
      <c r="Z40" s="22">
        <v>5</v>
      </c>
      <c r="AA40" s="22">
        <v>5</v>
      </c>
      <c r="AB40" s="22">
        <v>4</v>
      </c>
      <c r="AC40" s="22">
        <v>4</v>
      </c>
      <c r="AD40" s="22">
        <v>4</v>
      </c>
      <c r="AE40" s="22">
        <v>3</v>
      </c>
      <c r="AF40" s="22">
        <v>3</v>
      </c>
      <c r="AG40" s="22">
        <v>5</v>
      </c>
      <c r="AH40" s="22">
        <v>5</v>
      </c>
      <c r="AI40" s="22">
        <v>1</v>
      </c>
      <c r="AJ40" s="22">
        <v>1</v>
      </c>
      <c r="AK40" s="22">
        <v>1</v>
      </c>
      <c r="AL40" s="22">
        <v>5</v>
      </c>
      <c r="AM40" s="14" t="s">
        <v>114</v>
      </c>
      <c r="AN40" s="15"/>
    </row>
    <row r="41" spans="1:40">
      <c r="A41" s="19" t="s">
        <v>168</v>
      </c>
      <c r="B41" s="22">
        <v>40</v>
      </c>
      <c r="C41" s="25">
        <v>46246.757511493051</v>
      </c>
      <c r="D41" s="14" t="s">
        <v>68</v>
      </c>
      <c r="E41" s="14" t="s">
        <v>63</v>
      </c>
      <c r="F41" s="14" t="s">
        <v>63</v>
      </c>
      <c r="G41" s="22">
        <v>3</v>
      </c>
      <c r="H41" s="22">
        <v>3</v>
      </c>
      <c r="I41" s="22">
        <v>3</v>
      </c>
      <c r="J41" s="22">
        <v>3</v>
      </c>
      <c r="K41" s="22">
        <v>4</v>
      </c>
      <c r="L41" s="22">
        <v>4</v>
      </c>
      <c r="M41" s="22">
        <v>4</v>
      </c>
      <c r="N41" s="22">
        <v>3</v>
      </c>
      <c r="O41" s="22">
        <v>3</v>
      </c>
      <c r="P41" s="22">
        <v>4</v>
      </c>
      <c r="Q41" s="22">
        <v>4</v>
      </c>
      <c r="R41" s="22">
        <v>4</v>
      </c>
      <c r="S41" s="22">
        <v>3</v>
      </c>
      <c r="T41" s="22">
        <v>3</v>
      </c>
      <c r="U41" s="22">
        <v>3</v>
      </c>
      <c r="V41" s="22">
        <v>4</v>
      </c>
      <c r="W41" s="22">
        <v>4</v>
      </c>
      <c r="X41" s="22">
        <v>3</v>
      </c>
      <c r="Y41" s="22">
        <v>3</v>
      </c>
      <c r="Z41" s="22">
        <v>3</v>
      </c>
      <c r="AA41" s="22">
        <v>3</v>
      </c>
      <c r="AB41" s="22">
        <v>4</v>
      </c>
      <c r="AC41" s="22">
        <v>3</v>
      </c>
      <c r="AD41" s="22">
        <v>4</v>
      </c>
      <c r="AE41" s="22">
        <v>3</v>
      </c>
      <c r="AF41" s="22">
        <v>3</v>
      </c>
      <c r="AG41" s="22">
        <v>4</v>
      </c>
      <c r="AH41" s="22">
        <v>3</v>
      </c>
      <c r="AI41" s="22">
        <v>4</v>
      </c>
      <c r="AJ41" s="22">
        <v>2</v>
      </c>
      <c r="AK41" s="22">
        <v>4</v>
      </c>
      <c r="AL41" s="22">
        <v>3</v>
      </c>
      <c r="AM41" s="14" t="s">
        <v>115</v>
      </c>
      <c r="AN41" s="15"/>
    </row>
    <row r="42" spans="1:40">
      <c r="A42" s="19" t="s">
        <v>168</v>
      </c>
      <c r="B42" s="22">
        <v>41</v>
      </c>
      <c r="C42" s="25">
        <v>46246.760100057872</v>
      </c>
      <c r="D42" s="14" t="s">
        <v>68</v>
      </c>
      <c r="E42" s="14" t="s">
        <v>63</v>
      </c>
      <c r="F42" s="14" t="s">
        <v>63</v>
      </c>
      <c r="G42" s="22">
        <v>2</v>
      </c>
      <c r="H42" s="22">
        <v>3</v>
      </c>
      <c r="I42" s="22">
        <v>3</v>
      </c>
      <c r="J42" s="22">
        <v>2</v>
      </c>
      <c r="K42" s="22">
        <v>3</v>
      </c>
      <c r="L42" s="22">
        <v>5</v>
      </c>
      <c r="M42" s="22">
        <v>2</v>
      </c>
      <c r="N42" s="22">
        <v>2</v>
      </c>
      <c r="O42" s="22">
        <v>3</v>
      </c>
      <c r="P42" s="22">
        <v>3</v>
      </c>
      <c r="Q42" s="22">
        <v>4</v>
      </c>
      <c r="R42" s="22">
        <v>4</v>
      </c>
      <c r="S42" s="22">
        <v>2</v>
      </c>
      <c r="T42" s="22">
        <v>2</v>
      </c>
      <c r="U42" s="22">
        <v>2</v>
      </c>
      <c r="V42" s="22">
        <v>4</v>
      </c>
      <c r="W42" s="22">
        <v>5</v>
      </c>
      <c r="X42" s="22">
        <v>3</v>
      </c>
      <c r="Y42" s="22">
        <v>3</v>
      </c>
      <c r="Z42" s="22">
        <v>3</v>
      </c>
      <c r="AA42" s="22">
        <v>2</v>
      </c>
      <c r="AB42" s="22">
        <v>2</v>
      </c>
      <c r="AC42" s="22">
        <v>2</v>
      </c>
      <c r="AD42" s="22">
        <v>3</v>
      </c>
      <c r="AE42" s="22">
        <v>3</v>
      </c>
      <c r="AF42" s="22">
        <v>3</v>
      </c>
      <c r="AG42" s="22">
        <v>3</v>
      </c>
      <c r="AH42" s="22">
        <v>1</v>
      </c>
      <c r="AI42" s="22">
        <v>3</v>
      </c>
      <c r="AJ42" s="22">
        <v>2</v>
      </c>
      <c r="AK42" s="22">
        <v>2</v>
      </c>
      <c r="AL42" s="22">
        <v>3</v>
      </c>
      <c r="AM42" s="14" t="s">
        <v>116</v>
      </c>
      <c r="AN42" s="15"/>
    </row>
    <row r="43" spans="1:40">
      <c r="A43" s="19" t="s">
        <v>168</v>
      </c>
      <c r="B43" s="22">
        <v>42</v>
      </c>
      <c r="C43" s="25">
        <v>46246.766900775459</v>
      </c>
      <c r="D43" s="14" t="s">
        <v>110</v>
      </c>
      <c r="E43" s="14" t="s">
        <v>65</v>
      </c>
      <c r="F43" s="14" t="s">
        <v>65</v>
      </c>
      <c r="G43" s="22">
        <v>4</v>
      </c>
      <c r="H43" s="22">
        <v>3</v>
      </c>
      <c r="I43" s="22">
        <v>1</v>
      </c>
      <c r="J43" s="22">
        <v>3</v>
      </c>
      <c r="K43" s="22">
        <v>3</v>
      </c>
      <c r="L43" s="22">
        <v>1</v>
      </c>
      <c r="M43" s="22">
        <v>1</v>
      </c>
      <c r="N43" s="22">
        <v>2</v>
      </c>
      <c r="O43" s="22">
        <v>4</v>
      </c>
      <c r="P43" s="22">
        <v>3</v>
      </c>
      <c r="Q43" s="22">
        <v>2</v>
      </c>
      <c r="R43" s="22">
        <v>2</v>
      </c>
      <c r="S43" s="22">
        <v>3</v>
      </c>
      <c r="T43" s="22">
        <v>1</v>
      </c>
      <c r="U43" s="22">
        <v>3</v>
      </c>
      <c r="V43" s="22">
        <v>2</v>
      </c>
      <c r="W43" s="22">
        <v>3</v>
      </c>
      <c r="X43" s="22">
        <v>4</v>
      </c>
      <c r="Y43" s="22">
        <v>4</v>
      </c>
      <c r="Z43" s="22">
        <v>4</v>
      </c>
      <c r="AA43" s="22">
        <v>4</v>
      </c>
      <c r="AB43" s="22">
        <v>3</v>
      </c>
      <c r="AC43" s="22">
        <v>3</v>
      </c>
      <c r="AD43" s="22">
        <v>1</v>
      </c>
      <c r="AE43" s="22">
        <v>4</v>
      </c>
      <c r="AF43" s="22">
        <v>3</v>
      </c>
      <c r="AG43" s="22">
        <v>4</v>
      </c>
      <c r="AH43" s="22">
        <v>4</v>
      </c>
      <c r="AI43" s="22">
        <v>3</v>
      </c>
      <c r="AJ43" s="22">
        <v>1</v>
      </c>
      <c r="AK43" s="22">
        <v>1</v>
      </c>
      <c r="AL43" s="22">
        <v>2</v>
      </c>
      <c r="AM43" s="14" t="s">
        <v>117</v>
      </c>
      <c r="AN43" s="15"/>
    </row>
    <row r="44" spans="1:40">
      <c r="A44" s="19" t="s">
        <v>168</v>
      </c>
      <c r="B44" s="22">
        <v>43</v>
      </c>
      <c r="C44" s="25">
        <v>46246.787782847226</v>
      </c>
      <c r="D44" s="14" t="s">
        <v>68</v>
      </c>
      <c r="E44" s="14" t="s">
        <v>63</v>
      </c>
      <c r="F44" s="14" t="s">
        <v>63</v>
      </c>
      <c r="G44" s="22">
        <v>2</v>
      </c>
      <c r="H44" s="22">
        <v>1</v>
      </c>
      <c r="I44" s="22">
        <v>5</v>
      </c>
      <c r="J44" s="22">
        <v>3</v>
      </c>
      <c r="K44" s="22">
        <v>4</v>
      </c>
      <c r="L44" s="22">
        <v>5</v>
      </c>
      <c r="M44" s="22">
        <v>4</v>
      </c>
      <c r="N44" s="22">
        <v>3</v>
      </c>
      <c r="O44" s="22">
        <v>3</v>
      </c>
      <c r="P44" s="22">
        <v>3</v>
      </c>
      <c r="Q44" s="22">
        <v>5</v>
      </c>
      <c r="R44" s="22">
        <v>5</v>
      </c>
      <c r="S44" s="22">
        <v>2</v>
      </c>
      <c r="T44" s="22">
        <v>3</v>
      </c>
      <c r="U44" s="22">
        <v>3</v>
      </c>
      <c r="V44" s="22">
        <v>4</v>
      </c>
      <c r="W44" s="22">
        <v>4</v>
      </c>
      <c r="X44" s="22">
        <v>1</v>
      </c>
      <c r="Y44" s="22">
        <v>3</v>
      </c>
      <c r="Z44" s="22">
        <v>2</v>
      </c>
      <c r="AA44" s="22">
        <v>1</v>
      </c>
      <c r="AB44" s="22">
        <v>1</v>
      </c>
      <c r="AC44" s="22">
        <v>2</v>
      </c>
      <c r="AD44" s="22">
        <v>5</v>
      </c>
      <c r="AE44" s="22">
        <v>2</v>
      </c>
      <c r="AF44" s="22">
        <v>2</v>
      </c>
      <c r="AG44" s="22">
        <v>4</v>
      </c>
      <c r="AH44" s="22">
        <v>3</v>
      </c>
      <c r="AI44" s="22">
        <v>4</v>
      </c>
      <c r="AJ44" s="22">
        <v>4</v>
      </c>
      <c r="AK44" s="22">
        <v>4</v>
      </c>
      <c r="AL44" s="22">
        <v>3</v>
      </c>
      <c r="AM44" s="14" t="s">
        <v>118</v>
      </c>
      <c r="AN44" s="15"/>
    </row>
    <row r="45" spans="1:40">
      <c r="A45" s="19" t="s">
        <v>168</v>
      </c>
      <c r="B45" s="22">
        <v>44</v>
      </c>
      <c r="C45" s="25">
        <v>46246.791257245372</v>
      </c>
      <c r="D45" s="14" t="s">
        <v>68</v>
      </c>
      <c r="E45" s="14" t="s">
        <v>71</v>
      </c>
      <c r="F45" s="14" t="s">
        <v>71</v>
      </c>
      <c r="G45" s="22">
        <v>3</v>
      </c>
      <c r="H45" s="22">
        <v>4</v>
      </c>
      <c r="I45" s="22">
        <v>2</v>
      </c>
      <c r="J45" s="22">
        <v>3</v>
      </c>
      <c r="K45" s="22">
        <v>3</v>
      </c>
      <c r="L45" s="22">
        <v>2</v>
      </c>
      <c r="M45" s="22">
        <v>2</v>
      </c>
      <c r="N45" s="22">
        <v>4</v>
      </c>
      <c r="O45" s="22">
        <v>4</v>
      </c>
      <c r="P45" s="22">
        <v>3</v>
      </c>
      <c r="Q45" s="22">
        <v>4</v>
      </c>
      <c r="R45" s="22">
        <v>4</v>
      </c>
      <c r="S45" s="22">
        <v>2</v>
      </c>
      <c r="T45" s="22">
        <v>1</v>
      </c>
      <c r="U45" s="22">
        <v>4</v>
      </c>
      <c r="V45" s="22">
        <v>2</v>
      </c>
      <c r="W45" s="22">
        <v>3</v>
      </c>
      <c r="X45" s="22">
        <v>2</v>
      </c>
      <c r="Y45" s="22">
        <v>2</v>
      </c>
      <c r="Z45" s="22">
        <v>4</v>
      </c>
      <c r="AA45" s="22">
        <v>3</v>
      </c>
      <c r="AB45" s="22">
        <v>2</v>
      </c>
      <c r="AC45" s="22">
        <v>2</v>
      </c>
      <c r="AD45" s="22">
        <v>2</v>
      </c>
      <c r="AE45" s="22">
        <v>2</v>
      </c>
      <c r="AF45" s="22">
        <v>3</v>
      </c>
      <c r="AG45" s="22">
        <v>5</v>
      </c>
      <c r="AH45" s="22">
        <v>3</v>
      </c>
      <c r="AI45" s="22">
        <v>2</v>
      </c>
      <c r="AJ45" s="22">
        <v>2</v>
      </c>
      <c r="AK45" s="22">
        <v>4</v>
      </c>
      <c r="AL45" s="22">
        <v>3</v>
      </c>
      <c r="AM45" s="14" t="s">
        <v>119</v>
      </c>
      <c r="AN45" s="15"/>
    </row>
    <row r="46" spans="1:40">
      <c r="A46" s="19" t="s">
        <v>168</v>
      </c>
      <c r="B46" s="22">
        <v>45</v>
      </c>
      <c r="C46" s="25">
        <v>46246.858902233798</v>
      </c>
      <c r="D46" s="14" t="s">
        <v>68</v>
      </c>
      <c r="E46" s="14" t="s">
        <v>65</v>
      </c>
      <c r="F46" s="14" t="s">
        <v>65</v>
      </c>
      <c r="G46" s="22">
        <v>3</v>
      </c>
      <c r="H46" s="22">
        <v>3</v>
      </c>
      <c r="I46" s="22">
        <v>3</v>
      </c>
      <c r="J46" s="22">
        <v>3</v>
      </c>
      <c r="K46" s="22">
        <v>3</v>
      </c>
      <c r="L46" s="22">
        <v>3</v>
      </c>
      <c r="M46" s="22">
        <v>3</v>
      </c>
      <c r="N46" s="22">
        <v>4</v>
      </c>
      <c r="O46" s="22">
        <v>4</v>
      </c>
      <c r="P46" s="22">
        <v>4</v>
      </c>
      <c r="Q46" s="22">
        <v>3</v>
      </c>
      <c r="R46" s="22">
        <v>2</v>
      </c>
      <c r="S46" s="22">
        <v>4</v>
      </c>
      <c r="T46" s="22">
        <v>2</v>
      </c>
      <c r="U46" s="22">
        <v>3</v>
      </c>
      <c r="V46" s="22">
        <v>3</v>
      </c>
      <c r="W46" s="22">
        <v>4</v>
      </c>
      <c r="X46" s="22">
        <v>3</v>
      </c>
      <c r="Y46" s="22">
        <v>4</v>
      </c>
      <c r="Z46" s="22">
        <v>3</v>
      </c>
      <c r="AA46" s="22">
        <v>4</v>
      </c>
      <c r="AB46" s="22">
        <v>3</v>
      </c>
      <c r="AC46" s="22">
        <v>3</v>
      </c>
      <c r="AD46" s="22">
        <v>3</v>
      </c>
      <c r="AE46" s="22">
        <v>3</v>
      </c>
      <c r="AF46" s="22">
        <v>4</v>
      </c>
      <c r="AG46" s="22">
        <v>3</v>
      </c>
      <c r="AH46" s="22">
        <v>3</v>
      </c>
      <c r="AI46" s="22">
        <v>3</v>
      </c>
      <c r="AJ46" s="22">
        <v>3</v>
      </c>
      <c r="AK46" s="22">
        <v>2</v>
      </c>
      <c r="AL46" s="22">
        <v>3</v>
      </c>
      <c r="AM46" s="14" t="s">
        <v>80</v>
      </c>
      <c r="AN46" s="15"/>
    </row>
    <row r="47" spans="1:40">
      <c r="A47" s="19" t="s">
        <v>168</v>
      </c>
      <c r="B47" s="22">
        <v>46</v>
      </c>
      <c r="C47" s="25">
        <v>46246.935632696761</v>
      </c>
      <c r="D47" s="14" t="s">
        <v>97</v>
      </c>
      <c r="E47" s="14" t="s">
        <v>71</v>
      </c>
      <c r="F47" s="14" t="s">
        <v>71</v>
      </c>
      <c r="G47" s="22">
        <v>3</v>
      </c>
      <c r="H47" s="22">
        <v>3</v>
      </c>
      <c r="I47" s="22">
        <v>4</v>
      </c>
      <c r="J47" s="22">
        <v>3</v>
      </c>
      <c r="K47" s="22">
        <v>3</v>
      </c>
      <c r="L47" s="22">
        <v>4</v>
      </c>
      <c r="M47" s="22">
        <v>3</v>
      </c>
      <c r="N47" s="22">
        <v>3</v>
      </c>
      <c r="O47" s="22">
        <v>3</v>
      </c>
      <c r="P47" s="22">
        <v>3</v>
      </c>
      <c r="Q47" s="22">
        <v>4</v>
      </c>
      <c r="R47" s="22">
        <v>3</v>
      </c>
      <c r="S47" s="22">
        <v>3</v>
      </c>
      <c r="T47" s="22">
        <v>4</v>
      </c>
      <c r="U47" s="22">
        <v>3</v>
      </c>
      <c r="V47" s="22">
        <v>3</v>
      </c>
      <c r="W47" s="22">
        <v>3</v>
      </c>
      <c r="X47" s="22">
        <v>3</v>
      </c>
      <c r="Y47" s="22">
        <v>4</v>
      </c>
      <c r="Z47" s="22">
        <v>2</v>
      </c>
      <c r="AA47" s="22">
        <v>3</v>
      </c>
      <c r="AB47" s="22">
        <v>3</v>
      </c>
      <c r="AC47" s="22">
        <v>3</v>
      </c>
      <c r="AD47" s="22">
        <v>3</v>
      </c>
      <c r="AE47" s="22">
        <v>3</v>
      </c>
      <c r="AF47" s="22">
        <v>3</v>
      </c>
      <c r="AG47" s="22">
        <v>2</v>
      </c>
      <c r="AH47" s="22">
        <v>3</v>
      </c>
      <c r="AI47" s="22">
        <v>3</v>
      </c>
      <c r="AJ47" s="22">
        <v>4</v>
      </c>
      <c r="AK47" s="22">
        <v>4</v>
      </c>
      <c r="AL47" s="22">
        <v>3</v>
      </c>
      <c r="AM47" s="14" t="s">
        <v>120</v>
      </c>
      <c r="AN47" s="15"/>
    </row>
    <row r="48" spans="1:40">
      <c r="A48" s="19" t="s">
        <v>168</v>
      </c>
      <c r="B48" s="22">
        <v>47</v>
      </c>
      <c r="C48" s="25">
        <v>46247.022123483795</v>
      </c>
      <c r="D48" s="14" t="s">
        <v>105</v>
      </c>
      <c r="E48" s="14" t="s">
        <v>65</v>
      </c>
      <c r="F48" s="14" t="s">
        <v>65</v>
      </c>
      <c r="G48" s="22">
        <v>4</v>
      </c>
      <c r="H48" s="22">
        <v>5</v>
      </c>
      <c r="I48" s="22">
        <v>4</v>
      </c>
      <c r="J48" s="22">
        <v>4</v>
      </c>
      <c r="K48" s="22">
        <v>4</v>
      </c>
      <c r="L48" s="22">
        <v>3</v>
      </c>
      <c r="M48" s="22">
        <v>2</v>
      </c>
      <c r="N48" s="22">
        <v>4</v>
      </c>
      <c r="O48" s="22">
        <v>4</v>
      </c>
      <c r="P48" s="22">
        <v>1</v>
      </c>
      <c r="Q48" s="22">
        <v>3</v>
      </c>
      <c r="R48" s="22">
        <v>3</v>
      </c>
      <c r="S48" s="22">
        <v>4</v>
      </c>
      <c r="T48" s="22">
        <v>1</v>
      </c>
      <c r="U48" s="22">
        <v>5</v>
      </c>
      <c r="V48" s="22">
        <v>4</v>
      </c>
      <c r="W48" s="22">
        <v>4</v>
      </c>
      <c r="X48" s="22">
        <v>5</v>
      </c>
      <c r="Y48" s="22">
        <v>5</v>
      </c>
      <c r="Z48" s="22">
        <v>5</v>
      </c>
      <c r="AA48" s="22">
        <v>4</v>
      </c>
      <c r="AB48" s="22">
        <v>4</v>
      </c>
      <c r="AC48" s="22">
        <v>4</v>
      </c>
      <c r="AD48" s="22">
        <v>2</v>
      </c>
      <c r="AE48" s="22">
        <v>2</v>
      </c>
      <c r="AF48" s="22">
        <v>2</v>
      </c>
      <c r="AG48" s="22">
        <v>5</v>
      </c>
      <c r="AH48" s="22">
        <v>4</v>
      </c>
      <c r="AI48" s="22">
        <v>1</v>
      </c>
      <c r="AJ48" s="22">
        <v>1</v>
      </c>
      <c r="AK48" s="22">
        <v>1</v>
      </c>
      <c r="AL48" s="22">
        <v>4</v>
      </c>
      <c r="AM48" s="14" t="s">
        <v>121</v>
      </c>
      <c r="AN48" s="15"/>
    </row>
    <row r="49" spans="1:40">
      <c r="A49" s="19" t="s">
        <v>168</v>
      </c>
      <c r="B49" s="22">
        <v>48</v>
      </c>
      <c r="C49" s="25">
        <v>46247.316919803241</v>
      </c>
      <c r="D49" s="14" t="s">
        <v>68</v>
      </c>
      <c r="E49" s="14" t="s">
        <v>71</v>
      </c>
      <c r="F49" s="14" t="s">
        <v>71</v>
      </c>
      <c r="G49" s="22">
        <v>5</v>
      </c>
      <c r="H49" s="22">
        <v>5</v>
      </c>
      <c r="I49" s="22">
        <v>1</v>
      </c>
      <c r="J49" s="22">
        <v>5</v>
      </c>
      <c r="K49" s="22">
        <v>4</v>
      </c>
      <c r="L49" s="22">
        <v>5</v>
      </c>
      <c r="M49" s="22">
        <v>5</v>
      </c>
      <c r="N49" s="22">
        <v>5</v>
      </c>
      <c r="O49" s="22">
        <v>5</v>
      </c>
      <c r="P49" s="22">
        <v>2</v>
      </c>
      <c r="Q49" s="22">
        <v>1</v>
      </c>
      <c r="R49" s="22">
        <v>1</v>
      </c>
      <c r="S49" s="22">
        <v>1</v>
      </c>
      <c r="T49" s="22">
        <v>1</v>
      </c>
      <c r="U49" s="22">
        <v>5</v>
      </c>
      <c r="V49" s="22">
        <v>5</v>
      </c>
      <c r="W49" s="22">
        <v>5</v>
      </c>
      <c r="X49" s="22">
        <v>5</v>
      </c>
      <c r="Y49" s="22">
        <v>5</v>
      </c>
      <c r="Z49" s="22">
        <v>5</v>
      </c>
      <c r="AA49" s="22">
        <v>5</v>
      </c>
      <c r="AB49" s="22">
        <v>5</v>
      </c>
      <c r="AC49" s="22">
        <v>5</v>
      </c>
      <c r="AD49" s="22">
        <v>5</v>
      </c>
      <c r="AE49" s="22">
        <v>1</v>
      </c>
      <c r="AF49" s="22">
        <v>1</v>
      </c>
      <c r="AG49" s="22">
        <v>5</v>
      </c>
      <c r="AH49" s="22">
        <v>5</v>
      </c>
      <c r="AI49" s="22">
        <v>5</v>
      </c>
      <c r="AJ49" s="22">
        <v>1</v>
      </c>
      <c r="AK49" s="22">
        <v>1</v>
      </c>
      <c r="AL49" s="22">
        <v>5</v>
      </c>
      <c r="AM49" s="14" t="s">
        <v>122</v>
      </c>
      <c r="AN49" s="15"/>
    </row>
    <row r="50" spans="1:40">
      <c r="A50" s="19" t="s">
        <v>168</v>
      </c>
      <c r="B50" s="22">
        <v>49</v>
      </c>
      <c r="C50" s="25">
        <v>46247.444336365741</v>
      </c>
      <c r="D50" s="14" t="s">
        <v>77</v>
      </c>
      <c r="E50" s="14" t="s">
        <v>71</v>
      </c>
      <c r="F50" s="14" t="s">
        <v>71</v>
      </c>
      <c r="G50" s="22">
        <v>1</v>
      </c>
      <c r="H50" s="22">
        <v>3</v>
      </c>
      <c r="I50" s="22">
        <v>2</v>
      </c>
      <c r="J50" s="22">
        <v>1</v>
      </c>
      <c r="K50" s="22">
        <v>1</v>
      </c>
      <c r="L50" s="22">
        <v>1</v>
      </c>
      <c r="M50" s="22">
        <v>1</v>
      </c>
      <c r="N50" s="22">
        <v>1</v>
      </c>
      <c r="O50" s="22">
        <v>5</v>
      </c>
      <c r="P50" s="22">
        <v>3</v>
      </c>
      <c r="Q50" s="22">
        <v>2</v>
      </c>
      <c r="R50" s="22">
        <v>5</v>
      </c>
      <c r="S50" s="22">
        <v>2</v>
      </c>
      <c r="T50" s="22">
        <v>5</v>
      </c>
      <c r="U50" s="22">
        <v>1</v>
      </c>
      <c r="V50" s="22">
        <v>1</v>
      </c>
      <c r="W50" s="22">
        <v>2</v>
      </c>
      <c r="X50" s="22">
        <v>2</v>
      </c>
      <c r="Y50" s="22">
        <v>2</v>
      </c>
      <c r="Z50" s="22">
        <v>3</v>
      </c>
      <c r="AA50" s="22">
        <v>4</v>
      </c>
      <c r="AB50" s="22">
        <v>3</v>
      </c>
      <c r="AC50" s="22">
        <v>2</v>
      </c>
      <c r="AD50" s="22">
        <v>2</v>
      </c>
      <c r="AE50" s="22">
        <v>2</v>
      </c>
      <c r="AF50" s="22">
        <v>3</v>
      </c>
      <c r="AG50" s="22">
        <v>2</v>
      </c>
      <c r="AH50" s="22">
        <v>3</v>
      </c>
      <c r="AI50" s="22">
        <v>2</v>
      </c>
      <c r="AJ50" s="22">
        <v>2</v>
      </c>
      <c r="AK50" s="22">
        <v>2</v>
      </c>
      <c r="AL50" s="22">
        <v>3</v>
      </c>
      <c r="AM50" s="14" t="s">
        <v>123</v>
      </c>
      <c r="AN50" s="15"/>
    </row>
    <row r="51" spans="1:40">
      <c r="A51" s="19" t="s">
        <v>168</v>
      </c>
      <c r="B51" s="22">
        <v>50</v>
      </c>
      <c r="C51" s="25">
        <v>46248.882888263892</v>
      </c>
      <c r="D51" s="14" t="s">
        <v>68</v>
      </c>
      <c r="E51" s="14" t="s">
        <v>63</v>
      </c>
      <c r="F51" s="14" t="s">
        <v>63</v>
      </c>
      <c r="G51" s="22">
        <v>2</v>
      </c>
      <c r="H51" s="22">
        <v>2</v>
      </c>
      <c r="I51" s="22">
        <v>5</v>
      </c>
      <c r="J51" s="22">
        <v>1</v>
      </c>
      <c r="K51" s="22">
        <v>5</v>
      </c>
      <c r="L51" s="22">
        <v>5</v>
      </c>
      <c r="M51" s="22">
        <v>4</v>
      </c>
      <c r="N51" s="22">
        <v>2</v>
      </c>
      <c r="O51" s="22">
        <v>3</v>
      </c>
      <c r="P51" s="22">
        <v>2</v>
      </c>
      <c r="Q51" s="22">
        <v>5</v>
      </c>
      <c r="R51" s="22">
        <v>3</v>
      </c>
      <c r="S51" s="22">
        <v>3</v>
      </c>
      <c r="T51" s="22">
        <v>2</v>
      </c>
      <c r="U51" s="22">
        <v>4</v>
      </c>
      <c r="V51" s="22">
        <v>1</v>
      </c>
      <c r="W51" s="22">
        <v>4</v>
      </c>
      <c r="X51" s="22">
        <v>4</v>
      </c>
      <c r="Y51" s="22">
        <v>3</v>
      </c>
      <c r="Z51" s="22">
        <v>3</v>
      </c>
      <c r="AA51" s="22">
        <v>4</v>
      </c>
      <c r="AB51" s="22">
        <v>2</v>
      </c>
      <c r="AC51" s="22">
        <v>4</v>
      </c>
      <c r="AD51" s="22">
        <v>3</v>
      </c>
      <c r="AE51" s="22">
        <v>4</v>
      </c>
      <c r="AF51" s="22">
        <v>4</v>
      </c>
      <c r="AG51" s="22">
        <v>5</v>
      </c>
      <c r="AH51" s="22">
        <v>3</v>
      </c>
      <c r="AI51" s="22">
        <v>1</v>
      </c>
      <c r="AJ51" s="22">
        <v>1</v>
      </c>
      <c r="AK51" s="22">
        <v>1</v>
      </c>
      <c r="AL51" s="22">
        <v>4</v>
      </c>
      <c r="AM51" s="14" t="s">
        <v>124</v>
      </c>
      <c r="AN51" s="15"/>
    </row>
    <row r="52" spans="1:40">
      <c r="A52" s="19" t="s">
        <v>168</v>
      </c>
      <c r="B52" s="22">
        <v>51</v>
      </c>
      <c r="C52" s="25">
        <v>46248.895953298612</v>
      </c>
      <c r="D52" s="14" t="s">
        <v>74</v>
      </c>
      <c r="E52" s="14" t="s">
        <v>65</v>
      </c>
      <c r="F52" s="14" t="s">
        <v>65</v>
      </c>
      <c r="G52" s="22">
        <v>4</v>
      </c>
      <c r="H52" s="22">
        <v>4</v>
      </c>
      <c r="I52" s="22">
        <v>4</v>
      </c>
      <c r="J52" s="22">
        <v>4</v>
      </c>
      <c r="K52" s="22">
        <v>3</v>
      </c>
      <c r="L52" s="22">
        <v>2</v>
      </c>
      <c r="M52" s="22">
        <v>2</v>
      </c>
      <c r="N52" s="22">
        <v>5</v>
      </c>
      <c r="O52" s="22">
        <v>4</v>
      </c>
      <c r="P52" s="22">
        <v>4</v>
      </c>
      <c r="Q52" s="22">
        <v>3</v>
      </c>
      <c r="R52" s="22">
        <v>3</v>
      </c>
      <c r="S52" s="22">
        <v>4</v>
      </c>
      <c r="T52" s="22">
        <v>3</v>
      </c>
      <c r="U52" s="22">
        <v>5</v>
      </c>
      <c r="V52" s="22">
        <v>2</v>
      </c>
      <c r="W52" s="22">
        <v>4</v>
      </c>
      <c r="X52" s="22">
        <v>5</v>
      </c>
      <c r="Y52" s="22">
        <v>5</v>
      </c>
      <c r="Z52" s="22">
        <v>4</v>
      </c>
      <c r="AA52" s="22">
        <v>4</v>
      </c>
      <c r="AB52" s="22">
        <v>4</v>
      </c>
      <c r="AC52" s="22">
        <v>5</v>
      </c>
      <c r="AD52" s="22">
        <v>3</v>
      </c>
      <c r="AE52" s="22">
        <v>5</v>
      </c>
      <c r="AF52" s="22">
        <v>5</v>
      </c>
      <c r="AG52" s="22">
        <v>5</v>
      </c>
      <c r="AH52" s="22">
        <v>4</v>
      </c>
      <c r="AI52" s="22">
        <v>1</v>
      </c>
      <c r="AJ52" s="22">
        <v>1</v>
      </c>
      <c r="AK52" s="22">
        <v>1</v>
      </c>
      <c r="AL52" s="22">
        <v>5</v>
      </c>
      <c r="AM52" s="14" t="s">
        <v>108</v>
      </c>
      <c r="AN52" s="15"/>
    </row>
    <row r="53" spans="1:40">
      <c r="A53" s="19" t="s">
        <v>168</v>
      </c>
      <c r="B53" s="22">
        <v>52</v>
      </c>
      <c r="C53" s="25">
        <v>46248.903350196764</v>
      </c>
      <c r="D53" s="14" t="s">
        <v>64</v>
      </c>
      <c r="E53" s="14" t="s">
        <v>65</v>
      </c>
      <c r="F53" s="14" t="s">
        <v>65</v>
      </c>
      <c r="G53" s="22">
        <v>5</v>
      </c>
      <c r="H53" s="22">
        <v>5</v>
      </c>
      <c r="I53" s="22">
        <v>1</v>
      </c>
      <c r="J53" s="22">
        <v>4</v>
      </c>
      <c r="K53" s="22">
        <v>1</v>
      </c>
      <c r="L53" s="22">
        <v>4</v>
      </c>
      <c r="M53" s="22">
        <v>1</v>
      </c>
      <c r="N53" s="22">
        <v>5</v>
      </c>
      <c r="O53" s="22">
        <v>5</v>
      </c>
      <c r="P53" s="22">
        <v>1</v>
      </c>
      <c r="Q53" s="22">
        <v>1</v>
      </c>
      <c r="R53" s="22">
        <v>1</v>
      </c>
      <c r="S53" s="22">
        <v>5</v>
      </c>
      <c r="T53" s="22">
        <v>1</v>
      </c>
      <c r="U53" s="22">
        <v>5</v>
      </c>
      <c r="V53" s="22">
        <v>1</v>
      </c>
      <c r="W53" s="22">
        <v>5</v>
      </c>
      <c r="X53" s="22">
        <v>5</v>
      </c>
      <c r="Y53" s="22">
        <v>5</v>
      </c>
      <c r="Z53" s="22">
        <v>5</v>
      </c>
      <c r="AA53" s="22">
        <v>5</v>
      </c>
      <c r="AB53" s="22">
        <v>5</v>
      </c>
      <c r="AC53" s="22">
        <v>5</v>
      </c>
      <c r="AD53" s="22">
        <v>1</v>
      </c>
      <c r="AE53" s="22">
        <v>5</v>
      </c>
      <c r="AF53" s="22">
        <v>5</v>
      </c>
      <c r="AG53" s="22">
        <v>5</v>
      </c>
      <c r="AH53" s="22">
        <v>5</v>
      </c>
      <c r="AI53" s="22">
        <v>1</v>
      </c>
      <c r="AJ53" s="22">
        <v>1</v>
      </c>
      <c r="AK53" s="22">
        <v>1</v>
      </c>
      <c r="AL53" s="22">
        <v>5</v>
      </c>
      <c r="AM53" s="14" t="s">
        <v>125</v>
      </c>
      <c r="AN53" s="15"/>
    </row>
    <row r="54" spans="1:40">
      <c r="A54" s="19" t="s">
        <v>168</v>
      </c>
      <c r="B54" s="22">
        <v>53</v>
      </c>
      <c r="C54" s="25">
        <v>46248.940497986114</v>
      </c>
      <c r="D54" s="14" t="s">
        <v>74</v>
      </c>
      <c r="E54" s="14" t="s">
        <v>65</v>
      </c>
      <c r="F54" s="14" t="s">
        <v>65</v>
      </c>
      <c r="G54" s="22">
        <v>5</v>
      </c>
      <c r="H54" s="22">
        <v>5</v>
      </c>
      <c r="I54" s="22">
        <v>2</v>
      </c>
      <c r="J54" s="22">
        <v>4</v>
      </c>
      <c r="K54" s="22">
        <v>4</v>
      </c>
      <c r="L54" s="22">
        <v>4</v>
      </c>
      <c r="M54" s="22">
        <v>2</v>
      </c>
      <c r="N54" s="22">
        <v>5</v>
      </c>
      <c r="O54" s="22">
        <v>3</v>
      </c>
      <c r="P54" s="22">
        <v>3</v>
      </c>
      <c r="Q54" s="22">
        <v>4</v>
      </c>
      <c r="R54" s="22">
        <v>3</v>
      </c>
      <c r="S54" s="22">
        <v>3</v>
      </c>
      <c r="T54" s="22">
        <v>1</v>
      </c>
      <c r="U54" s="22">
        <v>4</v>
      </c>
      <c r="V54" s="22">
        <v>3</v>
      </c>
      <c r="W54" s="22">
        <v>4</v>
      </c>
      <c r="X54" s="22">
        <v>4</v>
      </c>
      <c r="Y54" s="22">
        <v>4</v>
      </c>
      <c r="Z54" s="22">
        <v>4</v>
      </c>
      <c r="AA54" s="22">
        <v>5</v>
      </c>
      <c r="AB54" s="22">
        <v>4</v>
      </c>
      <c r="AC54" s="22">
        <v>5</v>
      </c>
      <c r="AD54" s="22">
        <v>3</v>
      </c>
      <c r="AE54" s="22">
        <v>3</v>
      </c>
      <c r="AF54" s="22">
        <v>2</v>
      </c>
      <c r="AG54" s="22">
        <v>5</v>
      </c>
      <c r="AH54" s="22">
        <v>4</v>
      </c>
      <c r="AI54" s="22">
        <v>1</v>
      </c>
      <c r="AJ54" s="22">
        <v>1</v>
      </c>
      <c r="AK54" s="22">
        <v>1</v>
      </c>
      <c r="AL54" s="22">
        <v>4</v>
      </c>
      <c r="AM54" s="14" t="s">
        <v>126</v>
      </c>
      <c r="AN54" s="15"/>
    </row>
    <row r="55" spans="1:40">
      <c r="A55" s="19" t="s">
        <v>168</v>
      </c>
      <c r="B55" s="22">
        <v>54</v>
      </c>
      <c r="C55" s="25">
        <v>46248.984546145832</v>
      </c>
      <c r="D55" s="14" t="s">
        <v>67</v>
      </c>
      <c r="E55" s="14" t="s">
        <v>65</v>
      </c>
      <c r="F55" s="14" t="s">
        <v>65</v>
      </c>
      <c r="G55" s="22">
        <v>3</v>
      </c>
      <c r="H55" s="22">
        <v>3</v>
      </c>
      <c r="I55" s="22">
        <v>5</v>
      </c>
      <c r="J55" s="22">
        <v>4</v>
      </c>
      <c r="K55" s="22">
        <v>3</v>
      </c>
      <c r="L55" s="22">
        <v>2</v>
      </c>
      <c r="M55" s="22">
        <v>3</v>
      </c>
      <c r="N55" s="22">
        <v>4</v>
      </c>
      <c r="O55" s="22">
        <v>3</v>
      </c>
      <c r="P55" s="22">
        <v>3</v>
      </c>
      <c r="Q55" s="22">
        <v>2</v>
      </c>
      <c r="R55" s="22">
        <v>4</v>
      </c>
      <c r="S55" s="22">
        <v>4</v>
      </c>
      <c r="T55" s="22">
        <v>2</v>
      </c>
      <c r="U55" s="22">
        <v>2</v>
      </c>
      <c r="V55" s="22">
        <v>3</v>
      </c>
      <c r="W55" s="22">
        <v>3</v>
      </c>
      <c r="X55" s="22">
        <v>3</v>
      </c>
      <c r="Y55" s="22">
        <v>3</v>
      </c>
      <c r="Z55" s="22">
        <v>3</v>
      </c>
      <c r="AA55" s="22">
        <v>3</v>
      </c>
      <c r="AB55" s="22">
        <v>3</v>
      </c>
      <c r="AC55" s="22">
        <v>3</v>
      </c>
      <c r="AD55" s="22">
        <v>3</v>
      </c>
      <c r="AE55" s="22">
        <v>3</v>
      </c>
      <c r="AF55" s="22">
        <v>3</v>
      </c>
      <c r="AG55" s="22">
        <v>4</v>
      </c>
      <c r="AH55" s="22">
        <v>3</v>
      </c>
      <c r="AI55" s="22">
        <v>3</v>
      </c>
      <c r="AJ55" s="22">
        <v>2</v>
      </c>
      <c r="AK55" s="22">
        <v>2</v>
      </c>
      <c r="AL55" s="22">
        <v>2</v>
      </c>
      <c r="AM55" s="14" t="s">
        <v>127</v>
      </c>
      <c r="AN55" s="15"/>
    </row>
    <row r="56" spans="1:40">
      <c r="A56" s="19" t="s">
        <v>168</v>
      </c>
      <c r="B56" s="22">
        <v>55</v>
      </c>
      <c r="C56" s="25">
        <v>46249.007412592589</v>
      </c>
      <c r="D56" s="14" t="s">
        <v>110</v>
      </c>
      <c r="E56" s="14" t="s">
        <v>65</v>
      </c>
      <c r="F56" s="14" t="s">
        <v>65</v>
      </c>
      <c r="G56" s="22">
        <v>4</v>
      </c>
      <c r="H56" s="22">
        <v>4</v>
      </c>
      <c r="I56" s="22">
        <v>3</v>
      </c>
      <c r="J56" s="22">
        <v>3</v>
      </c>
      <c r="K56" s="22">
        <v>2</v>
      </c>
      <c r="L56" s="22">
        <v>3</v>
      </c>
      <c r="M56" s="22">
        <v>3</v>
      </c>
      <c r="N56" s="22">
        <v>4</v>
      </c>
      <c r="O56" s="22">
        <v>4</v>
      </c>
      <c r="P56" s="22">
        <v>1</v>
      </c>
      <c r="Q56" s="22">
        <v>4</v>
      </c>
      <c r="R56" s="22">
        <v>4</v>
      </c>
      <c r="S56" s="22">
        <v>4</v>
      </c>
      <c r="T56" s="22">
        <v>1</v>
      </c>
      <c r="U56" s="22">
        <v>5</v>
      </c>
      <c r="V56" s="22">
        <v>1</v>
      </c>
      <c r="W56" s="22">
        <v>5</v>
      </c>
      <c r="X56" s="22">
        <v>5</v>
      </c>
      <c r="Y56" s="22">
        <v>5</v>
      </c>
      <c r="Z56" s="22">
        <v>5</v>
      </c>
      <c r="AA56" s="22">
        <v>5</v>
      </c>
      <c r="AB56" s="22">
        <v>4</v>
      </c>
      <c r="AC56" s="22">
        <v>4</v>
      </c>
      <c r="AD56" s="22">
        <v>2</v>
      </c>
      <c r="AE56" s="22">
        <v>5</v>
      </c>
      <c r="AF56" s="22">
        <v>5</v>
      </c>
      <c r="AG56" s="22">
        <v>5</v>
      </c>
      <c r="AH56" s="22">
        <v>5</v>
      </c>
      <c r="AI56" s="22">
        <v>1</v>
      </c>
      <c r="AJ56" s="22">
        <v>1</v>
      </c>
      <c r="AK56" s="22">
        <v>1</v>
      </c>
      <c r="AL56" s="22">
        <v>5</v>
      </c>
      <c r="AM56" s="14" t="s">
        <v>75</v>
      </c>
      <c r="AN56" s="15"/>
    </row>
    <row r="57" spans="1:40">
      <c r="A57" s="19" t="s">
        <v>168</v>
      </c>
      <c r="B57" s="22">
        <v>56</v>
      </c>
      <c r="C57" s="25">
        <v>46249.270969421297</v>
      </c>
      <c r="D57" s="14" t="s">
        <v>66</v>
      </c>
      <c r="E57" s="14" t="s">
        <v>65</v>
      </c>
      <c r="F57" s="14" t="s">
        <v>65</v>
      </c>
      <c r="G57" s="22">
        <v>4</v>
      </c>
      <c r="H57" s="22">
        <v>4</v>
      </c>
      <c r="I57" s="22">
        <v>1</v>
      </c>
      <c r="J57" s="22">
        <v>4</v>
      </c>
      <c r="K57" s="22">
        <v>4</v>
      </c>
      <c r="L57" s="22">
        <v>4</v>
      </c>
      <c r="M57" s="22">
        <v>2</v>
      </c>
      <c r="N57" s="22">
        <v>4</v>
      </c>
      <c r="O57" s="22">
        <v>4</v>
      </c>
      <c r="P57" s="22">
        <v>2</v>
      </c>
      <c r="Q57" s="22">
        <v>2</v>
      </c>
      <c r="R57" s="22">
        <v>3</v>
      </c>
      <c r="S57" s="22">
        <v>3</v>
      </c>
      <c r="T57" s="22">
        <v>1</v>
      </c>
      <c r="U57" s="22">
        <v>4</v>
      </c>
      <c r="V57" s="22">
        <v>3</v>
      </c>
      <c r="W57" s="22">
        <v>4</v>
      </c>
      <c r="X57" s="22">
        <v>3</v>
      </c>
      <c r="Y57" s="22">
        <v>4</v>
      </c>
      <c r="Z57" s="22">
        <v>3</v>
      </c>
      <c r="AA57" s="22">
        <v>3</v>
      </c>
      <c r="AB57" s="22">
        <v>3</v>
      </c>
      <c r="AC57" s="22">
        <v>3</v>
      </c>
      <c r="AD57" s="22">
        <v>3</v>
      </c>
      <c r="AE57" s="22">
        <v>3</v>
      </c>
      <c r="AF57" s="22">
        <v>3</v>
      </c>
      <c r="AG57" s="22">
        <v>4</v>
      </c>
      <c r="AH57" s="22">
        <v>4</v>
      </c>
      <c r="AI57" s="22">
        <v>2</v>
      </c>
      <c r="AJ57" s="22">
        <v>3</v>
      </c>
      <c r="AK57" s="22">
        <v>3</v>
      </c>
      <c r="AL57" s="22">
        <v>4</v>
      </c>
      <c r="AM57" s="14" t="s">
        <v>128</v>
      </c>
      <c r="AN57" s="15"/>
    </row>
    <row r="58" spans="1:40">
      <c r="A58" s="19" t="s">
        <v>168</v>
      </c>
      <c r="B58" s="22">
        <v>57</v>
      </c>
      <c r="C58" s="25">
        <v>46249.421870023143</v>
      </c>
      <c r="D58" s="14" t="s">
        <v>110</v>
      </c>
      <c r="E58" s="14" t="s">
        <v>71</v>
      </c>
      <c r="F58" s="14" t="s">
        <v>71</v>
      </c>
      <c r="G58" s="22">
        <v>3</v>
      </c>
      <c r="H58" s="22">
        <v>3</v>
      </c>
      <c r="I58" s="22">
        <v>5</v>
      </c>
      <c r="J58" s="22">
        <v>2</v>
      </c>
      <c r="K58" s="22">
        <v>2</v>
      </c>
      <c r="L58" s="22">
        <v>4</v>
      </c>
      <c r="M58" s="22">
        <v>2</v>
      </c>
      <c r="N58" s="22">
        <v>3</v>
      </c>
      <c r="O58" s="22">
        <v>5</v>
      </c>
      <c r="P58" s="22">
        <v>4</v>
      </c>
      <c r="Q58" s="22">
        <v>5</v>
      </c>
      <c r="R58" s="22">
        <v>5</v>
      </c>
      <c r="S58" s="22">
        <v>2</v>
      </c>
      <c r="T58" s="22">
        <v>5</v>
      </c>
      <c r="U58" s="22">
        <v>3</v>
      </c>
      <c r="V58" s="22">
        <v>3</v>
      </c>
      <c r="W58" s="22">
        <v>3</v>
      </c>
      <c r="X58" s="22">
        <v>4</v>
      </c>
      <c r="Y58" s="22">
        <v>3</v>
      </c>
      <c r="Z58" s="22">
        <v>4</v>
      </c>
      <c r="AA58" s="22">
        <v>3</v>
      </c>
      <c r="AB58" s="22">
        <v>3</v>
      </c>
      <c r="AC58" s="22">
        <v>4</v>
      </c>
      <c r="AD58" s="22">
        <v>5</v>
      </c>
      <c r="AE58" s="22">
        <v>3</v>
      </c>
      <c r="AF58" s="22">
        <v>3</v>
      </c>
      <c r="AG58" s="22">
        <v>5</v>
      </c>
      <c r="AH58" s="22">
        <v>2</v>
      </c>
      <c r="AI58" s="22">
        <v>2</v>
      </c>
      <c r="AJ58" s="22">
        <v>2</v>
      </c>
      <c r="AK58" s="22">
        <v>2</v>
      </c>
      <c r="AL58" s="22">
        <v>2</v>
      </c>
      <c r="AM58" s="14" t="s">
        <v>129</v>
      </c>
      <c r="AN58" s="15"/>
    </row>
    <row r="59" spans="1:40">
      <c r="A59" s="20" t="s">
        <v>168</v>
      </c>
      <c r="B59" s="23">
        <v>58</v>
      </c>
      <c r="C59" s="26">
        <v>46249.501615243054</v>
      </c>
      <c r="D59" s="16" t="s">
        <v>97</v>
      </c>
      <c r="E59" s="16" t="s">
        <v>130</v>
      </c>
      <c r="F59" s="16" t="s">
        <v>130</v>
      </c>
      <c r="G59" s="23">
        <v>5</v>
      </c>
      <c r="H59" s="23">
        <v>4</v>
      </c>
      <c r="I59" s="23">
        <v>2</v>
      </c>
      <c r="J59" s="23">
        <v>4</v>
      </c>
      <c r="K59" s="23">
        <v>4</v>
      </c>
      <c r="L59" s="23">
        <v>4</v>
      </c>
      <c r="M59" s="23">
        <v>3</v>
      </c>
      <c r="N59" s="23">
        <v>4</v>
      </c>
      <c r="O59" s="23">
        <v>4</v>
      </c>
      <c r="P59" s="23">
        <v>2</v>
      </c>
      <c r="Q59" s="23">
        <v>3</v>
      </c>
      <c r="R59" s="23">
        <v>3</v>
      </c>
      <c r="S59" s="23">
        <v>4</v>
      </c>
      <c r="T59" s="23">
        <v>3</v>
      </c>
      <c r="U59" s="23">
        <v>4</v>
      </c>
      <c r="V59" s="23">
        <v>2</v>
      </c>
      <c r="W59" s="23">
        <v>4</v>
      </c>
      <c r="X59" s="23">
        <v>4</v>
      </c>
      <c r="Y59" s="23">
        <v>4</v>
      </c>
      <c r="Z59" s="23">
        <v>4</v>
      </c>
      <c r="AA59" s="23">
        <v>4</v>
      </c>
      <c r="AB59" s="23">
        <v>4</v>
      </c>
      <c r="AC59" s="23">
        <v>4</v>
      </c>
      <c r="AD59" s="23">
        <v>3</v>
      </c>
      <c r="AE59" s="23">
        <v>4</v>
      </c>
      <c r="AF59" s="23">
        <v>5</v>
      </c>
      <c r="AG59" s="23">
        <v>5</v>
      </c>
      <c r="AH59" s="23">
        <v>5</v>
      </c>
      <c r="AI59" s="23">
        <v>5</v>
      </c>
      <c r="AJ59" s="23">
        <v>1</v>
      </c>
      <c r="AK59" s="23">
        <v>2</v>
      </c>
      <c r="AL59" s="23">
        <v>4</v>
      </c>
      <c r="AM59" s="16" t="s">
        <v>75</v>
      </c>
      <c r="AN59" s="17"/>
    </row>
  </sheetData>
  <dataValidations count="1">
    <dataValidation type="list" sqref="A2:A59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showGridLines="0" workbookViewId="0"/>
  </sheetViews>
  <sheetFormatPr defaultRowHeight="13.8"/>
  <cols>
    <col min="1" max="1" width="11" customWidth="1"/>
    <col min="2" max="2" width="48" customWidth="1"/>
    <col min="3" max="6" width="18" customWidth="1"/>
    <col min="7" max="7" width="95" customWidth="1"/>
  </cols>
  <sheetData>
    <row r="1" spans="1:7">
      <c r="A1" s="27" t="s">
        <v>169</v>
      </c>
      <c r="B1" s="27" t="s">
        <v>4</v>
      </c>
      <c r="C1" s="27" t="s">
        <v>170</v>
      </c>
      <c r="D1" s="27" t="s">
        <v>171</v>
      </c>
      <c r="E1" s="27" t="s">
        <v>172</v>
      </c>
      <c r="F1" s="27" t="s">
        <v>173</v>
      </c>
      <c r="G1" s="27" t="s">
        <v>174</v>
      </c>
    </row>
    <row r="2" spans="1:7" ht="37.950000000000003" customHeight="1">
      <c r="A2" s="28" t="s">
        <v>134</v>
      </c>
      <c r="B2" s="29" t="s">
        <v>8</v>
      </c>
      <c r="C2" s="29" t="s">
        <v>175</v>
      </c>
      <c r="D2" s="29" t="s">
        <v>176</v>
      </c>
      <c r="E2" s="29" t="s">
        <v>177</v>
      </c>
      <c r="F2" s="29" t="s">
        <v>178</v>
      </c>
      <c r="G2" s="30" t="s">
        <v>179</v>
      </c>
    </row>
    <row r="3" spans="1:7" ht="37.950000000000003" customHeight="1">
      <c r="A3" s="31" t="s">
        <v>135</v>
      </c>
      <c r="B3" s="32" t="s">
        <v>8</v>
      </c>
      <c r="C3" s="32" t="s">
        <v>175</v>
      </c>
      <c r="D3" s="32" t="s">
        <v>176</v>
      </c>
      <c r="E3" s="32" t="s">
        <v>177</v>
      </c>
      <c r="F3" s="32" t="s">
        <v>178</v>
      </c>
      <c r="G3" s="33" t="s">
        <v>180</v>
      </c>
    </row>
    <row r="4" spans="1:7" ht="37.950000000000003" customHeight="1">
      <c r="A4" s="31" t="s">
        <v>136</v>
      </c>
      <c r="B4" s="32" t="s">
        <v>8</v>
      </c>
      <c r="C4" s="32" t="s">
        <v>175</v>
      </c>
      <c r="D4" s="32" t="s">
        <v>176</v>
      </c>
      <c r="E4" s="32" t="s">
        <v>168</v>
      </c>
      <c r="F4" s="32" t="s">
        <v>181</v>
      </c>
      <c r="G4" s="33" t="s">
        <v>182</v>
      </c>
    </row>
    <row r="5" spans="1:7" ht="37.950000000000003" customHeight="1">
      <c r="A5" s="31" t="s">
        <v>137</v>
      </c>
      <c r="B5" s="32" t="s">
        <v>10</v>
      </c>
      <c r="C5" s="32" t="s">
        <v>175</v>
      </c>
      <c r="D5" s="32" t="s">
        <v>176</v>
      </c>
      <c r="E5" s="32" t="s">
        <v>177</v>
      </c>
      <c r="F5" s="32" t="s">
        <v>178</v>
      </c>
      <c r="G5" s="33" t="s">
        <v>183</v>
      </c>
    </row>
    <row r="6" spans="1:7" ht="37.950000000000003" customHeight="1">
      <c r="A6" s="31" t="s">
        <v>138</v>
      </c>
      <c r="B6" s="32" t="s">
        <v>10</v>
      </c>
      <c r="C6" s="32" t="s">
        <v>175</v>
      </c>
      <c r="D6" s="32" t="s">
        <v>176</v>
      </c>
      <c r="E6" s="32" t="s">
        <v>168</v>
      </c>
      <c r="F6" s="32" t="s">
        <v>181</v>
      </c>
      <c r="G6" s="33" t="s">
        <v>184</v>
      </c>
    </row>
    <row r="7" spans="1:7" ht="37.950000000000003" customHeight="1">
      <c r="A7" s="31" t="s">
        <v>139</v>
      </c>
      <c r="B7" s="32" t="s">
        <v>10</v>
      </c>
      <c r="C7" s="32" t="s">
        <v>175</v>
      </c>
      <c r="D7" s="32" t="s">
        <v>176</v>
      </c>
      <c r="E7" s="32" t="s">
        <v>168</v>
      </c>
      <c r="F7" s="32" t="s">
        <v>181</v>
      </c>
      <c r="G7" s="33" t="s">
        <v>185</v>
      </c>
    </row>
    <row r="8" spans="1:7" ht="37.950000000000003" customHeight="1">
      <c r="A8" s="31" t="s">
        <v>140</v>
      </c>
      <c r="B8" s="32" t="s">
        <v>10</v>
      </c>
      <c r="C8" s="32" t="s">
        <v>175</v>
      </c>
      <c r="D8" s="32" t="s">
        <v>176</v>
      </c>
      <c r="E8" s="32" t="s">
        <v>168</v>
      </c>
      <c r="F8" s="32" t="s">
        <v>181</v>
      </c>
      <c r="G8" s="33" t="s">
        <v>186</v>
      </c>
    </row>
    <row r="9" spans="1:7" ht="37.950000000000003" customHeight="1">
      <c r="A9" s="31" t="s">
        <v>141</v>
      </c>
      <c r="B9" s="32" t="s">
        <v>12</v>
      </c>
      <c r="C9" s="32" t="s">
        <v>175</v>
      </c>
      <c r="D9" s="32" t="s">
        <v>176</v>
      </c>
      <c r="E9" s="32" t="s">
        <v>177</v>
      </c>
      <c r="F9" s="32" t="s">
        <v>178</v>
      </c>
      <c r="G9" s="33" t="s">
        <v>187</v>
      </c>
    </row>
    <row r="10" spans="1:7" ht="37.950000000000003" customHeight="1">
      <c r="A10" s="31" t="s">
        <v>142</v>
      </c>
      <c r="B10" s="32" t="s">
        <v>12</v>
      </c>
      <c r="C10" s="32" t="s">
        <v>175</v>
      </c>
      <c r="D10" s="32" t="s">
        <v>176</v>
      </c>
      <c r="E10" s="32" t="s">
        <v>177</v>
      </c>
      <c r="F10" s="32" t="s">
        <v>178</v>
      </c>
      <c r="G10" s="33" t="s">
        <v>188</v>
      </c>
    </row>
    <row r="11" spans="1:7" ht="37.950000000000003" customHeight="1">
      <c r="A11" s="31" t="s">
        <v>143</v>
      </c>
      <c r="B11" s="32" t="s">
        <v>12</v>
      </c>
      <c r="C11" s="32" t="s">
        <v>175</v>
      </c>
      <c r="D11" s="32" t="s">
        <v>176</v>
      </c>
      <c r="E11" s="32" t="s">
        <v>168</v>
      </c>
      <c r="F11" s="32" t="s">
        <v>181</v>
      </c>
      <c r="G11" s="33" t="s">
        <v>189</v>
      </c>
    </row>
    <row r="12" spans="1:7" ht="37.950000000000003" customHeight="1">
      <c r="A12" s="31" t="s">
        <v>144</v>
      </c>
      <c r="B12" s="32" t="s">
        <v>14</v>
      </c>
      <c r="C12" s="32" t="s">
        <v>175</v>
      </c>
      <c r="D12" s="32" t="s">
        <v>176</v>
      </c>
      <c r="E12" s="32" t="s">
        <v>168</v>
      </c>
      <c r="F12" s="32" t="s">
        <v>181</v>
      </c>
      <c r="G12" s="33" t="s">
        <v>190</v>
      </c>
    </row>
    <row r="13" spans="1:7" ht="37.950000000000003" customHeight="1">
      <c r="A13" s="31" t="s">
        <v>145</v>
      </c>
      <c r="B13" s="32" t="s">
        <v>14</v>
      </c>
      <c r="C13" s="32" t="s">
        <v>175</v>
      </c>
      <c r="D13" s="32" t="s">
        <v>176</v>
      </c>
      <c r="E13" s="32" t="s">
        <v>168</v>
      </c>
      <c r="F13" s="32" t="s">
        <v>181</v>
      </c>
      <c r="G13" s="33" t="s">
        <v>191</v>
      </c>
    </row>
    <row r="14" spans="1:7" ht="37.950000000000003" customHeight="1">
      <c r="A14" s="31" t="s">
        <v>146</v>
      </c>
      <c r="B14" s="32" t="s">
        <v>14</v>
      </c>
      <c r="C14" s="32" t="s">
        <v>175</v>
      </c>
      <c r="D14" s="32" t="s">
        <v>176</v>
      </c>
      <c r="E14" s="32" t="s">
        <v>177</v>
      </c>
      <c r="F14" s="32" t="s">
        <v>178</v>
      </c>
      <c r="G14" s="33" t="s">
        <v>192</v>
      </c>
    </row>
    <row r="15" spans="1:7" ht="37.950000000000003" customHeight="1">
      <c r="A15" s="31" t="s">
        <v>147</v>
      </c>
      <c r="B15" s="32" t="s">
        <v>14</v>
      </c>
      <c r="C15" s="32" t="s">
        <v>175</v>
      </c>
      <c r="D15" s="32" t="s">
        <v>176</v>
      </c>
      <c r="E15" s="32" t="s">
        <v>168</v>
      </c>
      <c r="F15" s="32" t="s">
        <v>181</v>
      </c>
      <c r="G15" s="33" t="s">
        <v>193</v>
      </c>
    </row>
    <row r="16" spans="1:7" ht="37.950000000000003" customHeight="1">
      <c r="A16" s="31" t="s">
        <v>148</v>
      </c>
      <c r="B16" s="32" t="s">
        <v>16</v>
      </c>
      <c r="C16" s="32" t="s">
        <v>194</v>
      </c>
      <c r="D16" s="32" t="s">
        <v>176</v>
      </c>
      <c r="E16" s="32" t="s">
        <v>177</v>
      </c>
      <c r="F16" s="32" t="s">
        <v>178</v>
      </c>
      <c r="G16" s="33" t="s">
        <v>195</v>
      </c>
    </row>
    <row r="17" spans="1:7" ht="37.950000000000003" customHeight="1">
      <c r="A17" s="31" t="s">
        <v>149</v>
      </c>
      <c r="B17" s="32" t="s">
        <v>16</v>
      </c>
      <c r="C17" s="32" t="s">
        <v>194</v>
      </c>
      <c r="D17" s="32" t="s">
        <v>176</v>
      </c>
      <c r="E17" s="32" t="s">
        <v>168</v>
      </c>
      <c r="F17" s="32" t="s">
        <v>181</v>
      </c>
      <c r="G17" s="33" t="s">
        <v>196</v>
      </c>
    </row>
    <row r="18" spans="1:7" ht="37.950000000000003" customHeight="1">
      <c r="A18" s="31" t="s">
        <v>150</v>
      </c>
      <c r="B18" s="32" t="s">
        <v>16</v>
      </c>
      <c r="C18" s="32" t="s">
        <v>194</v>
      </c>
      <c r="D18" s="32" t="s">
        <v>176</v>
      </c>
      <c r="E18" s="32" t="s">
        <v>177</v>
      </c>
      <c r="F18" s="32" t="s">
        <v>178</v>
      </c>
      <c r="G18" s="33" t="s">
        <v>197</v>
      </c>
    </row>
    <row r="19" spans="1:7" ht="37.950000000000003" customHeight="1">
      <c r="A19" s="31" t="s">
        <v>151</v>
      </c>
      <c r="B19" s="32" t="s">
        <v>18</v>
      </c>
      <c r="C19" s="32" t="s">
        <v>198</v>
      </c>
      <c r="D19" s="32" t="s">
        <v>176</v>
      </c>
      <c r="E19" s="32" t="s">
        <v>177</v>
      </c>
      <c r="F19" s="32" t="s">
        <v>178</v>
      </c>
      <c r="G19" s="33" t="s">
        <v>199</v>
      </c>
    </row>
    <row r="20" spans="1:7" ht="37.950000000000003" customHeight="1">
      <c r="A20" s="31" t="s">
        <v>152</v>
      </c>
      <c r="B20" s="32" t="s">
        <v>18</v>
      </c>
      <c r="C20" s="32" t="s">
        <v>198</v>
      </c>
      <c r="D20" s="32" t="s">
        <v>176</v>
      </c>
      <c r="E20" s="32" t="s">
        <v>177</v>
      </c>
      <c r="F20" s="32" t="s">
        <v>178</v>
      </c>
      <c r="G20" s="33" t="s">
        <v>200</v>
      </c>
    </row>
    <row r="21" spans="1:7" ht="37.950000000000003" customHeight="1">
      <c r="A21" s="31" t="s">
        <v>153</v>
      </c>
      <c r="B21" s="32" t="s">
        <v>18</v>
      </c>
      <c r="C21" s="32" t="s">
        <v>198</v>
      </c>
      <c r="D21" s="32" t="s">
        <v>176</v>
      </c>
      <c r="E21" s="32" t="s">
        <v>177</v>
      </c>
      <c r="F21" s="32" t="s">
        <v>178</v>
      </c>
      <c r="G21" s="33" t="s">
        <v>201</v>
      </c>
    </row>
    <row r="22" spans="1:7" ht="37.950000000000003" customHeight="1">
      <c r="A22" s="31" t="s">
        <v>154</v>
      </c>
      <c r="B22" s="32" t="s">
        <v>20</v>
      </c>
      <c r="C22" s="32" t="s">
        <v>198</v>
      </c>
      <c r="D22" s="32" t="s">
        <v>176</v>
      </c>
      <c r="E22" s="32" t="s">
        <v>177</v>
      </c>
      <c r="F22" s="32" t="s">
        <v>178</v>
      </c>
      <c r="G22" s="33" t="s">
        <v>202</v>
      </c>
    </row>
    <row r="23" spans="1:7" ht="37.950000000000003" customHeight="1">
      <c r="A23" s="31" t="s">
        <v>155</v>
      </c>
      <c r="B23" s="32" t="s">
        <v>20</v>
      </c>
      <c r="C23" s="32" t="s">
        <v>198</v>
      </c>
      <c r="D23" s="32" t="s">
        <v>176</v>
      </c>
      <c r="E23" s="32" t="s">
        <v>177</v>
      </c>
      <c r="F23" s="32" t="s">
        <v>178</v>
      </c>
      <c r="G23" s="33" t="s">
        <v>203</v>
      </c>
    </row>
    <row r="24" spans="1:7" ht="37.950000000000003" customHeight="1">
      <c r="A24" s="31" t="s">
        <v>156</v>
      </c>
      <c r="B24" s="32" t="s">
        <v>20</v>
      </c>
      <c r="C24" s="32" t="s">
        <v>198</v>
      </c>
      <c r="D24" s="32" t="s">
        <v>176</v>
      </c>
      <c r="E24" s="32" t="s">
        <v>177</v>
      </c>
      <c r="F24" s="32" t="s">
        <v>178</v>
      </c>
      <c r="G24" s="33" t="s">
        <v>204</v>
      </c>
    </row>
    <row r="25" spans="1:7" ht="37.950000000000003" customHeight="1">
      <c r="A25" s="31" t="s">
        <v>157</v>
      </c>
      <c r="B25" s="32" t="s">
        <v>20</v>
      </c>
      <c r="C25" s="32" t="s">
        <v>198</v>
      </c>
      <c r="D25" s="32" t="s">
        <v>176</v>
      </c>
      <c r="E25" s="32" t="s">
        <v>168</v>
      </c>
      <c r="F25" s="32" t="s">
        <v>181</v>
      </c>
      <c r="G25" s="33" t="s">
        <v>205</v>
      </c>
    </row>
    <row r="26" spans="1:7" ht="37.950000000000003" customHeight="1">
      <c r="A26" s="31" t="s">
        <v>158</v>
      </c>
      <c r="B26" s="32" t="s">
        <v>22</v>
      </c>
      <c r="C26" s="32" t="s">
        <v>206</v>
      </c>
      <c r="D26" s="32" t="s">
        <v>176</v>
      </c>
      <c r="E26" s="32" t="s">
        <v>177</v>
      </c>
      <c r="F26" s="32" t="s">
        <v>178</v>
      </c>
      <c r="G26" s="33" t="s">
        <v>207</v>
      </c>
    </row>
    <row r="27" spans="1:7" ht="37.950000000000003" customHeight="1">
      <c r="A27" s="31" t="s">
        <v>159</v>
      </c>
      <c r="B27" s="32" t="s">
        <v>22</v>
      </c>
      <c r="C27" s="32" t="s">
        <v>206</v>
      </c>
      <c r="D27" s="32" t="s">
        <v>176</v>
      </c>
      <c r="E27" s="32" t="s">
        <v>177</v>
      </c>
      <c r="F27" s="32" t="s">
        <v>178</v>
      </c>
      <c r="G27" s="33" t="s">
        <v>208</v>
      </c>
    </row>
    <row r="28" spans="1:7" ht="37.950000000000003" customHeight="1">
      <c r="A28" s="31" t="s">
        <v>160</v>
      </c>
      <c r="B28" s="32" t="s">
        <v>24</v>
      </c>
      <c r="C28" s="32" t="s">
        <v>209</v>
      </c>
      <c r="D28" s="32" t="s">
        <v>176</v>
      </c>
      <c r="E28" s="32" t="s">
        <v>177</v>
      </c>
      <c r="F28" s="32" t="s">
        <v>178</v>
      </c>
      <c r="G28" s="33" t="s">
        <v>210</v>
      </c>
    </row>
    <row r="29" spans="1:7" ht="37.950000000000003" customHeight="1">
      <c r="A29" s="31" t="s">
        <v>161</v>
      </c>
      <c r="B29" s="32" t="s">
        <v>24</v>
      </c>
      <c r="C29" s="32" t="s">
        <v>209</v>
      </c>
      <c r="D29" s="32" t="s">
        <v>176</v>
      </c>
      <c r="E29" s="32" t="s">
        <v>177</v>
      </c>
      <c r="F29" s="32" t="s">
        <v>178</v>
      </c>
      <c r="G29" s="33" t="s">
        <v>211</v>
      </c>
    </row>
    <row r="30" spans="1:7" ht="37.950000000000003" customHeight="1">
      <c r="A30" s="31" t="s">
        <v>162</v>
      </c>
      <c r="B30" s="32" t="s">
        <v>24</v>
      </c>
      <c r="C30" s="32" t="s">
        <v>209</v>
      </c>
      <c r="D30" s="32" t="s">
        <v>176</v>
      </c>
      <c r="E30" s="32" t="s">
        <v>168</v>
      </c>
      <c r="F30" s="32" t="s">
        <v>181</v>
      </c>
      <c r="G30" s="33" t="s">
        <v>212</v>
      </c>
    </row>
    <row r="31" spans="1:7" ht="37.950000000000003" customHeight="1">
      <c r="A31" s="31" t="s">
        <v>163</v>
      </c>
      <c r="B31" s="32" t="s">
        <v>26</v>
      </c>
      <c r="C31" s="32" t="s">
        <v>209</v>
      </c>
      <c r="D31" s="32" t="s">
        <v>176</v>
      </c>
      <c r="E31" s="32" t="s">
        <v>168</v>
      </c>
      <c r="F31" s="32" t="s">
        <v>181</v>
      </c>
      <c r="G31" s="33" t="s">
        <v>213</v>
      </c>
    </row>
    <row r="32" spans="1:7" ht="37.950000000000003" customHeight="1">
      <c r="A32" s="31" t="s">
        <v>164</v>
      </c>
      <c r="B32" s="32" t="s">
        <v>26</v>
      </c>
      <c r="C32" s="32" t="s">
        <v>209</v>
      </c>
      <c r="D32" s="32" t="s">
        <v>176</v>
      </c>
      <c r="E32" s="32" t="s">
        <v>168</v>
      </c>
      <c r="F32" s="32" t="s">
        <v>181</v>
      </c>
      <c r="G32" s="33" t="s">
        <v>214</v>
      </c>
    </row>
    <row r="33" spans="1:7" ht="37.950000000000003" customHeight="1">
      <c r="A33" s="34" t="s">
        <v>165</v>
      </c>
      <c r="B33" s="35" t="s">
        <v>26</v>
      </c>
      <c r="C33" s="35" t="s">
        <v>209</v>
      </c>
      <c r="D33" s="35" t="s">
        <v>176</v>
      </c>
      <c r="E33" s="35" t="s">
        <v>177</v>
      </c>
      <c r="F33" s="35" t="s">
        <v>178</v>
      </c>
      <c r="G33" s="36" t="s">
        <v>215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showGridLines="0" workbookViewId="0"/>
  </sheetViews>
  <sheetFormatPr defaultRowHeight="13.8"/>
  <cols>
    <col min="1" max="4" width="36" customWidth="1"/>
    <col min="5" max="5" width="16" customWidth="1"/>
  </cols>
  <sheetData>
    <row r="1" spans="1:5">
      <c r="A1" s="37" t="s">
        <v>216</v>
      </c>
      <c r="B1" s="37" t="s">
        <v>19</v>
      </c>
      <c r="C1" s="37" t="s">
        <v>133</v>
      </c>
      <c r="D1" s="37" t="s">
        <v>21</v>
      </c>
      <c r="E1" s="37" t="s">
        <v>217</v>
      </c>
    </row>
    <row r="2" spans="1:5">
      <c r="A2" s="38" t="s">
        <v>218</v>
      </c>
      <c r="B2" s="39" t="s">
        <v>218</v>
      </c>
      <c r="C2" s="39" t="s">
        <v>218</v>
      </c>
      <c r="D2" s="39" t="s">
        <v>218</v>
      </c>
      <c r="E2" s="44">
        <v>58</v>
      </c>
    </row>
    <row r="3" spans="1:5">
      <c r="A3" s="40" t="s">
        <v>219</v>
      </c>
      <c r="B3" s="41" t="s">
        <v>218</v>
      </c>
      <c r="C3" s="41" t="s">
        <v>219</v>
      </c>
      <c r="D3" s="41" t="s">
        <v>77</v>
      </c>
      <c r="E3" s="45">
        <v>3</v>
      </c>
    </row>
    <row r="4" spans="1:5">
      <c r="A4" s="40" t="s">
        <v>219</v>
      </c>
      <c r="B4" s="41" t="s">
        <v>218</v>
      </c>
      <c r="C4" s="41" t="s">
        <v>219</v>
      </c>
      <c r="D4" s="41" t="s">
        <v>87</v>
      </c>
      <c r="E4" s="45">
        <v>2</v>
      </c>
    </row>
    <row r="5" spans="1:5">
      <c r="A5" s="40" t="s">
        <v>219</v>
      </c>
      <c r="B5" s="41" t="s">
        <v>218</v>
      </c>
      <c r="C5" s="41" t="s">
        <v>219</v>
      </c>
      <c r="D5" s="41" t="s">
        <v>113</v>
      </c>
      <c r="E5" s="45">
        <v>1</v>
      </c>
    </row>
    <row r="6" spans="1:5">
      <c r="A6" s="40" t="s">
        <v>219</v>
      </c>
      <c r="B6" s="41" t="s">
        <v>218</v>
      </c>
      <c r="C6" s="41" t="s">
        <v>219</v>
      </c>
      <c r="D6" s="41" t="s">
        <v>85</v>
      </c>
      <c r="E6" s="45">
        <v>4</v>
      </c>
    </row>
    <row r="7" spans="1:5">
      <c r="A7" s="40" t="s">
        <v>219</v>
      </c>
      <c r="B7" s="41" t="s">
        <v>218</v>
      </c>
      <c r="C7" s="41" t="s">
        <v>219</v>
      </c>
      <c r="D7" s="41" t="s">
        <v>110</v>
      </c>
      <c r="E7" s="45">
        <v>4</v>
      </c>
    </row>
    <row r="8" spans="1:5">
      <c r="A8" s="40" t="s">
        <v>219</v>
      </c>
      <c r="B8" s="41" t="s">
        <v>218</v>
      </c>
      <c r="C8" s="41" t="s">
        <v>219</v>
      </c>
      <c r="D8" s="41" t="s">
        <v>64</v>
      </c>
      <c r="E8" s="45">
        <v>2</v>
      </c>
    </row>
    <row r="9" spans="1:5">
      <c r="A9" s="40" t="s">
        <v>219</v>
      </c>
      <c r="B9" s="41" t="s">
        <v>218</v>
      </c>
      <c r="C9" s="41" t="s">
        <v>219</v>
      </c>
      <c r="D9" s="41" t="s">
        <v>95</v>
      </c>
      <c r="E9" s="45">
        <v>1</v>
      </c>
    </row>
    <row r="10" spans="1:5">
      <c r="A10" s="40" t="s">
        <v>219</v>
      </c>
      <c r="B10" s="41" t="s">
        <v>218</v>
      </c>
      <c r="C10" s="41" t="s">
        <v>219</v>
      </c>
      <c r="D10" s="41" t="s">
        <v>72</v>
      </c>
      <c r="E10" s="45">
        <v>1</v>
      </c>
    </row>
    <row r="11" spans="1:5">
      <c r="A11" s="40" t="s">
        <v>219</v>
      </c>
      <c r="B11" s="41" t="s">
        <v>218</v>
      </c>
      <c r="C11" s="41" t="s">
        <v>219</v>
      </c>
      <c r="D11" s="41" t="s">
        <v>90</v>
      </c>
      <c r="E11" s="45">
        <v>1</v>
      </c>
    </row>
    <row r="12" spans="1:5">
      <c r="A12" s="40" t="s">
        <v>219</v>
      </c>
      <c r="B12" s="41" t="s">
        <v>218</v>
      </c>
      <c r="C12" s="41" t="s">
        <v>219</v>
      </c>
      <c r="D12" s="41" t="s">
        <v>74</v>
      </c>
      <c r="E12" s="45">
        <v>6</v>
      </c>
    </row>
    <row r="13" spans="1:5">
      <c r="A13" s="40" t="s">
        <v>219</v>
      </c>
      <c r="B13" s="41" t="s">
        <v>218</v>
      </c>
      <c r="C13" s="41" t="s">
        <v>219</v>
      </c>
      <c r="D13" s="41" t="s">
        <v>67</v>
      </c>
      <c r="E13" s="45">
        <v>2</v>
      </c>
    </row>
    <row r="14" spans="1:5">
      <c r="A14" s="40" t="s">
        <v>219</v>
      </c>
      <c r="B14" s="41" t="s">
        <v>218</v>
      </c>
      <c r="C14" s="41" t="s">
        <v>219</v>
      </c>
      <c r="D14" s="41" t="s">
        <v>66</v>
      </c>
      <c r="E14" s="45">
        <v>3</v>
      </c>
    </row>
    <row r="15" spans="1:5">
      <c r="A15" s="40" t="s">
        <v>219</v>
      </c>
      <c r="B15" s="41" t="s">
        <v>218</v>
      </c>
      <c r="C15" s="41" t="s">
        <v>219</v>
      </c>
      <c r="D15" s="41" t="s">
        <v>68</v>
      </c>
      <c r="E15" s="45">
        <v>11</v>
      </c>
    </row>
    <row r="16" spans="1:5">
      <c r="A16" s="40" t="s">
        <v>219</v>
      </c>
      <c r="B16" s="41" t="s">
        <v>218</v>
      </c>
      <c r="C16" s="41" t="s">
        <v>219</v>
      </c>
      <c r="D16" s="41" t="s">
        <v>83</v>
      </c>
      <c r="E16" s="45">
        <v>1</v>
      </c>
    </row>
    <row r="17" spans="1:5">
      <c r="A17" s="40" t="s">
        <v>219</v>
      </c>
      <c r="B17" s="41" t="s">
        <v>218</v>
      </c>
      <c r="C17" s="41" t="s">
        <v>219</v>
      </c>
      <c r="D17" s="41" t="s">
        <v>105</v>
      </c>
      <c r="E17" s="45">
        <v>4</v>
      </c>
    </row>
    <row r="18" spans="1:5">
      <c r="A18" s="40" t="s">
        <v>219</v>
      </c>
      <c r="B18" s="41" t="s">
        <v>218</v>
      </c>
      <c r="C18" s="41" t="s">
        <v>219</v>
      </c>
      <c r="D18" s="41" t="s">
        <v>97</v>
      </c>
      <c r="E18" s="45">
        <v>6</v>
      </c>
    </row>
    <row r="19" spans="1:5">
      <c r="A19" s="40" t="s">
        <v>219</v>
      </c>
      <c r="B19" s="41" t="s">
        <v>218</v>
      </c>
      <c r="C19" s="41" t="s">
        <v>219</v>
      </c>
      <c r="D19" s="41" t="s">
        <v>79</v>
      </c>
      <c r="E19" s="45">
        <v>2</v>
      </c>
    </row>
    <row r="20" spans="1:5">
      <c r="A20" s="40" t="s">
        <v>219</v>
      </c>
      <c r="B20" s="41" t="s">
        <v>218</v>
      </c>
      <c r="C20" s="41" t="s">
        <v>219</v>
      </c>
      <c r="D20" s="41" t="s">
        <v>81</v>
      </c>
      <c r="E20" s="45">
        <v>4</v>
      </c>
    </row>
    <row r="21" spans="1:5">
      <c r="A21" s="40" t="s">
        <v>130</v>
      </c>
      <c r="B21" s="41" t="s">
        <v>130</v>
      </c>
      <c r="C21" s="41" t="s">
        <v>130</v>
      </c>
      <c r="D21" s="41" t="s">
        <v>97</v>
      </c>
      <c r="E21" s="45">
        <v>1</v>
      </c>
    </row>
    <row r="22" spans="1:5">
      <c r="A22" s="40" t="s">
        <v>63</v>
      </c>
      <c r="B22" s="41" t="s">
        <v>63</v>
      </c>
      <c r="C22" s="41" t="s">
        <v>63</v>
      </c>
      <c r="D22" s="41" t="s">
        <v>64</v>
      </c>
      <c r="E22" s="45">
        <v>1</v>
      </c>
    </row>
    <row r="23" spans="1:5">
      <c r="A23" s="40" t="s">
        <v>63</v>
      </c>
      <c r="B23" s="41" t="s">
        <v>63</v>
      </c>
      <c r="C23" s="41" t="s">
        <v>63</v>
      </c>
      <c r="D23" s="41" t="s">
        <v>68</v>
      </c>
      <c r="E23" s="45">
        <v>7</v>
      </c>
    </row>
    <row r="24" spans="1:5">
      <c r="A24" s="40" t="s">
        <v>63</v>
      </c>
      <c r="B24" s="41" t="s">
        <v>63</v>
      </c>
      <c r="C24" s="41" t="s">
        <v>63</v>
      </c>
      <c r="D24" s="41" t="s">
        <v>105</v>
      </c>
      <c r="E24" s="45">
        <v>2</v>
      </c>
    </row>
    <row r="25" spans="1:5">
      <c r="A25" s="40" t="s">
        <v>63</v>
      </c>
      <c r="B25" s="41" t="s">
        <v>63</v>
      </c>
      <c r="C25" s="41" t="s">
        <v>63</v>
      </c>
      <c r="D25" s="41" t="s">
        <v>97</v>
      </c>
      <c r="E25" s="45">
        <v>2</v>
      </c>
    </row>
    <row r="26" spans="1:5">
      <c r="A26" s="40" t="s">
        <v>63</v>
      </c>
      <c r="B26" s="41" t="s">
        <v>63</v>
      </c>
      <c r="C26" s="41" t="s">
        <v>63</v>
      </c>
      <c r="D26" s="41" t="s">
        <v>81</v>
      </c>
      <c r="E26" s="45">
        <v>4</v>
      </c>
    </row>
    <row r="27" spans="1:5">
      <c r="A27" s="40" t="s">
        <v>71</v>
      </c>
      <c r="B27" s="41" t="s">
        <v>71</v>
      </c>
      <c r="C27" s="41" t="s">
        <v>71</v>
      </c>
      <c r="D27" s="41" t="s">
        <v>77</v>
      </c>
      <c r="E27" s="45">
        <v>3</v>
      </c>
    </row>
    <row r="28" spans="1:5">
      <c r="A28" s="40" t="s">
        <v>71</v>
      </c>
      <c r="B28" s="41" t="s">
        <v>71</v>
      </c>
      <c r="C28" s="41" t="s">
        <v>71</v>
      </c>
      <c r="D28" s="41" t="s">
        <v>87</v>
      </c>
      <c r="E28" s="45">
        <v>2</v>
      </c>
    </row>
    <row r="29" spans="1:5">
      <c r="A29" s="40" t="s">
        <v>71</v>
      </c>
      <c r="B29" s="41" t="s">
        <v>71</v>
      </c>
      <c r="C29" s="41" t="s">
        <v>71</v>
      </c>
      <c r="D29" s="41" t="s">
        <v>113</v>
      </c>
      <c r="E29" s="45">
        <v>1</v>
      </c>
    </row>
    <row r="30" spans="1:5">
      <c r="A30" s="40" t="s">
        <v>71</v>
      </c>
      <c r="B30" s="41" t="s">
        <v>71</v>
      </c>
      <c r="C30" s="41" t="s">
        <v>71</v>
      </c>
      <c r="D30" s="41" t="s">
        <v>85</v>
      </c>
      <c r="E30" s="45">
        <v>4</v>
      </c>
    </row>
    <row r="31" spans="1:5">
      <c r="A31" s="40" t="s">
        <v>71</v>
      </c>
      <c r="B31" s="41" t="s">
        <v>71</v>
      </c>
      <c r="C31" s="41" t="s">
        <v>71</v>
      </c>
      <c r="D31" s="41" t="s">
        <v>110</v>
      </c>
      <c r="E31" s="45">
        <v>1</v>
      </c>
    </row>
    <row r="32" spans="1:5">
      <c r="A32" s="40" t="s">
        <v>71</v>
      </c>
      <c r="B32" s="41" t="s">
        <v>71</v>
      </c>
      <c r="C32" s="41" t="s">
        <v>71</v>
      </c>
      <c r="D32" s="41" t="s">
        <v>72</v>
      </c>
      <c r="E32" s="45">
        <v>1</v>
      </c>
    </row>
    <row r="33" spans="1:5">
      <c r="A33" s="40" t="s">
        <v>71</v>
      </c>
      <c r="B33" s="41" t="s">
        <v>71</v>
      </c>
      <c r="C33" s="41" t="s">
        <v>71</v>
      </c>
      <c r="D33" s="41" t="s">
        <v>90</v>
      </c>
      <c r="E33" s="45">
        <v>1</v>
      </c>
    </row>
    <row r="34" spans="1:5">
      <c r="A34" s="40" t="s">
        <v>71</v>
      </c>
      <c r="B34" s="41" t="s">
        <v>71</v>
      </c>
      <c r="C34" s="41" t="s">
        <v>71</v>
      </c>
      <c r="D34" s="41" t="s">
        <v>68</v>
      </c>
      <c r="E34" s="45">
        <v>3</v>
      </c>
    </row>
    <row r="35" spans="1:5">
      <c r="A35" s="40" t="s">
        <v>71</v>
      </c>
      <c r="B35" s="41" t="s">
        <v>71</v>
      </c>
      <c r="C35" s="41" t="s">
        <v>71</v>
      </c>
      <c r="D35" s="41" t="s">
        <v>83</v>
      </c>
      <c r="E35" s="45">
        <v>1</v>
      </c>
    </row>
    <row r="36" spans="1:5">
      <c r="A36" s="40" t="s">
        <v>71</v>
      </c>
      <c r="B36" s="41" t="s">
        <v>71</v>
      </c>
      <c r="C36" s="41" t="s">
        <v>71</v>
      </c>
      <c r="D36" s="41" t="s">
        <v>105</v>
      </c>
      <c r="E36" s="45">
        <v>1</v>
      </c>
    </row>
    <row r="37" spans="1:5">
      <c r="A37" s="40" t="s">
        <v>71</v>
      </c>
      <c r="B37" s="41" t="s">
        <v>71</v>
      </c>
      <c r="C37" s="41" t="s">
        <v>71</v>
      </c>
      <c r="D37" s="41" t="s">
        <v>97</v>
      </c>
      <c r="E37" s="45">
        <v>1</v>
      </c>
    </row>
    <row r="38" spans="1:5">
      <c r="A38" s="40" t="s">
        <v>71</v>
      </c>
      <c r="B38" s="41" t="s">
        <v>71</v>
      </c>
      <c r="C38" s="41" t="s">
        <v>71</v>
      </c>
      <c r="D38" s="41" t="s">
        <v>79</v>
      </c>
      <c r="E38" s="45">
        <v>1</v>
      </c>
    </row>
    <row r="39" spans="1:5">
      <c r="A39" s="40" t="s">
        <v>65</v>
      </c>
      <c r="B39" s="41" t="s">
        <v>65</v>
      </c>
      <c r="C39" s="41" t="s">
        <v>65</v>
      </c>
      <c r="D39" s="41" t="s">
        <v>110</v>
      </c>
      <c r="E39" s="45">
        <v>3</v>
      </c>
    </row>
    <row r="40" spans="1:5">
      <c r="A40" s="40" t="s">
        <v>65</v>
      </c>
      <c r="B40" s="41" t="s">
        <v>65</v>
      </c>
      <c r="C40" s="41" t="s">
        <v>65</v>
      </c>
      <c r="D40" s="41" t="s">
        <v>64</v>
      </c>
      <c r="E40" s="45">
        <v>1</v>
      </c>
    </row>
    <row r="41" spans="1:5">
      <c r="A41" s="40" t="s">
        <v>65</v>
      </c>
      <c r="B41" s="41" t="s">
        <v>65</v>
      </c>
      <c r="C41" s="41" t="s">
        <v>65</v>
      </c>
      <c r="D41" s="41" t="s">
        <v>95</v>
      </c>
      <c r="E41" s="45">
        <v>1</v>
      </c>
    </row>
    <row r="42" spans="1:5">
      <c r="A42" s="40" t="s">
        <v>65</v>
      </c>
      <c r="B42" s="41" t="s">
        <v>65</v>
      </c>
      <c r="C42" s="41" t="s">
        <v>65</v>
      </c>
      <c r="D42" s="41" t="s">
        <v>74</v>
      </c>
      <c r="E42" s="45">
        <v>6</v>
      </c>
    </row>
    <row r="43" spans="1:5">
      <c r="A43" s="40" t="s">
        <v>65</v>
      </c>
      <c r="B43" s="41" t="s">
        <v>65</v>
      </c>
      <c r="C43" s="41" t="s">
        <v>65</v>
      </c>
      <c r="D43" s="41" t="s">
        <v>67</v>
      </c>
      <c r="E43" s="45">
        <v>2</v>
      </c>
    </row>
    <row r="44" spans="1:5">
      <c r="A44" s="40" t="s">
        <v>65</v>
      </c>
      <c r="B44" s="41" t="s">
        <v>65</v>
      </c>
      <c r="C44" s="41" t="s">
        <v>65</v>
      </c>
      <c r="D44" s="41" t="s">
        <v>66</v>
      </c>
      <c r="E44" s="45">
        <v>3</v>
      </c>
    </row>
    <row r="45" spans="1:5">
      <c r="A45" s="40" t="s">
        <v>65</v>
      </c>
      <c r="B45" s="41" t="s">
        <v>65</v>
      </c>
      <c r="C45" s="41" t="s">
        <v>65</v>
      </c>
      <c r="D45" s="41" t="s">
        <v>68</v>
      </c>
      <c r="E45" s="45">
        <v>1</v>
      </c>
    </row>
    <row r="46" spans="1:5">
      <c r="A46" s="40" t="s">
        <v>65</v>
      </c>
      <c r="B46" s="41" t="s">
        <v>65</v>
      </c>
      <c r="C46" s="41" t="s">
        <v>65</v>
      </c>
      <c r="D46" s="41" t="s">
        <v>105</v>
      </c>
      <c r="E46" s="45">
        <v>1</v>
      </c>
    </row>
    <row r="47" spans="1:5">
      <c r="A47" s="40" t="s">
        <v>65</v>
      </c>
      <c r="B47" s="41" t="s">
        <v>65</v>
      </c>
      <c r="C47" s="41" t="s">
        <v>65</v>
      </c>
      <c r="D47" s="41" t="s">
        <v>97</v>
      </c>
      <c r="E47" s="45">
        <v>2</v>
      </c>
    </row>
    <row r="48" spans="1:5">
      <c r="A48" s="42" t="s">
        <v>65</v>
      </c>
      <c r="B48" s="43" t="s">
        <v>65</v>
      </c>
      <c r="C48" s="43" t="s">
        <v>65</v>
      </c>
      <c r="D48" s="43" t="s">
        <v>79</v>
      </c>
      <c r="E48" s="4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5"/>
  <sheetViews>
    <sheetView showGridLines="0" workbookViewId="0"/>
  </sheetViews>
  <sheetFormatPr defaultRowHeight="13.8"/>
  <cols>
    <col min="1" max="1" width="48" customWidth="1"/>
    <col min="2" max="2" width="95" customWidth="1"/>
    <col min="3" max="49" width="15" customWidth="1"/>
  </cols>
  <sheetData>
    <row r="1" spans="1:49" ht="34.049999999999997" customHeight="1">
      <c r="A1" s="82" t="s">
        <v>4</v>
      </c>
      <c r="B1" s="82" t="s">
        <v>220</v>
      </c>
      <c r="C1" s="82" t="s">
        <v>218</v>
      </c>
      <c r="D1" s="82" t="s">
        <v>218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47" t="s">
        <v>130</v>
      </c>
      <c r="W1" s="82" t="s">
        <v>63</v>
      </c>
      <c r="X1" s="82"/>
      <c r="Y1" s="82"/>
      <c r="Z1" s="82"/>
      <c r="AA1" s="82"/>
      <c r="AB1" s="82" t="s">
        <v>71</v>
      </c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 t="s">
        <v>65</v>
      </c>
      <c r="AO1" s="82"/>
      <c r="AP1" s="82"/>
      <c r="AQ1" s="82"/>
      <c r="AR1" s="82"/>
      <c r="AS1" s="82"/>
      <c r="AT1" s="82"/>
      <c r="AU1" s="82"/>
      <c r="AV1" s="82"/>
      <c r="AW1" s="82"/>
    </row>
    <row r="2" spans="1:49" ht="34.049999999999997" customHeight="1">
      <c r="A2" s="82"/>
      <c r="B2" s="82"/>
      <c r="C2" s="82"/>
      <c r="D2" s="82" t="s">
        <v>219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47" t="s">
        <v>130</v>
      </c>
      <c r="W2" s="82" t="s">
        <v>63</v>
      </c>
      <c r="X2" s="82"/>
      <c r="Y2" s="82"/>
      <c r="Z2" s="82"/>
      <c r="AA2" s="82"/>
      <c r="AB2" s="82" t="s">
        <v>71</v>
      </c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 t="s">
        <v>65</v>
      </c>
      <c r="AO2" s="82"/>
      <c r="AP2" s="82"/>
      <c r="AQ2" s="82"/>
      <c r="AR2" s="82"/>
      <c r="AS2" s="82"/>
      <c r="AT2" s="82"/>
      <c r="AU2" s="82"/>
      <c r="AV2" s="82"/>
      <c r="AW2" s="82"/>
    </row>
    <row r="3" spans="1:49" ht="34.049999999999997" customHeight="1">
      <c r="A3" s="82"/>
      <c r="B3" s="82"/>
      <c r="C3" s="82"/>
      <c r="D3" s="47" t="s">
        <v>77</v>
      </c>
      <c r="E3" s="47" t="s">
        <v>87</v>
      </c>
      <c r="F3" s="47" t="s">
        <v>113</v>
      </c>
      <c r="G3" s="47" t="s">
        <v>85</v>
      </c>
      <c r="H3" s="47" t="s">
        <v>110</v>
      </c>
      <c r="I3" s="47" t="s">
        <v>64</v>
      </c>
      <c r="J3" s="47" t="s">
        <v>95</v>
      </c>
      <c r="K3" s="47" t="s">
        <v>72</v>
      </c>
      <c r="L3" s="47" t="s">
        <v>90</v>
      </c>
      <c r="M3" s="47" t="s">
        <v>74</v>
      </c>
      <c r="N3" s="47" t="s">
        <v>67</v>
      </c>
      <c r="O3" s="47" t="s">
        <v>66</v>
      </c>
      <c r="P3" s="47" t="s">
        <v>68</v>
      </c>
      <c r="Q3" s="47" t="s">
        <v>83</v>
      </c>
      <c r="R3" s="47" t="s">
        <v>105</v>
      </c>
      <c r="S3" s="47" t="s">
        <v>97</v>
      </c>
      <c r="T3" s="47" t="s">
        <v>79</v>
      </c>
      <c r="U3" s="47" t="s">
        <v>81</v>
      </c>
      <c r="V3" s="47" t="s">
        <v>97</v>
      </c>
      <c r="W3" s="47" t="s">
        <v>64</v>
      </c>
      <c r="X3" s="47" t="s">
        <v>68</v>
      </c>
      <c r="Y3" s="47" t="s">
        <v>105</v>
      </c>
      <c r="Z3" s="47" t="s">
        <v>97</v>
      </c>
      <c r="AA3" s="47" t="s">
        <v>81</v>
      </c>
      <c r="AB3" s="47" t="s">
        <v>77</v>
      </c>
      <c r="AC3" s="47" t="s">
        <v>87</v>
      </c>
      <c r="AD3" s="47" t="s">
        <v>113</v>
      </c>
      <c r="AE3" s="47" t="s">
        <v>85</v>
      </c>
      <c r="AF3" s="47" t="s">
        <v>110</v>
      </c>
      <c r="AG3" s="47" t="s">
        <v>72</v>
      </c>
      <c r="AH3" s="47" t="s">
        <v>90</v>
      </c>
      <c r="AI3" s="47" t="s">
        <v>68</v>
      </c>
      <c r="AJ3" s="47" t="s">
        <v>83</v>
      </c>
      <c r="AK3" s="47" t="s">
        <v>105</v>
      </c>
      <c r="AL3" s="47" t="s">
        <v>97</v>
      </c>
      <c r="AM3" s="47" t="s">
        <v>79</v>
      </c>
      <c r="AN3" s="47" t="s">
        <v>110</v>
      </c>
      <c r="AO3" s="47" t="s">
        <v>64</v>
      </c>
      <c r="AP3" s="47" t="s">
        <v>95</v>
      </c>
      <c r="AQ3" s="47" t="s">
        <v>74</v>
      </c>
      <c r="AR3" s="47" t="s">
        <v>67</v>
      </c>
      <c r="AS3" s="47" t="s">
        <v>66</v>
      </c>
      <c r="AT3" s="47" t="s">
        <v>68</v>
      </c>
      <c r="AU3" s="47" t="s">
        <v>105</v>
      </c>
      <c r="AV3" s="47" t="s">
        <v>97</v>
      </c>
      <c r="AW3" s="47" t="s">
        <v>79</v>
      </c>
    </row>
    <row r="4" spans="1:49" ht="42" customHeight="1">
      <c r="A4" s="48" t="s">
        <v>8</v>
      </c>
      <c r="B4" s="49" t="s">
        <v>31</v>
      </c>
      <c r="C4" s="54">
        <f>IFERROR(100*COUNTIFS(Raw_Data!$G$2:$G$59,"&gt;=4",Raw_Data!$G$2:$G$59,"&lt;=5",Raw_Data!$A$2:$A$59,"Yes")/COUNTIFS(Raw_Data!$G$2:$G$59,"&gt;=1",Raw_Data!$G$2:$G$59,"&lt;=5",Raw_Data!$A$2:$A$59,"Yes"),"")</f>
        <v>63.793103448275865</v>
      </c>
      <c r="D4" s="54">
        <f>IFERROR(100*COUNTIFS(Raw_Data!$G$2:$G$59,"&gt;=4",Raw_Data!$G$2:$G$59,"&lt;=5",Raw_Data!$A$2:$A$59,"Yes",Raw_Data!$D$2:$D$59,"การเงิน")/COUNTIFS(Raw_Data!$G$2:$G$59,"&gt;=1",Raw_Data!$G$2:$G$59,"&lt;=5",Raw_Data!$A$2:$A$59,"Yes",Raw_Data!$D$2:$D$59,"การเงิน"),"")</f>
        <v>33.333333333333336</v>
      </c>
      <c r="E4" s="54">
        <f>IFERROR(100*COUNTIFS(Raw_Data!$G$2:$G$59,"&gt;=4",Raw_Data!$G$2:$G$59,"&lt;=5",Raw_Data!$A$2:$A$59,"Yes",Raw_Data!$D$2:$D$59,"เคหรักษ์")/COUNTIFS(Raw_Data!$G$2:$G$59,"&gt;=1",Raw_Data!$G$2:$G$59,"&lt;=5",Raw_Data!$A$2:$A$59,"Yes",Raw_Data!$D$2:$D$59,"เคหรักษ์"),"")</f>
        <v>0</v>
      </c>
      <c r="F4" s="54">
        <f>IFERROR(100*COUNTIFS(Raw_Data!$G$2:$G$59,"&gt;=4",Raw_Data!$G$2:$G$59,"&lt;=5",Raw_Data!$A$2:$A$59,"Yes",Raw_Data!$D$2:$D$59,"จ่ายกลาง")/COUNTIFS(Raw_Data!$G$2:$G$59,"&gt;=1",Raw_Data!$G$2:$G$59,"&lt;=5",Raw_Data!$A$2:$A$59,"Yes",Raw_Data!$D$2:$D$59,"จ่ายกลาง"),"")</f>
        <v>100</v>
      </c>
      <c r="G4" s="54">
        <f>IFERROR(100*COUNTIFS(Raw_Data!$G$2:$G$59,"&gt;=4",Raw_Data!$G$2:$G$59,"&lt;=5",Raw_Data!$A$2:$A$59,"Yes",Raw_Data!$D$2:$D$59,"ช่างและสนาม")/COUNTIFS(Raw_Data!$G$2:$G$59,"&gt;=1",Raw_Data!$G$2:$G$59,"&lt;=5",Raw_Data!$A$2:$A$59,"Yes",Raw_Data!$D$2:$D$59,"ช่างและสนาม"),"")</f>
        <v>50</v>
      </c>
      <c r="H4" s="54">
        <f>IFERROR(100*COUNTIFS(Raw_Data!$G$2:$G$59,"&gt;=4",Raw_Data!$G$2:$G$59,"&lt;=5",Raw_Data!$A$2:$A$59,"Yes",Raw_Data!$D$2:$D$59,"ผู้ป่วยสัมพันธ์")/COUNTIFS(Raw_Data!$G$2:$G$59,"&gt;=1",Raw_Data!$G$2:$G$59,"&lt;=5",Raw_Data!$A$2:$A$59,"Yes",Raw_Data!$D$2:$D$59,"ผู้ป่วยสัมพันธ์"),"")</f>
        <v>75</v>
      </c>
      <c r="I4" s="54">
        <f>IFERROR(100*COUNTIFS(Raw_Data!$G$2:$G$59,"&gt;=4",Raw_Data!$G$2:$G$59,"&lt;=5",Raw_Data!$A$2:$A$59,"Yes",Raw_Data!$D$2:$D$59,"ฝ่ายการพยาบาล")/COUNTIFS(Raw_Data!$G$2:$G$59,"&gt;=1",Raw_Data!$G$2:$G$59,"&lt;=5",Raw_Data!$A$2:$A$59,"Yes",Raw_Data!$D$2:$D$59,"ฝ่ายการพยาบาล"),"")</f>
        <v>50</v>
      </c>
      <c r="J4" s="54">
        <f>IFERROR(100*COUNTIFS(Raw_Data!$G$2:$G$59,"&gt;=4",Raw_Data!$G$2:$G$59,"&lt;=5",Raw_Data!$A$2:$A$59,"Yes",Raw_Data!$D$2:$D$59,"โภชนาการ")/COUNTIFS(Raw_Data!$G$2:$G$59,"&gt;=1",Raw_Data!$G$2:$G$59,"&lt;=5",Raw_Data!$A$2:$A$59,"Yes",Raw_Data!$D$2:$D$59,"โภชนาการ"),"")</f>
        <v>100</v>
      </c>
      <c r="K4" s="54">
        <f>IFERROR(100*COUNTIFS(Raw_Data!$G$2:$G$59,"&gt;=4",Raw_Data!$G$2:$G$59,"&lt;=5",Raw_Data!$A$2:$A$59,"Yes",Raw_Data!$D$2:$D$59,"ยานพาหนะ")/COUNTIFS(Raw_Data!$G$2:$G$59,"&gt;=1",Raw_Data!$G$2:$G$59,"&lt;=5",Raw_Data!$A$2:$A$59,"Yes",Raw_Data!$D$2:$D$59,"ยานพาหนะ"),"")</f>
        <v>0</v>
      </c>
      <c r="L4" s="54">
        <f>IFERROR(100*COUNTIFS(Raw_Data!$G$2:$G$59,"&gt;=4",Raw_Data!$G$2:$G$59,"&lt;=5",Raw_Data!$A$2:$A$59,"Yes",Raw_Data!$D$2:$D$59,"สื่อสารการตลาด")/COUNTIFS(Raw_Data!$G$2:$G$59,"&gt;=1",Raw_Data!$G$2:$G$59,"&lt;=5",Raw_Data!$A$2:$A$59,"Yes",Raw_Data!$D$2:$D$59,"สื่อสารการตลาด"),"")</f>
        <v>0</v>
      </c>
      <c r="M4" s="54">
        <f>IFERROR(100*COUNTIFS(Raw_Data!$G$2:$G$59,"&gt;=4",Raw_Data!$G$2:$G$59,"&lt;=5",Raw_Data!$A$2:$A$59,"Yes",Raw_Data!$D$2:$D$59,"ห้องยา")/COUNTIFS(Raw_Data!$G$2:$G$59,"&gt;=1",Raw_Data!$G$2:$G$59,"&lt;=5",Raw_Data!$A$2:$A$59,"Yes",Raw_Data!$D$2:$D$59,"ห้องยา"),"")</f>
        <v>100</v>
      </c>
      <c r="N4" s="54">
        <f>IFERROR(100*COUNTIFS(Raw_Data!$G$2:$G$59,"&gt;=4",Raw_Data!$G$2:$G$59,"&lt;=5",Raw_Data!$A$2:$A$59,"Yes",Raw_Data!$D$2:$D$59,"ห้องแลป")/COUNTIFS(Raw_Data!$G$2:$G$59,"&gt;=1",Raw_Data!$G$2:$G$59,"&lt;=5",Raw_Data!$A$2:$A$59,"Yes",Raw_Data!$D$2:$D$59,"ห้องแลป"),"")</f>
        <v>50</v>
      </c>
      <c r="O4" s="54">
        <f>IFERROR(100*COUNTIFS(Raw_Data!$G$2:$G$59,"&gt;=4",Raw_Data!$G$2:$G$59,"&lt;=5",Raw_Data!$A$2:$A$59,"Yes",Raw_Data!$D$2:$D$59,"ห้องเอ็กซเรย์")/COUNTIFS(Raw_Data!$G$2:$G$59,"&gt;=1",Raw_Data!$G$2:$G$59,"&lt;=5",Raw_Data!$A$2:$A$59,"Yes",Raw_Data!$D$2:$D$59,"ห้องเอ็กซเรย์"),"")</f>
        <v>100</v>
      </c>
      <c r="P4" s="54">
        <f>IFERROR(100*COUNTIFS(Raw_Data!$G$2:$G$59,"&gt;=4",Raw_Data!$G$2:$G$59,"&lt;=5",Raw_Data!$A$2:$A$59,"Yes",Raw_Data!$D$2:$D$59,"ERและเปล")/COUNTIFS(Raw_Data!$G$2:$G$59,"&gt;=1",Raw_Data!$G$2:$G$59,"&lt;=5",Raw_Data!$A$2:$A$59,"Yes",Raw_Data!$D$2:$D$59,"ERและเปล"),"")</f>
        <v>27.272727272727273</v>
      </c>
      <c r="Q4" s="54">
        <f>IFERROR(100*COUNTIFS(Raw_Data!$G$2:$G$59,"&gt;=4",Raw_Data!$G$2:$G$59,"&lt;=5",Raw_Data!$A$2:$A$59,"Yes",Raw_Data!$D$2:$D$59,"HR")/COUNTIFS(Raw_Data!$G$2:$G$59,"&gt;=1",Raw_Data!$G$2:$G$59,"&lt;=5",Raw_Data!$A$2:$A$59,"Yes",Raw_Data!$D$2:$D$59,"HR"),"")</f>
        <v>100</v>
      </c>
      <c r="R4" s="54">
        <f>IFERROR(100*COUNTIFS(Raw_Data!$G$2:$G$59,"&gt;=4",Raw_Data!$G$2:$G$59,"&lt;=5",Raw_Data!$A$2:$A$59,"Yes",Raw_Data!$D$2:$D$59,"ICU")/COUNTIFS(Raw_Data!$G$2:$G$59,"&gt;=1",Raw_Data!$G$2:$G$59,"&lt;=5",Raw_Data!$A$2:$A$59,"Yes",Raw_Data!$D$2:$D$59,"ICU"),"")</f>
        <v>100</v>
      </c>
      <c r="S4" s="54">
        <f>IFERROR(100*COUNTIFS(Raw_Data!$G$2:$G$59,"&gt;=4",Raw_Data!$G$2:$G$59,"&lt;=5",Raw_Data!$A$2:$A$59,"Yes",Raw_Data!$D$2:$D$59,"IPD")/COUNTIFS(Raw_Data!$G$2:$G$59,"&gt;=1",Raw_Data!$G$2:$G$59,"&lt;=5",Raw_Data!$A$2:$A$59,"Yes",Raw_Data!$D$2:$D$59,"IPD"),"")</f>
        <v>66.666666666666671</v>
      </c>
      <c r="T4" s="54">
        <f>IFERROR(100*COUNTIFS(Raw_Data!$G$2:$G$59,"&gt;=4",Raw_Data!$G$2:$G$59,"&lt;=5",Raw_Data!$A$2:$A$59,"Yes",Raw_Data!$D$2:$D$59,"IT")/COUNTIFS(Raw_Data!$G$2:$G$59,"&gt;=1",Raw_Data!$G$2:$G$59,"&lt;=5",Raw_Data!$A$2:$A$59,"Yes",Raw_Data!$D$2:$D$59,"IT"),"")</f>
        <v>100</v>
      </c>
      <c r="U4" s="54">
        <f>IFERROR(100*COUNTIFS(Raw_Data!$G$2:$G$59,"&gt;=4",Raw_Data!$G$2:$G$59,"&lt;=5",Raw_Data!$A$2:$A$59,"Yes",Raw_Data!$D$2:$D$59,"OR")/COUNTIFS(Raw_Data!$G$2:$G$59,"&gt;=1",Raw_Data!$G$2:$G$59,"&lt;=5",Raw_Data!$A$2:$A$59,"Yes",Raw_Data!$D$2:$D$59,"OR"),"")</f>
        <v>100</v>
      </c>
      <c r="V4" s="54">
        <f>IFERROR(100*COUNTIFS(Raw_Data!$G$2:$G$59,"&gt;=4",Raw_Data!$G$2:$G$59,"&lt;=5",Raw_Data!$A$2:$A$59,"Yes",Raw_Data!$D$2:$D$59,"IPD",Raw_Data!$E$2:$E$59,"ผู้บริหาร")/COUNTIFS(Raw_Data!$G$2:$G$59,"&gt;=1",Raw_Data!$G$2:$G$59,"&lt;=5",Raw_Data!$A$2:$A$59,"Yes",Raw_Data!$D$2:$D$59,"IPD",Raw_Data!$E$2:$E$59,"ผู้บริหาร"),"")</f>
        <v>100</v>
      </c>
      <c r="W4" s="54">
        <f>IFERROR(100*COUNTIFS(Raw_Data!$G$2:$G$59,"&gt;=4",Raw_Data!$G$2:$G$59,"&lt;=5",Raw_Data!$A$2:$A$59,"Yes",Raw_Data!$D$2:$D$59,"ฝ่ายการพยาบาล",Raw_Data!$E$2:$E$59,"สายวิชาชีพสาธารณสุข")/COUNTIFS(Raw_Data!$G$2:$G$59,"&gt;=1",Raw_Data!$G$2:$G$59,"&lt;=5",Raw_Data!$A$2:$A$59,"Yes",Raw_Data!$D$2:$D$59,"ฝ่ายการพยาบาล",Raw_Data!$E$2:$E$59,"สายวิชาชีพสาธารณสุข"),"")</f>
        <v>0</v>
      </c>
      <c r="X4" s="54">
        <f>IFERROR(100*COUNTIFS(Raw_Data!$G$2:$G$59,"&gt;=4",Raw_Data!$G$2:$G$59,"&lt;=5",Raw_Data!$A$2:$A$59,"Yes",Raw_Data!$D$2:$D$59,"ERและเปล",Raw_Data!$E$2:$E$59,"สายวิชาชีพสาธารณสุข")/COUNTIFS(Raw_Data!$G$2:$G$59,"&gt;=1",Raw_Data!$G$2:$G$59,"&lt;=5",Raw_Data!$A$2:$A$59,"Yes",Raw_Data!$D$2:$D$59,"ERและเปล",Raw_Data!$E$2:$E$59,"สายวิชาชีพสาธารณสุข"),"")</f>
        <v>28.571428571428573</v>
      </c>
      <c r="Y4" s="54">
        <f>IFERROR(100*COUNTIFS(Raw_Data!$G$2:$G$59,"&gt;=4",Raw_Data!$G$2:$G$59,"&lt;=5",Raw_Data!$A$2:$A$59,"Yes",Raw_Data!$D$2:$D$59,"ICU",Raw_Data!$E$2:$E$59,"สายวิชาชีพสาธารณสุข")/COUNTIFS(Raw_Data!$G$2:$G$59,"&gt;=1",Raw_Data!$G$2:$G$59,"&lt;=5",Raw_Data!$A$2:$A$59,"Yes",Raw_Data!$D$2:$D$59,"ICU",Raw_Data!$E$2:$E$59,"สายวิชาชีพสาธารณสุข"),"")</f>
        <v>100</v>
      </c>
      <c r="Z4" s="54">
        <f>IFERROR(100*COUNTIFS(Raw_Data!$G$2:$G$59,"&gt;=4",Raw_Data!$G$2:$G$59,"&lt;=5",Raw_Data!$A$2:$A$59,"Yes",Raw_Data!$D$2:$D$59,"IPD",Raw_Data!$E$2:$E$59,"สายวิชาชีพสาธารณสุข")/COUNTIFS(Raw_Data!$G$2:$G$59,"&gt;=1",Raw_Data!$G$2:$G$59,"&lt;=5",Raw_Data!$A$2:$A$59,"Yes",Raw_Data!$D$2:$D$59,"IPD",Raw_Data!$E$2:$E$59,"สายวิชาชีพสาธารณสุข"),"")</f>
        <v>100</v>
      </c>
      <c r="AA4" s="54">
        <f>IFERROR(100*COUNTIFS(Raw_Data!$G$2:$G$59,"&gt;=4",Raw_Data!$G$2:$G$59,"&lt;=5",Raw_Data!$A$2:$A$59,"Yes",Raw_Data!$D$2:$D$59,"OR",Raw_Data!$E$2:$E$59,"สายวิชาชีพสาธารณสุข")/COUNTIFS(Raw_Data!$G$2:$G$59,"&gt;=1",Raw_Data!$G$2:$G$59,"&lt;=5",Raw_Data!$A$2:$A$59,"Yes",Raw_Data!$D$2:$D$59,"OR",Raw_Data!$E$2:$E$59,"สายวิชาชีพสาธารณสุข"),"")</f>
        <v>100</v>
      </c>
      <c r="AB4" s="54">
        <f>IFERROR(100*COUNTIFS(Raw_Data!$G$2:$G$59,"&gt;=4",Raw_Data!$G$2:$G$59,"&lt;=5",Raw_Data!$A$2:$A$59,"Yes",Raw_Data!$D$2:$D$59,"การเงิน",Raw_Data!$E$2:$E$59,"สายสนับสนุนทั่วไป")/COUNTIFS(Raw_Data!$G$2:$G$59,"&gt;=1",Raw_Data!$G$2:$G$59,"&lt;=5",Raw_Data!$A$2:$A$59,"Yes",Raw_Data!$D$2:$D$59,"การเงิน",Raw_Data!$E$2:$E$59,"สายสนับสนุนทั่วไป"),"")</f>
        <v>33.333333333333336</v>
      </c>
      <c r="AC4" s="54">
        <f>IFERROR(100*COUNTIFS(Raw_Data!$G$2:$G$59,"&gt;=4",Raw_Data!$G$2:$G$59,"&lt;=5",Raw_Data!$A$2:$A$59,"Yes",Raw_Data!$D$2:$D$59,"เคหรักษ์",Raw_Data!$E$2:$E$59,"สายสนับสนุนทั่วไป")/COUNTIFS(Raw_Data!$G$2:$G$59,"&gt;=1",Raw_Data!$G$2:$G$59,"&lt;=5",Raw_Data!$A$2:$A$59,"Yes",Raw_Data!$D$2:$D$59,"เคหรักษ์",Raw_Data!$E$2:$E$59,"สายสนับสนุนทั่วไป"),"")</f>
        <v>0</v>
      </c>
      <c r="AD4" s="54">
        <f>IFERROR(100*COUNTIFS(Raw_Data!$G$2:$G$59,"&gt;=4",Raw_Data!$G$2:$G$59,"&lt;=5",Raw_Data!$A$2:$A$59,"Yes",Raw_Data!$D$2:$D$59,"จ่ายกลาง",Raw_Data!$E$2:$E$59,"สายสนับสนุนทั่วไป")/COUNTIFS(Raw_Data!$G$2:$G$59,"&gt;=1",Raw_Data!$G$2:$G$59,"&lt;=5",Raw_Data!$A$2:$A$59,"Yes",Raw_Data!$D$2:$D$59,"จ่ายกลาง",Raw_Data!$E$2:$E$59,"สายสนับสนุนทั่วไป"),"")</f>
        <v>100</v>
      </c>
      <c r="AE4" s="54">
        <f>IFERROR(100*COUNTIFS(Raw_Data!$G$2:$G$59,"&gt;=4",Raw_Data!$G$2:$G$59,"&lt;=5",Raw_Data!$A$2:$A$59,"Yes",Raw_Data!$D$2:$D$59,"ช่างและสนาม",Raw_Data!$E$2:$E$59,"สายสนับสนุนทั่วไป")/COUNTIFS(Raw_Data!$G$2:$G$59,"&gt;=1",Raw_Data!$G$2:$G$59,"&lt;=5",Raw_Data!$A$2:$A$59,"Yes",Raw_Data!$D$2:$D$59,"ช่างและสนาม",Raw_Data!$E$2:$E$59,"สายสนับสนุนทั่วไป"),"")</f>
        <v>50</v>
      </c>
      <c r="AF4" s="54">
        <f>IFERROR(100*COUNTIFS(Raw_Data!$G$2:$G$59,"&gt;=4",Raw_Data!$G$2:$G$59,"&lt;=5",Raw_Data!$A$2:$A$59,"Yes",Raw_Data!$D$2:$D$59,"ผู้ป่วยสัมพันธ์",Raw_Data!$E$2:$E$59,"สายสนับสนุนทั่วไป")/COUNTIFS(Raw_Data!$G$2:$G$59,"&gt;=1",Raw_Data!$G$2:$G$59,"&lt;=5",Raw_Data!$A$2:$A$59,"Yes",Raw_Data!$D$2:$D$59,"ผู้ป่วยสัมพันธ์",Raw_Data!$E$2:$E$59,"สายสนับสนุนทั่วไป"),"")</f>
        <v>0</v>
      </c>
      <c r="AG4" s="54">
        <f>IFERROR(100*COUNTIFS(Raw_Data!$G$2:$G$59,"&gt;=4",Raw_Data!$G$2:$G$59,"&lt;=5",Raw_Data!$A$2:$A$59,"Yes",Raw_Data!$D$2:$D$59,"ยานพาหนะ",Raw_Data!$E$2:$E$59,"สายสนับสนุนทั่วไป")/COUNTIFS(Raw_Data!$G$2:$G$59,"&gt;=1",Raw_Data!$G$2:$G$59,"&lt;=5",Raw_Data!$A$2:$A$59,"Yes",Raw_Data!$D$2:$D$59,"ยานพาหนะ",Raw_Data!$E$2:$E$59,"สายสนับสนุนทั่วไป"),"")</f>
        <v>0</v>
      </c>
      <c r="AH4" s="54">
        <f>IFERROR(100*COUNTIFS(Raw_Data!$G$2:$G$59,"&gt;=4",Raw_Data!$G$2:$G$59,"&lt;=5",Raw_Data!$A$2:$A$59,"Yes",Raw_Data!$D$2:$D$59,"สื่อสารการตลาด",Raw_Data!$E$2:$E$59,"สายสนับสนุนทั่วไป")/COUNTIFS(Raw_Data!$G$2:$G$59,"&gt;=1",Raw_Data!$G$2:$G$59,"&lt;=5",Raw_Data!$A$2:$A$59,"Yes",Raw_Data!$D$2:$D$59,"สื่อสารการตลาด",Raw_Data!$E$2:$E$59,"สายสนับสนุนทั่วไป"),"")</f>
        <v>0</v>
      </c>
      <c r="AI4" s="54">
        <f>IFERROR(100*COUNTIFS(Raw_Data!$G$2:$G$59,"&gt;=4",Raw_Data!$G$2:$G$59,"&lt;=5",Raw_Data!$A$2:$A$59,"Yes",Raw_Data!$D$2:$D$59,"ERและเปล",Raw_Data!$E$2:$E$59,"สายสนับสนุนทั่วไป")/COUNTIFS(Raw_Data!$G$2:$G$59,"&gt;=1",Raw_Data!$G$2:$G$59,"&lt;=5",Raw_Data!$A$2:$A$59,"Yes",Raw_Data!$D$2:$D$59,"ERและเปล",Raw_Data!$E$2:$E$59,"สายสนับสนุนทั่วไป"),"")</f>
        <v>33.333333333333336</v>
      </c>
      <c r="AJ4" s="54">
        <f>IFERROR(100*COUNTIFS(Raw_Data!$G$2:$G$59,"&gt;=4",Raw_Data!$G$2:$G$59,"&lt;=5",Raw_Data!$A$2:$A$59,"Yes",Raw_Data!$D$2:$D$59,"HR",Raw_Data!$E$2:$E$59,"สายสนับสนุนทั่วไป")/COUNTIFS(Raw_Data!$G$2:$G$59,"&gt;=1",Raw_Data!$G$2:$G$59,"&lt;=5",Raw_Data!$A$2:$A$59,"Yes",Raw_Data!$D$2:$D$59,"HR",Raw_Data!$E$2:$E$59,"สายสนับสนุนทั่วไป"),"")</f>
        <v>100</v>
      </c>
      <c r="AK4" s="54">
        <f>IFERROR(100*COUNTIFS(Raw_Data!$G$2:$G$59,"&gt;=4",Raw_Data!$G$2:$G$59,"&lt;=5",Raw_Data!$A$2:$A$59,"Yes",Raw_Data!$D$2:$D$59,"ICU",Raw_Data!$E$2:$E$59,"สายสนับสนุนทั่วไป")/COUNTIFS(Raw_Data!$G$2:$G$59,"&gt;=1",Raw_Data!$G$2:$G$59,"&lt;=5",Raw_Data!$A$2:$A$59,"Yes",Raw_Data!$D$2:$D$59,"ICU",Raw_Data!$E$2:$E$59,"สายสนับสนุนทั่วไป"),"")</f>
        <v>100</v>
      </c>
      <c r="AL4" s="54">
        <f>IFERROR(100*COUNTIFS(Raw_Data!$G$2:$G$59,"&gt;=4",Raw_Data!$G$2:$G$59,"&lt;=5",Raw_Data!$A$2:$A$59,"Yes",Raw_Data!$D$2:$D$59,"IPD",Raw_Data!$E$2:$E$59,"สายสนับสนุนทั่วไป")/COUNTIFS(Raw_Data!$G$2:$G$59,"&gt;=1",Raw_Data!$G$2:$G$59,"&lt;=5",Raw_Data!$A$2:$A$59,"Yes",Raw_Data!$D$2:$D$59,"IPD",Raw_Data!$E$2:$E$59,"สายสนับสนุนทั่วไป"),"")</f>
        <v>0</v>
      </c>
      <c r="AM4" s="54">
        <f>IFERROR(100*COUNTIFS(Raw_Data!$G$2:$G$59,"&gt;=4",Raw_Data!$G$2:$G$59,"&lt;=5",Raw_Data!$A$2:$A$59,"Yes",Raw_Data!$D$2:$D$59,"IT",Raw_Data!$E$2:$E$59,"สายสนับสนุนทั่วไป")/COUNTIFS(Raw_Data!$G$2:$G$59,"&gt;=1",Raw_Data!$G$2:$G$59,"&lt;=5",Raw_Data!$A$2:$A$59,"Yes",Raw_Data!$D$2:$D$59,"IT",Raw_Data!$E$2:$E$59,"สายสนับสนุนทั่วไป"),"")</f>
        <v>100</v>
      </c>
      <c r="AN4" s="54">
        <f>IFERROR(100*COUNTIFS(Raw_Data!$G$2:$G$59,"&gt;=4",Raw_Data!$G$2:$G$59,"&lt;=5",Raw_Data!$A$2:$A$59,"Yes",Raw_Data!$D$2:$D$59,"ผู้ป่วยสัมพันธ์",Raw_Data!$E$2:$E$59,"สายสนับสนุนทางการแพทย์")/COUNTIFS(Raw_Data!$G$2:$G$59,"&gt;=1",Raw_Data!$G$2:$G$59,"&lt;=5",Raw_Data!$A$2:$A$59,"Yes",Raw_Data!$D$2:$D$59,"ผู้ป่วยสัมพันธ์",Raw_Data!$E$2:$E$59,"สายสนับสนุนทางการแพทย์"),"")</f>
        <v>100</v>
      </c>
      <c r="AO4" s="54">
        <f>IFERROR(100*COUNTIFS(Raw_Data!$G$2:$G$59,"&gt;=4",Raw_Data!$G$2:$G$59,"&lt;=5",Raw_Data!$A$2:$A$59,"Yes",Raw_Data!$D$2:$D$59,"ฝ่ายการพยาบาล",Raw_Data!$E$2:$E$59,"สายสนับสนุนทางการแพทย์")/COUNTIFS(Raw_Data!$G$2:$G$59,"&gt;=1",Raw_Data!$G$2:$G$59,"&lt;=5",Raw_Data!$A$2:$A$59,"Yes",Raw_Data!$D$2:$D$59,"ฝ่ายการพยาบาล",Raw_Data!$E$2:$E$59,"สายสนับสนุนทางการแพทย์"),"")</f>
        <v>100</v>
      </c>
      <c r="AP4" s="54">
        <f>IFERROR(100*COUNTIFS(Raw_Data!$G$2:$G$59,"&gt;=4",Raw_Data!$G$2:$G$59,"&lt;=5",Raw_Data!$A$2:$A$59,"Yes",Raw_Data!$D$2:$D$59,"โภชนาการ",Raw_Data!$E$2:$E$59,"สายสนับสนุนทางการแพทย์")/COUNTIFS(Raw_Data!$G$2:$G$59,"&gt;=1",Raw_Data!$G$2:$G$59,"&lt;=5",Raw_Data!$A$2:$A$59,"Yes",Raw_Data!$D$2:$D$59,"โภชนาการ",Raw_Data!$E$2:$E$59,"สายสนับสนุนทางการแพทย์"),"")</f>
        <v>100</v>
      </c>
      <c r="AQ4" s="54">
        <f>IFERROR(100*COUNTIFS(Raw_Data!$G$2:$G$59,"&gt;=4",Raw_Data!$G$2:$G$59,"&lt;=5",Raw_Data!$A$2:$A$59,"Yes",Raw_Data!$D$2:$D$59,"ห้องยา",Raw_Data!$E$2:$E$59,"สายสนับสนุนทางการแพทย์")/COUNTIFS(Raw_Data!$G$2:$G$59,"&gt;=1",Raw_Data!$G$2:$G$59,"&lt;=5",Raw_Data!$A$2:$A$59,"Yes",Raw_Data!$D$2:$D$59,"ห้องยา",Raw_Data!$E$2:$E$59,"สายสนับสนุนทางการแพทย์"),"")</f>
        <v>100</v>
      </c>
      <c r="AR4" s="54">
        <f>IFERROR(100*COUNTIFS(Raw_Data!$G$2:$G$59,"&gt;=4",Raw_Data!$G$2:$G$59,"&lt;=5",Raw_Data!$A$2:$A$59,"Yes",Raw_Data!$D$2:$D$59,"ห้องแลป",Raw_Data!$E$2:$E$59,"สายสนับสนุนทางการแพทย์")/COUNTIFS(Raw_Data!$G$2:$G$59,"&gt;=1",Raw_Data!$G$2:$G$59,"&lt;=5",Raw_Data!$A$2:$A$59,"Yes",Raw_Data!$D$2:$D$59,"ห้องแลป",Raw_Data!$E$2:$E$59,"สายสนับสนุนทางการแพทย์"),"")</f>
        <v>50</v>
      </c>
      <c r="AS4" s="54">
        <f>IFERROR(100*COUNTIFS(Raw_Data!$G$2:$G$59,"&gt;=4",Raw_Data!$G$2:$G$59,"&lt;=5",Raw_Data!$A$2:$A$59,"Yes",Raw_Data!$D$2:$D$59,"ห้องเอ็กซเรย์",Raw_Data!$E$2:$E$59,"สายสนับสนุนทางการแพทย์")/COUNTIFS(Raw_Data!$G$2:$G$59,"&gt;=1",Raw_Data!$G$2:$G$59,"&lt;=5",Raw_Data!$A$2:$A$59,"Yes",Raw_Data!$D$2:$D$59,"ห้องเอ็กซเรย์",Raw_Data!$E$2:$E$59,"สายสนับสนุนทางการแพทย์"),"")</f>
        <v>100</v>
      </c>
      <c r="AT4" s="54">
        <f>IFERROR(100*COUNTIFS(Raw_Data!$G$2:$G$59,"&gt;=4",Raw_Data!$G$2:$G$59,"&lt;=5",Raw_Data!$A$2:$A$59,"Yes",Raw_Data!$D$2:$D$59,"ERและเปล",Raw_Data!$E$2:$E$59,"สายสนับสนุนทางการแพทย์")/COUNTIFS(Raw_Data!$G$2:$G$59,"&gt;=1",Raw_Data!$G$2:$G$59,"&lt;=5",Raw_Data!$A$2:$A$59,"Yes",Raw_Data!$D$2:$D$59,"ERและเปล",Raw_Data!$E$2:$E$59,"สายสนับสนุนทางการแพทย์"),"")</f>
        <v>0</v>
      </c>
      <c r="AU4" s="54">
        <f>IFERROR(100*COUNTIFS(Raw_Data!$G$2:$G$59,"&gt;=4",Raw_Data!$G$2:$G$59,"&lt;=5",Raw_Data!$A$2:$A$59,"Yes",Raw_Data!$D$2:$D$59,"ICU",Raw_Data!$E$2:$E$59,"สายสนับสนุนทางการแพทย์")/COUNTIFS(Raw_Data!$G$2:$G$59,"&gt;=1",Raw_Data!$G$2:$G$59,"&lt;=5",Raw_Data!$A$2:$A$59,"Yes",Raw_Data!$D$2:$D$59,"ICU",Raw_Data!$E$2:$E$59,"สายสนับสนุนทางการแพทย์"),"")</f>
        <v>100</v>
      </c>
      <c r="AV4" s="54">
        <f>IFERROR(100*COUNTIFS(Raw_Data!$G$2:$G$59,"&gt;=4",Raw_Data!$G$2:$G$59,"&lt;=5",Raw_Data!$A$2:$A$59,"Yes",Raw_Data!$D$2:$D$59,"IPD",Raw_Data!$E$2:$E$59,"สายสนับสนุนทางการแพทย์")/COUNTIFS(Raw_Data!$G$2:$G$59,"&gt;=1",Raw_Data!$G$2:$G$59,"&lt;=5",Raw_Data!$A$2:$A$59,"Yes",Raw_Data!$D$2:$D$59,"IPD",Raw_Data!$E$2:$E$59,"สายสนับสนุนทางการแพทย์"),"")</f>
        <v>50</v>
      </c>
      <c r="AW4" s="54">
        <f>IFERROR(100*COUNTIFS(Raw_Data!$G$2:$G$59,"&gt;=4",Raw_Data!$G$2:$G$59,"&lt;=5",Raw_Data!$A$2:$A$59,"Yes",Raw_Data!$D$2:$D$59,"IT",Raw_Data!$E$2:$E$59,"สายสนับสนุนทางการแพทย์")/COUNTIFS(Raw_Data!$G$2:$G$59,"&gt;=1",Raw_Data!$G$2:$G$59,"&lt;=5",Raw_Data!$A$2:$A$59,"Yes",Raw_Data!$D$2:$D$59,"IT",Raw_Data!$E$2:$E$59,"สายสนับสนุนทางการแพทย์"),"")</f>
        <v>100</v>
      </c>
    </row>
    <row r="5" spans="1:49" ht="42" customHeight="1">
      <c r="A5" s="50"/>
      <c r="B5" s="51" t="s">
        <v>38</v>
      </c>
      <c r="C5" s="54">
        <f>IFERROR(100*COUNTIFS(Raw_Data!$H$2:$H$59,"&gt;=4",Raw_Data!$H$2:$H$59,"&lt;=5",Raw_Data!$A$2:$A$59,"Yes")/COUNTIFS(Raw_Data!$H$2:$H$59,"&gt;=1",Raw_Data!$H$2:$H$59,"&lt;=5",Raw_Data!$A$2:$A$59,"Yes"),"")</f>
        <v>62.068965517241381</v>
      </c>
      <c r="D5" s="54">
        <f>IFERROR(100*COUNTIFS(Raw_Data!$H$2:$H$59,"&gt;=4",Raw_Data!$H$2:$H$59,"&lt;=5",Raw_Data!$A$2:$A$59,"Yes",Raw_Data!$D$2:$D$59,"การเงิน")/COUNTIFS(Raw_Data!$H$2:$H$59,"&gt;=1",Raw_Data!$H$2:$H$59,"&lt;=5",Raw_Data!$A$2:$A$59,"Yes",Raw_Data!$D$2:$D$59,"การเงิน"),"")</f>
        <v>33.333333333333336</v>
      </c>
      <c r="E5" s="54">
        <f>IFERROR(100*COUNTIFS(Raw_Data!$H$2:$H$59,"&gt;=4",Raw_Data!$H$2:$H$59,"&lt;=5",Raw_Data!$A$2:$A$59,"Yes",Raw_Data!$D$2:$D$59,"เคหรักษ์")/COUNTIFS(Raw_Data!$H$2:$H$59,"&gt;=1",Raw_Data!$H$2:$H$59,"&lt;=5",Raw_Data!$A$2:$A$59,"Yes",Raw_Data!$D$2:$D$59,"เคหรักษ์"),"")</f>
        <v>0</v>
      </c>
      <c r="F5" s="54">
        <f>IFERROR(100*COUNTIFS(Raw_Data!$H$2:$H$59,"&gt;=4",Raw_Data!$H$2:$H$59,"&lt;=5",Raw_Data!$A$2:$A$59,"Yes",Raw_Data!$D$2:$D$59,"จ่ายกลาง")/COUNTIFS(Raw_Data!$H$2:$H$59,"&gt;=1",Raw_Data!$H$2:$H$59,"&lt;=5",Raw_Data!$A$2:$A$59,"Yes",Raw_Data!$D$2:$D$59,"จ่ายกลาง"),"")</f>
        <v>100</v>
      </c>
      <c r="G5" s="54">
        <f>IFERROR(100*COUNTIFS(Raw_Data!$H$2:$H$59,"&gt;=4",Raw_Data!$H$2:$H$59,"&lt;=5",Raw_Data!$A$2:$A$59,"Yes",Raw_Data!$D$2:$D$59,"ช่างและสนาม")/COUNTIFS(Raw_Data!$H$2:$H$59,"&gt;=1",Raw_Data!$H$2:$H$59,"&lt;=5",Raw_Data!$A$2:$A$59,"Yes",Raw_Data!$D$2:$D$59,"ช่างและสนาม"),"")</f>
        <v>75</v>
      </c>
      <c r="H5" s="54">
        <f>IFERROR(100*COUNTIFS(Raw_Data!$H$2:$H$59,"&gt;=4",Raw_Data!$H$2:$H$59,"&lt;=5",Raw_Data!$A$2:$A$59,"Yes",Raw_Data!$D$2:$D$59,"ผู้ป่วยสัมพันธ์")/COUNTIFS(Raw_Data!$H$2:$H$59,"&gt;=1",Raw_Data!$H$2:$H$59,"&lt;=5",Raw_Data!$A$2:$A$59,"Yes",Raw_Data!$D$2:$D$59,"ผู้ป่วยสัมพันธ์"),"")</f>
        <v>50</v>
      </c>
      <c r="I5" s="54">
        <f>IFERROR(100*COUNTIFS(Raw_Data!$H$2:$H$59,"&gt;=4",Raw_Data!$H$2:$H$59,"&lt;=5",Raw_Data!$A$2:$A$59,"Yes",Raw_Data!$D$2:$D$59,"ฝ่ายการพยาบาล")/COUNTIFS(Raw_Data!$H$2:$H$59,"&gt;=1",Raw_Data!$H$2:$H$59,"&lt;=5",Raw_Data!$A$2:$A$59,"Yes",Raw_Data!$D$2:$D$59,"ฝ่ายการพยาบาล"),"")</f>
        <v>50</v>
      </c>
      <c r="J5" s="54">
        <f>IFERROR(100*COUNTIFS(Raw_Data!$H$2:$H$59,"&gt;=4",Raw_Data!$H$2:$H$59,"&lt;=5",Raw_Data!$A$2:$A$59,"Yes",Raw_Data!$D$2:$D$59,"โภชนาการ")/COUNTIFS(Raw_Data!$H$2:$H$59,"&gt;=1",Raw_Data!$H$2:$H$59,"&lt;=5",Raw_Data!$A$2:$A$59,"Yes",Raw_Data!$D$2:$D$59,"โภชนาการ"),"")</f>
        <v>100</v>
      </c>
      <c r="K5" s="54">
        <f>IFERROR(100*COUNTIFS(Raw_Data!$H$2:$H$59,"&gt;=4",Raw_Data!$H$2:$H$59,"&lt;=5",Raw_Data!$A$2:$A$59,"Yes",Raw_Data!$D$2:$D$59,"ยานพาหนะ")/COUNTIFS(Raw_Data!$H$2:$H$59,"&gt;=1",Raw_Data!$H$2:$H$59,"&lt;=5",Raw_Data!$A$2:$A$59,"Yes",Raw_Data!$D$2:$D$59,"ยานพาหนะ"),"")</f>
        <v>0</v>
      </c>
      <c r="L5" s="54">
        <f>IFERROR(100*COUNTIFS(Raw_Data!$H$2:$H$59,"&gt;=4",Raw_Data!$H$2:$H$59,"&lt;=5",Raw_Data!$A$2:$A$59,"Yes",Raw_Data!$D$2:$D$59,"สื่อสารการตลาด")/COUNTIFS(Raw_Data!$H$2:$H$59,"&gt;=1",Raw_Data!$H$2:$H$59,"&lt;=5",Raw_Data!$A$2:$A$59,"Yes",Raw_Data!$D$2:$D$59,"สื่อสารการตลาด"),"")</f>
        <v>100</v>
      </c>
      <c r="M5" s="54">
        <f>IFERROR(100*COUNTIFS(Raw_Data!$H$2:$H$59,"&gt;=4",Raw_Data!$H$2:$H$59,"&lt;=5",Raw_Data!$A$2:$A$59,"Yes",Raw_Data!$D$2:$D$59,"ห้องยา")/COUNTIFS(Raw_Data!$H$2:$H$59,"&gt;=1",Raw_Data!$H$2:$H$59,"&lt;=5",Raw_Data!$A$2:$A$59,"Yes",Raw_Data!$D$2:$D$59,"ห้องยา"),"")</f>
        <v>100</v>
      </c>
      <c r="N5" s="54">
        <f>IFERROR(100*COUNTIFS(Raw_Data!$H$2:$H$59,"&gt;=4",Raw_Data!$H$2:$H$59,"&lt;=5",Raw_Data!$A$2:$A$59,"Yes",Raw_Data!$D$2:$D$59,"ห้องแลป")/COUNTIFS(Raw_Data!$H$2:$H$59,"&gt;=1",Raw_Data!$H$2:$H$59,"&lt;=5",Raw_Data!$A$2:$A$59,"Yes",Raw_Data!$D$2:$D$59,"ห้องแลป"),"")</f>
        <v>0</v>
      </c>
      <c r="O5" s="54">
        <f>IFERROR(100*COUNTIFS(Raw_Data!$H$2:$H$59,"&gt;=4",Raw_Data!$H$2:$H$59,"&lt;=5",Raw_Data!$A$2:$A$59,"Yes",Raw_Data!$D$2:$D$59,"ห้องเอ็กซเรย์")/COUNTIFS(Raw_Data!$H$2:$H$59,"&gt;=1",Raw_Data!$H$2:$H$59,"&lt;=5",Raw_Data!$A$2:$A$59,"Yes",Raw_Data!$D$2:$D$59,"ห้องเอ็กซเรย์"),"")</f>
        <v>100</v>
      </c>
      <c r="P5" s="54">
        <f>IFERROR(100*COUNTIFS(Raw_Data!$H$2:$H$59,"&gt;=4",Raw_Data!$H$2:$H$59,"&lt;=5",Raw_Data!$A$2:$A$59,"Yes",Raw_Data!$D$2:$D$59,"ERและเปล")/COUNTIFS(Raw_Data!$H$2:$H$59,"&gt;=1",Raw_Data!$H$2:$H$59,"&lt;=5",Raw_Data!$A$2:$A$59,"Yes",Raw_Data!$D$2:$D$59,"ERและเปล"),"")</f>
        <v>36.363636363636367</v>
      </c>
      <c r="Q5" s="54">
        <f>IFERROR(100*COUNTIFS(Raw_Data!$H$2:$H$59,"&gt;=4",Raw_Data!$H$2:$H$59,"&lt;=5",Raw_Data!$A$2:$A$59,"Yes",Raw_Data!$D$2:$D$59,"HR")/COUNTIFS(Raw_Data!$H$2:$H$59,"&gt;=1",Raw_Data!$H$2:$H$59,"&lt;=5",Raw_Data!$A$2:$A$59,"Yes",Raw_Data!$D$2:$D$59,"HR"),"")</f>
        <v>100</v>
      </c>
      <c r="R5" s="54">
        <f>IFERROR(100*COUNTIFS(Raw_Data!$H$2:$H$59,"&gt;=4",Raw_Data!$H$2:$H$59,"&lt;=5",Raw_Data!$A$2:$A$59,"Yes",Raw_Data!$D$2:$D$59,"ICU")/COUNTIFS(Raw_Data!$H$2:$H$59,"&gt;=1",Raw_Data!$H$2:$H$59,"&lt;=5",Raw_Data!$A$2:$A$59,"Yes",Raw_Data!$D$2:$D$59,"ICU"),"")</f>
        <v>100</v>
      </c>
      <c r="S5" s="54">
        <f>IFERROR(100*COUNTIFS(Raw_Data!$H$2:$H$59,"&gt;=4",Raw_Data!$H$2:$H$59,"&lt;=5",Raw_Data!$A$2:$A$59,"Yes",Raw_Data!$D$2:$D$59,"IPD")/COUNTIFS(Raw_Data!$H$2:$H$59,"&gt;=1",Raw_Data!$H$2:$H$59,"&lt;=5",Raw_Data!$A$2:$A$59,"Yes",Raw_Data!$D$2:$D$59,"IPD"),"")</f>
        <v>66.666666666666671</v>
      </c>
      <c r="T5" s="54">
        <f>IFERROR(100*COUNTIFS(Raw_Data!$H$2:$H$59,"&gt;=4",Raw_Data!$H$2:$H$59,"&lt;=5",Raw_Data!$A$2:$A$59,"Yes",Raw_Data!$D$2:$D$59,"IT")/COUNTIFS(Raw_Data!$H$2:$H$59,"&gt;=1",Raw_Data!$H$2:$H$59,"&lt;=5",Raw_Data!$A$2:$A$59,"Yes",Raw_Data!$D$2:$D$59,"IT"),"")</f>
        <v>100</v>
      </c>
      <c r="U5" s="54">
        <f>IFERROR(100*COUNTIFS(Raw_Data!$H$2:$H$59,"&gt;=4",Raw_Data!$H$2:$H$59,"&lt;=5",Raw_Data!$A$2:$A$59,"Yes",Raw_Data!$D$2:$D$59,"OR")/COUNTIFS(Raw_Data!$H$2:$H$59,"&gt;=1",Raw_Data!$H$2:$H$59,"&lt;=5",Raw_Data!$A$2:$A$59,"Yes",Raw_Data!$D$2:$D$59,"OR"),"")</f>
        <v>50</v>
      </c>
      <c r="V5" s="54">
        <f>IFERROR(100*COUNTIFS(Raw_Data!$H$2:$H$59,"&gt;=4",Raw_Data!$H$2:$H$59,"&lt;=5",Raw_Data!$A$2:$A$59,"Yes",Raw_Data!$D$2:$D$59,"IPD",Raw_Data!$E$2:$E$59,"ผู้บริหาร")/COUNTIFS(Raw_Data!$H$2:$H$59,"&gt;=1",Raw_Data!$H$2:$H$59,"&lt;=5",Raw_Data!$A$2:$A$59,"Yes",Raw_Data!$D$2:$D$59,"IPD",Raw_Data!$E$2:$E$59,"ผู้บริหาร"),"")</f>
        <v>100</v>
      </c>
      <c r="W5" s="54">
        <f>IFERROR(100*COUNTIFS(Raw_Data!$H$2:$H$59,"&gt;=4",Raw_Data!$H$2:$H$59,"&lt;=5",Raw_Data!$A$2:$A$59,"Yes",Raw_Data!$D$2:$D$59,"ฝ่ายการพยาบาล",Raw_Data!$E$2:$E$59,"สายวิชาชีพสาธารณสุข")/COUNTIFS(Raw_Data!$H$2:$H$59,"&gt;=1",Raw_Data!$H$2:$H$59,"&lt;=5",Raw_Data!$A$2:$A$59,"Yes",Raw_Data!$D$2:$D$59,"ฝ่ายการพยาบาล",Raw_Data!$E$2:$E$59,"สายวิชาชีพสาธารณสุข"),"")</f>
        <v>0</v>
      </c>
      <c r="X5" s="54">
        <f>IFERROR(100*COUNTIFS(Raw_Data!$H$2:$H$59,"&gt;=4",Raw_Data!$H$2:$H$59,"&lt;=5",Raw_Data!$A$2:$A$59,"Yes",Raw_Data!$D$2:$D$59,"ERและเปล",Raw_Data!$E$2:$E$59,"สายวิชาชีพสาธารณสุข")/COUNTIFS(Raw_Data!$H$2:$H$59,"&gt;=1",Raw_Data!$H$2:$H$59,"&lt;=5",Raw_Data!$A$2:$A$59,"Yes",Raw_Data!$D$2:$D$59,"ERและเปล",Raw_Data!$E$2:$E$59,"สายวิชาชีพสาธารณสุข"),"")</f>
        <v>14.285714285714286</v>
      </c>
      <c r="Y5" s="54">
        <f>IFERROR(100*COUNTIFS(Raw_Data!$H$2:$H$59,"&gt;=4",Raw_Data!$H$2:$H$59,"&lt;=5",Raw_Data!$A$2:$A$59,"Yes",Raw_Data!$D$2:$D$59,"ICU",Raw_Data!$E$2:$E$59,"สายวิชาชีพสาธารณสุข")/COUNTIFS(Raw_Data!$H$2:$H$59,"&gt;=1",Raw_Data!$H$2:$H$59,"&lt;=5",Raw_Data!$A$2:$A$59,"Yes",Raw_Data!$D$2:$D$59,"ICU",Raw_Data!$E$2:$E$59,"สายวิชาชีพสาธารณสุข"),"")</f>
        <v>100</v>
      </c>
      <c r="Z5" s="54">
        <f>IFERROR(100*COUNTIFS(Raw_Data!$H$2:$H$59,"&gt;=4",Raw_Data!$H$2:$H$59,"&lt;=5",Raw_Data!$A$2:$A$59,"Yes",Raw_Data!$D$2:$D$59,"IPD",Raw_Data!$E$2:$E$59,"สายวิชาชีพสาธารณสุข")/COUNTIFS(Raw_Data!$H$2:$H$59,"&gt;=1",Raw_Data!$H$2:$H$59,"&lt;=5",Raw_Data!$A$2:$A$59,"Yes",Raw_Data!$D$2:$D$59,"IPD",Raw_Data!$E$2:$E$59,"สายวิชาชีพสาธารณสุข"),"")</f>
        <v>100</v>
      </c>
      <c r="AA5" s="54">
        <f>IFERROR(100*COUNTIFS(Raw_Data!$H$2:$H$59,"&gt;=4",Raw_Data!$H$2:$H$59,"&lt;=5",Raw_Data!$A$2:$A$59,"Yes",Raw_Data!$D$2:$D$59,"OR",Raw_Data!$E$2:$E$59,"สายวิชาชีพสาธารณสุข")/COUNTIFS(Raw_Data!$H$2:$H$59,"&gt;=1",Raw_Data!$H$2:$H$59,"&lt;=5",Raw_Data!$A$2:$A$59,"Yes",Raw_Data!$D$2:$D$59,"OR",Raw_Data!$E$2:$E$59,"สายวิชาชีพสาธารณสุข"),"")</f>
        <v>50</v>
      </c>
      <c r="AB5" s="54">
        <f>IFERROR(100*COUNTIFS(Raw_Data!$H$2:$H$59,"&gt;=4",Raw_Data!$H$2:$H$59,"&lt;=5",Raw_Data!$A$2:$A$59,"Yes",Raw_Data!$D$2:$D$59,"การเงิน",Raw_Data!$E$2:$E$59,"สายสนับสนุนทั่วไป")/COUNTIFS(Raw_Data!$H$2:$H$59,"&gt;=1",Raw_Data!$H$2:$H$59,"&lt;=5",Raw_Data!$A$2:$A$59,"Yes",Raw_Data!$D$2:$D$59,"การเงิน",Raw_Data!$E$2:$E$59,"สายสนับสนุนทั่วไป"),"")</f>
        <v>33.333333333333336</v>
      </c>
      <c r="AC5" s="54">
        <f>IFERROR(100*COUNTIFS(Raw_Data!$H$2:$H$59,"&gt;=4",Raw_Data!$H$2:$H$59,"&lt;=5",Raw_Data!$A$2:$A$59,"Yes",Raw_Data!$D$2:$D$59,"เคหรักษ์",Raw_Data!$E$2:$E$59,"สายสนับสนุนทั่วไป")/COUNTIFS(Raw_Data!$H$2:$H$59,"&gt;=1",Raw_Data!$H$2:$H$59,"&lt;=5",Raw_Data!$A$2:$A$59,"Yes",Raw_Data!$D$2:$D$59,"เคหรักษ์",Raw_Data!$E$2:$E$59,"สายสนับสนุนทั่วไป"),"")</f>
        <v>0</v>
      </c>
      <c r="AD5" s="54">
        <f>IFERROR(100*COUNTIFS(Raw_Data!$H$2:$H$59,"&gt;=4",Raw_Data!$H$2:$H$59,"&lt;=5",Raw_Data!$A$2:$A$59,"Yes",Raw_Data!$D$2:$D$59,"จ่ายกลาง",Raw_Data!$E$2:$E$59,"สายสนับสนุนทั่วไป")/COUNTIFS(Raw_Data!$H$2:$H$59,"&gt;=1",Raw_Data!$H$2:$H$59,"&lt;=5",Raw_Data!$A$2:$A$59,"Yes",Raw_Data!$D$2:$D$59,"จ่ายกลาง",Raw_Data!$E$2:$E$59,"สายสนับสนุนทั่วไป"),"")</f>
        <v>100</v>
      </c>
      <c r="AE5" s="54">
        <f>IFERROR(100*COUNTIFS(Raw_Data!$H$2:$H$59,"&gt;=4",Raw_Data!$H$2:$H$59,"&lt;=5",Raw_Data!$A$2:$A$59,"Yes",Raw_Data!$D$2:$D$59,"ช่างและสนาม",Raw_Data!$E$2:$E$59,"สายสนับสนุนทั่วไป")/COUNTIFS(Raw_Data!$H$2:$H$59,"&gt;=1",Raw_Data!$H$2:$H$59,"&lt;=5",Raw_Data!$A$2:$A$59,"Yes",Raw_Data!$D$2:$D$59,"ช่างและสนาม",Raw_Data!$E$2:$E$59,"สายสนับสนุนทั่วไป"),"")</f>
        <v>75</v>
      </c>
      <c r="AF5" s="54">
        <f>IFERROR(100*COUNTIFS(Raw_Data!$H$2:$H$59,"&gt;=4",Raw_Data!$H$2:$H$59,"&lt;=5",Raw_Data!$A$2:$A$59,"Yes",Raw_Data!$D$2:$D$59,"ผู้ป่วยสัมพันธ์",Raw_Data!$E$2:$E$59,"สายสนับสนุนทั่วไป")/COUNTIFS(Raw_Data!$H$2:$H$59,"&gt;=1",Raw_Data!$H$2:$H$59,"&lt;=5",Raw_Data!$A$2:$A$59,"Yes",Raw_Data!$D$2:$D$59,"ผู้ป่วยสัมพันธ์",Raw_Data!$E$2:$E$59,"สายสนับสนุนทั่วไป"),"")</f>
        <v>0</v>
      </c>
      <c r="AG5" s="54">
        <f>IFERROR(100*COUNTIFS(Raw_Data!$H$2:$H$59,"&gt;=4",Raw_Data!$H$2:$H$59,"&lt;=5",Raw_Data!$A$2:$A$59,"Yes",Raw_Data!$D$2:$D$59,"ยานพาหนะ",Raw_Data!$E$2:$E$59,"สายสนับสนุนทั่วไป")/COUNTIFS(Raw_Data!$H$2:$H$59,"&gt;=1",Raw_Data!$H$2:$H$59,"&lt;=5",Raw_Data!$A$2:$A$59,"Yes",Raw_Data!$D$2:$D$59,"ยานพาหนะ",Raw_Data!$E$2:$E$59,"สายสนับสนุนทั่วไป"),"")</f>
        <v>0</v>
      </c>
      <c r="AH5" s="54">
        <f>IFERROR(100*COUNTIFS(Raw_Data!$H$2:$H$59,"&gt;=4",Raw_Data!$H$2:$H$59,"&lt;=5",Raw_Data!$A$2:$A$59,"Yes",Raw_Data!$D$2:$D$59,"สื่อสารการตลาด",Raw_Data!$E$2:$E$59,"สายสนับสนุนทั่วไป")/COUNTIFS(Raw_Data!$H$2:$H$59,"&gt;=1",Raw_Data!$H$2:$H$59,"&lt;=5",Raw_Data!$A$2:$A$59,"Yes",Raw_Data!$D$2:$D$59,"สื่อสารการตลาด",Raw_Data!$E$2:$E$59,"สายสนับสนุนทั่วไป"),"")</f>
        <v>100</v>
      </c>
      <c r="AI5" s="54">
        <f>IFERROR(100*COUNTIFS(Raw_Data!$H$2:$H$59,"&gt;=4",Raw_Data!$H$2:$H$59,"&lt;=5",Raw_Data!$A$2:$A$59,"Yes",Raw_Data!$D$2:$D$59,"ERและเปล",Raw_Data!$E$2:$E$59,"สายสนับสนุนทั่วไป")/COUNTIFS(Raw_Data!$H$2:$H$59,"&gt;=1",Raw_Data!$H$2:$H$59,"&lt;=5",Raw_Data!$A$2:$A$59,"Yes",Raw_Data!$D$2:$D$59,"ERและเปล",Raw_Data!$E$2:$E$59,"สายสนับสนุนทั่วไป"),"")</f>
        <v>100</v>
      </c>
      <c r="AJ5" s="54">
        <f>IFERROR(100*COUNTIFS(Raw_Data!$H$2:$H$59,"&gt;=4",Raw_Data!$H$2:$H$59,"&lt;=5",Raw_Data!$A$2:$A$59,"Yes",Raw_Data!$D$2:$D$59,"HR",Raw_Data!$E$2:$E$59,"สายสนับสนุนทั่วไป")/COUNTIFS(Raw_Data!$H$2:$H$59,"&gt;=1",Raw_Data!$H$2:$H$59,"&lt;=5",Raw_Data!$A$2:$A$59,"Yes",Raw_Data!$D$2:$D$59,"HR",Raw_Data!$E$2:$E$59,"สายสนับสนุนทั่วไป"),"")</f>
        <v>100</v>
      </c>
      <c r="AK5" s="54">
        <f>IFERROR(100*COUNTIFS(Raw_Data!$H$2:$H$59,"&gt;=4",Raw_Data!$H$2:$H$59,"&lt;=5",Raw_Data!$A$2:$A$59,"Yes",Raw_Data!$D$2:$D$59,"ICU",Raw_Data!$E$2:$E$59,"สายสนับสนุนทั่วไป")/COUNTIFS(Raw_Data!$H$2:$H$59,"&gt;=1",Raw_Data!$H$2:$H$59,"&lt;=5",Raw_Data!$A$2:$A$59,"Yes",Raw_Data!$D$2:$D$59,"ICU",Raw_Data!$E$2:$E$59,"สายสนับสนุนทั่วไป"),"")</f>
        <v>100</v>
      </c>
      <c r="AL5" s="54">
        <f>IFERROR(100*COUNTIFS(Raw_Data!$H$2:$H$59,"&gt;=4",Raw_Data!$H$2:$H$59,"&lt;=5",Raw_Data!$A$2:$A$59,"Yes",Raw_Data!$D$2:$D$59,"IPD",Raw_Data!$E$2:$E$59,"สายสนับสนุนทั่วไป")/COUNTIFS(Raw_Data!$H$2:$H$59,"&gt;=1",Raw_Data!$H$2:$H$59,"&lt;=5",Raw_Data!$A$2:$A$59,"Yes",Raw_Data!$D$2:$D$59,"IPD",Raw_Data!$E$2:$E$59,"สายสนับสนุนทั่วไป"),"")</f>
        <v>0</v>
      </c>
      <c r="AM5" s="54">
        <f>IFERROR(100*COUNTIFS(Raw_Data!$H$2:$H$59,"&gt;=4",Raw_Data!$H$2:$H$59,"&lt;=5",Raw_Data!$A$2:$A$59,"Yes",Raw_Data!$D$2:$D$59,"IT",Raw_Data!$E$2:$E$59,"สายสนับสนุนทั่วไป")/COUNTIFS(Raw_Data!$H$2:$H$59,"&gt;=1",Raw_Data!$H$2:$H$59,"&lt;=5",Raw_Data!$A$2:$A$59,"Yes",Raw_Data!$D$2:$D$59,"IT",Raw_Data!$E$2:$E$59,"สายสนับสนุนทั่วไป"),"")</f>
        <v>100</v>
      </c>
      <c r="AN5" s="54">
        <f>IFERROR(100*COUNTIFS(Raw_Data!$H$2:$H$59,"&gt;=4",Raw_Data!$H$2:$H$59,"&lt;=5",Raw_Data!$A$2:$A$59,"Yes",Raw_Data!$D$2:$D$59,"ผู้ป่วยสัมพันธ์",Raw_Data!$E$2:$E$59,"สายสนับสนุนทางการแพทย์")/COUNTIFS(Raw_Data!$H$2:$H$59,"&gt;=1",Raw_Data!$H$2:$H$59,"&lt;=5",Raw_Data!$A$2:$A$59,"Yes",Raw_Data!$D$2:$D$59,"ผู้ป่วยสัมพันธ์",Raw_Data!$E$2:$E$59,"สายสนับสนุนทางการแพทย์"),"")</f>
        <v>66.666666666666671</v>
      </c>
      <c r="AO5" s="54">
        <f>IFERROR(100*COUNTIFS(Raw_Data!$H$2:$H$59,"&gt;=4",Raw_Data!$H$2:$H$59,"&lt;=5",Raw_Data!$A$2:$A$59,"Yes",Raw_Data!$D$2:$D$59,"ฝ่ายการพยาบาล",Raw_Data!$E$2:$E$59,"สายสนับสนุนทางการแพทย์")/COUNTIFS(Raw_Data!$H$2:$H$59,"&gt;=1",Raw_Data!$H$2:$H$59,"&lt;=5",Raw_Data!$A$2:$A$59,"Yes",Raw_Data!$D$2:$D$59,"ฝ่ายการพยาบาล",Raw_Data!$E$2:$E$59,"สายสนับสนุนทางการแพทย์"),"")</f>
        <v>100</v>
      </c>
      <c r="AP5" s="54">
        <f>IFERROR(100*COUNTIFS(Raw_Data!$H$2:$H$59,"&gt;=4",Raw_Data!$H$2:$H$59,"&lt;=5",Raw_Data!$A$2:$A$59,"Yes",Raw_Data!$D$2:$D$59,"โภชนาการ",Raw_Data!$E$2:$E$59,"สายสนับสนุนทางการแพทย์")/COUNTIFS(Raw_Data!$H$2:$H$59,"&gt;=1",Raw_Data!$H$2:$H$59,"&lt;=5",Raw_Data!$A$2:$A$59,"Yes",Raw_Data!$D$2:$D$59,"โภชนาการ",Raw_Data!$E$2:$E$59,"สายสนับสนุนทางการแพทย์"),"")</f>
        <v>100</v>
      </c>
      <c r="AQ5" s="54">
        <f>IFERROR(100*COUNTIFS(Raw_Data!$H$2:$H$59,"&gt;=4",Raw_Data!$H$2:$H$59,"&lt;=5",Raw_Data!$A$2:$A$59,"Yes",Raw_Data!$D$2:$D$59,"ห้องยา",Raw_Data!$E$2:$E$59,"สายสนับสนุนทางการแพทย์")/COUNTIFS(Raw_Data!$H$2:$H$59,"&gt;=1",Raw_Data!$H$2:$H$59,"&lt;=5",Raw_Data!$A$2:$A$59,"Yes",Raw_Data!$D$2:$D$59,"ห้องยา",Raw_Data!$E$2:$E$59,"สายสนับสนุนทางการแพทย์"),"")</f>
        <v>100</v>
      </c>
      <c r="AR5" s="54">
        <f>IFERROR(100*COUNTIFS(Raw_Data!$H$2:$H$59,"&gt;=4",Raw_Data!$H$2:$H$59,"&lt;=5",Raw_Data!$A$2:$A$59,"Yes",Raw_Data!$D$2:$D$59,"ห้องแลป",Raw_Data!$E$2:$E$59,"สายสนับสนุนทางการแพทย์")/COUNTIFS(Raw_Data!$H$2:$H$59,"&gt;=1",Raw_Data!$H$2:$H$59,"&lt;=5",Raw_Data!$A$2:$A$59,"Yes",Raw_Data!$D$2:$D$59,"ห้องแลป",Raw_Data!$E$2:$E$59,"สายสนับสนุนทางการแพทย์"),"")</f>
        <v>0</v>
      </c>
      <c r="AS5" s="54">
        <f>IFERROR(100*COUNTIFS(Raw_Data!$H$2:$H$59,"&gt;=4",Raw_Data!$H$2:$H$59,"&lt;=5",Raw_Data!$A$2:$A$59,"Yes",Raw_Data!$D$2:$D$59,"ห้องเอ็กซเรย์",Raw_Data!$E$2:$E$59,"สายสนับสนุนทางการแพทย์")/COUNTIFS(Raw_Data!$H$2:$H$59,"&gt;=1",Raw_Data!$H$2:$H$59,"&lt;=5",Raw_Data!$A$2:$A$59,"Yes",Raw_Data!$D$2:$D$59,"ห้องเอ็กซเรย์",Raw_Data!$E$2:$E$59,"สายสนับสนุนทางการแพทย์"),"")</f>
        <v>100</v>
      </c>
      <c r="AT5" s="54">
        <f>IFERROR(100*COUNTIFS(Raw_Data!$H$2:$H$59,"&gt;=4",Raw_Data!$H$2:$H$59,"&lt;=5",Raw_Data!$A$2:$A$59,"Yes",Raw_Data!$D$2:$D$59,"ERและเปล",Raw_Data!$E$2:$E$59,"สายสนับสนุนทางการแพทย์")/COUNTIFS(Raw_Data!$H$2:$H$59,"&gt;=1",Raw_Data!$H$2:$H$59,"&lt;=5",Raw_Data!$A$2:$A$59,"Yes",Raw_Data!$D$2:$D$59,"ERและเปล",Raw_Data!$E$2:$E$59,"สายสนับสนุนทางการแพทย์"),"")</f>
        <v>0</v>
      </c>
      <c r="AU5" s="54">
        <f>IFERROR(100*COUNTIFS(Raw_Data!$H$2:$H$59,"&gt;=4",Raw_Data!$H$2:$H$59,"&lt;=5",Raw_Data!$A$2:$A$59,"Yes",Raw_Data!$D$2:$D$59,"ICU",Raw_Data!$E$2:$E$59,"สายสนับสนุนทางการแพทย์")/COUNTIFS(Raw_Data!$H$2:$H$59,"&gt;=1",Raw_Data!$H$2:$H$59,"&lt;=5",Raw_Data!$A$2:$A$59,"Yes",Raw_Data!$D$2:$D$59,"ICU",Raw_Data!$E$2:$E$59,"สายสนับสนุนทางการแพทย์"),"")</f>
        <v>100</v>
      </c>
      <c r="AV5" s="54">
        <f>IFERROR(100*COUNTIFS(Raw_Data!$H$2:$H$59,"&gt;=4",Raw_Data!$H$2:$H$59,"&lt;=5",Raw_Data!$A$2:$A$59,"Yes",Raw_Data!$D$2:$D$59,"IPD",Raw_Data!$E$2:$E$59,"สายสนับสนุนทางการแพทย์")/COUNTIFS(Raw_Data!$H$2:$H$59,"&gt;=1",Raw_Data!$H$2:$H$59,"&lt;=5",Raw_Data!$A$2:$A$59,"Yes",Raw_Data!$D$2:$D$59,"IPD",Raw_Data!$E$2:$E$59,"สายสนับสนุนทางการแพทย์"),"")</f>
        <v>50</v>
      </c>
      <c r="AW5" s="54">
        <f>IFERROR(100*COUNTIFS(Raw_Data!$H$2:$H$59,"&gt;=4",Raw_Data!$H$2:$H$59,"&lt;=5",Raw_Data!$A$2:$A$59,"Yes",Raw_Data!$D$2:$D$59,"IT",Raw_Data!$E$2:$E$59,"สายสนับสนุนทางการแพทย์")/COUNTIFS(Raw_Data!$H$2:$H$59,"&gt;=1",Raw_Data!$H$2:$H$59,"&lt;=5",Raw_Data!$A$2:$A$59,"Yes",Raw_Data!$D$2:$D$59,"IT",Raw_Data!$E$2:$E$59,"สายสนับสนุนทางการแพทย์"),"")</f>
        <v>100</v>
      </c>
    </row>
    <row r="6" spans="1:49" ht="42" customHeight="1">
      <c r="A6" s="50"/>
      <c r="B6" s="51" t="s">
        <v>39</v>
      </c>
      <c r="C6" s="54">
        <f>IFERROR(100*COUNTIFS(Raw_Data!$I$2:$I$59,"&gt;=1",Raw_Data!$I$2:$I$59,"&lt;=2",Raw_Data!$A$2:$A$59,"Yes")/COUNTIFS(Raw_Data!$I$2:$I$59,"&gt;=1",Raw_Data!$I$2:$I$59,"&lt;=5",Raw_Data!$A$2:$A$59,"Yes"),"")</f>
        <v>46.551724137931032</v>
      </c>
      <c r="D6" s="54">
        <f>IFERROR(100*COUNTIFS(Raw_Data!$I$2:$I$59,"&gt;=1",Raw_Data!$I$2:$I$59,"&lt;=2",Raw_Data!$A$2:$A$59,"Yes",Raw_Data!$D$2:$D$59,"การเงิน")/COUNTIFS(Raw_Data!$I$2:$I$59,"&gt;=1",Raw_Data!$I$2:$I$59,"&lt;=5",Raw_Data!$A$2:$A$59,"Yes",Raw_Data!$D$2:$D$59,"การเงิน"),"")</f>
        <v>33.333333333333336</v>
      </c>
      <c r="E6" s="54">
        <f>IFERROR(100*COUNTIFS(Raw_Data!$I$2:$I$59,"&gt;=1",Raw_Data!$I$2:$I$59,"&lt;=2",Raw_Data!$A$2:$A$59,"Yes",Raw_Data!$D$2:$D$59,"เคหรักษ์")/COUNTIFS(Raw_Data!$I$2:$I$59,"&gt;=1",Raw_Data!$I$2:$I$59,"&lt;=5",Raw_Data!$A$2:$A$59,"Yes",Raw_Data!$D$2:$D$59,"เคหรักษ์"),"")</f>
        <v>0</v>
      </c>
      <c r="F6" s="54">
        <f>IFERROR(100*COUNTIFS(Raw_Data!$I$2:$I$59,"&gt;=1",Raw_Data!$I$2:$I$59,"&lt;=2",Raw_Data!$A$2:$A$59,"Yes",Raw_Data!$D$2:$D$59,"จ่ายกลาง")/COUNTIFS(Raw_Data!$I$2:$I$59,"&gt;=1",Raw_Data!$I$2:$I$59,"&lt;=5",Raw_Data!$A$2:$A$59,"Yes",Raw_Data!$D$2:$D$59,"จ่ายกลาง"),"")</f>
        <v>100</v>
      </c>
      <c r="G6" s="54">
        <f>IFERROR(100*COUNTIFS(Raw_Data!$I$2:$I$59,"&gt;=1",Raw_Data!$I$2:$I$59,"&lt;=2",Raw_Data!$A$2:$A$59,"Yes",Raw_Data!$D$2:$D$59,"ช่างและสนาม")/COUNTIFS(Raw_Data!$I$2:$I$59,"&gt;=1",Raw_Data!$I$2:$I$59,"&lt;=5",Raw_Data!$A$2:$A$59,"Yes",Raw_Data!$D$2:$D$59,"ช่างและสนาม"),"")</f>
        <v>50</v>
      </c>
      <c r="H6" s="54">
        <f>IFERROR(100*COUNTIFS(Raw_Data!$I$2:$I$59,"&gt;=1",Raw_Data!$I$2:$I$59,"&lt;=2",Raw_Data!$A$2:$A$59,"Yes",Raw_Data!$D$2:$D$59,"ผู้ป่วยสัมพันธ์")/COUNTIFS(Raw_Data!$I$2:$I$59,"&gt;=1",Raw_Data!$I$2:$I$59,"&lt;=5",Raw_Data!$A$2:$A$59,"Yes",Raw_Data!$D$2:$D$59,"ผู้ป่วยสัมพันธ์"),"")</f>
        <v>50</v>
      </c>
      <c r="I6" s="54">
        <f>IFERROR(100*COUNTIFS(Raw_Data!$I$2:$I$59,"&gt;=1",Raw_Data!$I$2:$I$59,"&lt;=2",Raw_Data!$A$2:$A$59,"Yes",Raw_Data!$D$2:$D$59,"ฝ่ายการพยาบาล")/COUNTIFS(Raw_Data!$I$2:$I$59,"&gt;=1",Raw_Data!$I$2:$I$59,"&lt;=5",Raw_Data!$A$2:$A$59,"Yes",Raw_Data!$D$2:$D$59,"ฝ่ายการพยาบาล"),"")</f>
        <v>50</v>
      </c>
      <c r="J6" s="54">
        <f>IFERROR(100*COUNTIFS(Raw_Data!$I$2:$I$59,"&gt;=1",Raw_Data!$I$2:$I$59,"&lt;=2",Raw_Data!$A$2:$A$59,"Yes",Raw_Data!$D$2:$D$59,"โภชนาการ")/COUNTIFS(Raw_Data!$I$2:$I$59,"&gt;=1",Raw_Data!$I$2:$I$59,"&lt;=5",Raw_Data!$A$2:$A$59,"Yes",Raw_Data!$D$2:$D$59,"โภชนาการ"),"")</f>
        <v>100</v>
      </c>
      <c r="K6" s="54">
        <f>IFERROR(100*COUNTIFS(Raw_Data!$I$2:$I$59,"&gt;=1",Raw_Data!$I$2:$I$59,"&lt;=2",Raw_Data!$A$2:$A$59,"Yes",Raw_Data!$D$2:$D$59,"ยานพาหนะ")/COUNTIFS(Raw_Data!$I$2:$I$59,"&gt;=1",Raw_Data!$I$2:$I$59,"&lt;=5",Raw_Data!$A$2:$A$59,"Yes",Raw_Data!$D$2:$D$59,"ยานพาหนะ"),"")</f>
        <v>0</v>
      </c>
      <c r="L6" s="54">
        <f>IFERROR(100*COUNTIFS(Raw_Data!$I$2:$I$59,"&gt;=1",Raw_Data!$I$2:$I$59,"&lt;=2",Raw_Data!$A$2:$A$59,"Yes",Raw_Data!$D$2:$D$59,"สื่อสารการตลาด")/COUNTIFS(Raw_Data!$I$2:$I$59,"&gt;=1",Raw_Data!$I$2:$I$59,"&lt;=5",Raw_Data!$A$2:$A$59,"Yes",Raw_Data!$D$2:$D$59,"สื่อสารการตลาด"),"")</f>
        <v>100</v>
      </c>
      <c r="M6" s="54">
        <f>IFERROR(100*COUNTIFS(Raw_Data!$I$2:$I$59,"&gt;=1",Raw_Data!$I$2:$I$59,"&lt;=2",Raw_Data!$A$2:$A$59,"Yes",Raw_Data!$D$2:$D$59,"ห้องยา")/COUNTIFS(Raw_Data!$I$2:$I$59,"&gt;=1",Raw_Data!$I$2:$I$59,"&lt;=5",Raw_Data!$A$2:$A$59,"Yes",Raw_Data!$D$2:$D$59,"ห้องยา"),"")</f>
        <v>50</v>
      </c>
      <c r="N6" s="54">
        <f>IFERROR(100*COUNTIFS(Raw_Data!$I$2:$I$59,"&gt;=1",Raw_Data!$I$2:$I$59,"&lt;=2",Raw_Data!$A$2:$A$59,"Yes",Raw_Data!$D$2:$D$59,"ห้องแลป")/COUNTIFS(Raw_Data!$I$2:$I$59,"&gt;=1",Raw_Data!$I$2:$I$59,"&lt;=5",Raw_Data!$A$2:$A$59,"Yes",Raw_Data!$D$2:$D$59,"ห้องแลป"),"")</f>
        <v>0</v>
      </c>
      <c r="O6" s="54">
        <f>IFERROR(100*COUNTIFS(Raw_Data!$I$2:$I$59,"&gt;=1",Raw_Data!$I$2:$I$59,"&lt;=2",Raw_Data!$A$2:$A$59,"Yes",Raw_Data!$D$2:$D$59,"ห้องเอ็กซเรย์")/COUNTIFS(Raw_Data!$I$2:$I$59,"&gt;=1",Raw_Data!$I$2:$I$59,"&lt;=5",Raw_Data!$A$2:$A$59,"Yes",Raw_Data!$D$2:$D$59,"ห้องเอ็กซเรย์"),"")</f>
        <v>100</v>
      </c>
      <c r="P6" s="54">
        <f>IFERROR(100*COUNTIFS(Raw_Data!$I$2:$I$59,"&gt;=1",Raw_Data!$I$2:$I$59,"&lt;=2",Raw_Data!$A$2:$A$59,"Yes",Raw_Data!$D$2:$D$59,"ERและเปล")/COUNTIFS(Raw_Data!$I$2:$I$59,"&gt;=1",Raw_Data!$I$2:$I$59,"&lt;=5",Raw_Data!$A$2:$A$59,"Yes",Raw_Data!$D$2:$D$59,"ERและเปล"),"")</f>
        <v>27.272727272727273</v>
      </c>
      <c r="Q6" s="54">
        <f>IFERROR(100*COUNTIFS(Raw_Data!$I$2:$I$59,"&gt;=1",Raw_Data!$I$2:$I$59,"&lt;=2",Raw_Data!$A$2:$A$59,"Yes",Raw_Data!$D$2:$D$59,"HR")/COUNTIFS(Raw_Data!$I$2:$I$59,"&gt;=1",Raw_Data!$I$2:$I$59,"&lt;=5",Raw_Data!$A$2:$A$59,"Yes",Raw_Data!$D$2:$D$59,"HR"),"")</f>
        <v>0</v>
      </c>
      <c r="R6" s="54">
        <f>IFERROR(100*COUNTIFS(Raw_Data!$I$2:$I$59,"&gt;=1",Raw_Data!$I$2:$I$59,"&lt;=2",Raw_Data!$A$2:$A$59,"Yes",Raw_Data!$D$2:$D$59,"ICU")/COUNTIFS(Raw_Data!$I$2:$I$59,"&gt;=1",Raw_Data!$I$2:$I$59,"&lt;=5",Raw_Data!$A$2:$A$59,"Yes",Raw_Data!$D$2:$D$59,"ICU"),"")</f>
        <v>50</v>
      </c>
      <c r="S6" s="54">
        <f>IFERROR(100*COUNTIFS(Raw_Data!$I$2:$I$59,"&gt;=1",Raw_Data!$I$2:$I$59,"&lt;=2",Raw_Data!$A$2:$A$59,"Yes",Raw_Data!$D$2:$D$59,"IPD")/COUNTIFS(Raw_Data!$I$2:$I$59,"&gt;=1",Raw_Data!$I$2:$I$59,"&lt;=5",Raw_Data!$A$2:$A$59,"Yes",Raw_Data!$D$2:$D$59,"IPD"),"")</f>
        <v>50</v>
      </c>
      <c r="T6" s="54">
        <f>IFERROR(100*COUNTIFS(Raw_Data!$I$2:$I$59,"&gt;=1",Raw_Data!$I$2:$I$59,"&lt;=2",Raw_Data!$A$2:$A$59,"Yes",Raw_Data!$D$2:$D$59,"IT")/COUNTIFS(Raw_Data!$I$2:$I$59,"&gt;=1",Raw_Data!$I$2:$I$59,"&lt;=5",Raw_Data!$A$2:$A$59,"Yes",Raw_Data!$D$2:$D$59,"IT"),"")</f>
        <v>50</v>
      </c>
      <c r="U6" s="54">
        <f>IFERROR(100*COUNTIFS(Raw_Data!$I$2:$I$59,"&gt;=1",Raw_Data!$I$2:$I$59,"&lt;=2",Raw_Data!$A$2:$A$59,"Yes",Raw_Data!$D$2:$D$59,"OR")/COUNTIFS(Raw_Data!$I$2:$I$59,"&gt;=1",Raw_Data!$I$2:$I$59,"&lt;=5",Raw_Data!$A$2:$A$59,"Yes",Raw_Data!$D$2:$D$59,"OR"),"")</f>
        <v>75</v>
      </c>
      <c r="V6" s="54">
        <f>IFERROR(100*COUNTIFS(Raw_Data!$I$2:$I$59,"&gt;=1",Raw_Data!$I$2:$I$59,"&lt;=2",Raw_Data!$A$2:$A$59,"Yes",Raw_Data!$D$2:$D$59,"IPD",Raw_Data!$E$2:$E$59,"ผู้บริหาร")/COUNTIFS(Raw_Data!$I$2:$I$59,"&gt;=1",Raw_Data!$I$2:$I$59,"&lt;=5",Raw_Data!$A$2:$A$59,"Yes",Raw_Data!$D$2:$D$59,"IPD",Raw_Data!$E$2:$E$59,"ผู้บริหาร"),"")</f>
        <v>100</v>
      </c>
      <c r="W6" s="54">
        <f>IFERROR(100*COUNTIFS(Raw_Data!$I$2:$I$59,"&gt;=1",Raw_Data!$I$2:$I$59,"&lt;=2",Raw_Data!$A$2:$A$59,"Yes",Raw_Data!$D$2:$D$59,"ฝ่ายการพยาบาล",Raw_Data!$E$2:$E$59,"สายวิชาชีพสาธารณสุข")/COUNTIFS(Raw_Data!$I$2:$I$59,"&gt;=1",Raw_Data!$I$2:$I$59,"&lt;=5",Raw_Data!$A$2:$A$59,"Yes",Raw_Data!$D$2:$D$59,"ฝ่ายการพยาบาล",Raw_Data!$E$2:$E$59,"สายวิชาชีพสาธารณสุข"),"")</f>
        <v>0</v>
      </c>
      <c r="X6" s="54">
        <f>IFERROR(100*COUNTIFS(Raw_Data!$I$2:$I$59,"&gt;=1",Raw_Data!$I$2:$I$59,"&lt;=2",Raw_Data!$A$2:$A$59,"Yes",Raw_Data!$D$2:$D$59,"ERและเปล",Raw_Data!$E$2:$E$59,"สายวิชาชีพสาธารณสุข")/COUNTIFS(Raw_Data!$I$2:$I$59,"&gt;=1",Raw_Data!$I$2:$I$59,"&lt;=5",Raw_Data!$A$2:$A$59,"Yes",Raw_Data!$D$2:$D$59,"ERและเปล",Raw_Data!$E$2:$E$59,"สายวิชาชีพสาธารณสุข"),"")</f>
        <v>14.285714285714286</v>
      </c>
      <c r="Y6" s="54">
        <f>IFERROR(100*COUNTIFS(Raw_Data!$I$2:$I$59,"&gt;=1",Raw_Data!$I$2:$I$59,"&lt;=2",Raw_Data!$A$2:$A$59,"Yes",Raw_Data!$D$2:$D$59,"ICU",Raw_Data!$E$2:$E$59,"สายวิชาชีพสาธารณสุข")/COUNTIFS(Raw_Data!$I$2:$I$59,"&gt;=1",Raw_Data!$I$2:$I$59,"&lt;=5",Raw_Data!$A$2:$A$59,"Yes",Raw_Data!$D$2:$D$59,"ICU",Raw_Data!$E$2:$E$59,"สายวิชาชีพสาธารณสุข"),"")</f>
        <v>100</v>
      </c>
      <c r="Z6" s="54">
        <f>IFERROR(100*COUNTIFS(Raw_Data!$I$2:$I$59,"&gt;=1",Raw_Data!$I$2:$I$59,"&lt;=2",Raw_Data!$A$2:$A$59,"Yes",Raw_Data!$D$2:$D$59,"IPD",Raw_Data!$E$2:$E$59,"สายวิชาชีพสาธารณสุข")/COUNTIFS(Raw_Data!$I$2:$I$59,"&gt;=1",Raw_Data!$I$2:$I$59,"&lt;=5",Raw_Data!$A$2:$A$59,"Yes",Raw_Data!$D$2:$D$59,"IPD",Raw_Data!$E$2:$E$59,"สายวิชาชีพสาธารณสุข"),"")</f>
        <v>100</v>
      </c>
      <c r="AA6" s="54">
        <f>IFERROR(100*COUNTIFS(Raw_Data!$I$2:$I$59,"&gt;=1",Raw_Data!$I$2:$I$59,"&lt;=2",Raw_Data!$A$2:$A$59,"Yes",Raw_Data!$D$2:$D$59,"OR",Raw_Data!$E$2:$E$59,"สายวิชาชีพสาธารณสุข")/COUNTIFS(Raw_Data!$I$2:$I$59,"&gt;=1",Raw_Data!$I$2:$I$59,"&lt;=5",Raw_Data!$A$2:$A$59,"Yes",Raw_Data!$D$2:$D$59,"OR",Raw_Data!$E$2:$E$59,"สายวิชาชีพสาธารณสุข"),"")</f>
        <v>75</v>
      </c>
      <c r="AB6" s="54">
        <f>IFERROR(100*COUNTIFS(Raw_Data!$I$2:$I$59,"&gt;=1",Raw_Data!$I$2:$I$59,"&lt;=2",Raw_Data!$A$2:$A$59,"Yes",Raw_Data!$D$2:$D$59,"การเงิน",Raw_Data!$E$2:$E$59,"สายสนับสนุนทั่วไป")/COUNTIFS(Raw_Data!$I$2:$I$59,"&gt;=1",Raw_Data!$I$2:$I$59,"&lt;=5",Raw_Data!$A$2:$A$59,"Yes",Raw_Data!$D$2:$D$59,"การเงิน",Raw_Data!$E$2:$E$59,"สายสนับสนุนทั่วไป"),"")</f>
        <v>33.333333333333336</v>
      </c>
      <c r="AC6" s="54">
        <f>IFERROR(100*COUNTIFS(Raw_Data!$I$2:$I$59,"&gt;=1",Raw_Data!$I$2:$I$59,"&lt;=2",Raw_Data!$A$2:$A$59,"Yes",Raw_Data!$D$2:$D$59,"เคหรักษ์",Raw_Data!$E$2:$E$59,"สายสนับสนุนทั่วไป")/COUNTIFS(Raw_Data!$I$2:$I$59,"&gt;=1",Raw_Data!$I$2:$I$59,"&lt;=5",Raw_Data!$A$2:$A$59,"Yes",Raw_Data!$D$2:$D$59,"เคหรักษ์",Raw_Data!$E$2:$E$59,"สายสนับสนุนทั่วไป"),"")</f>
        <v>0</v>
      </c>
      <c r="AD6" s="54">
        <f>IFERROR(100*COUNTIFS(Raw_Data!$I$2:$I$59,"&gt;=1",Raw_Data!$I$2:$I$59,"&lt;=2",Raw_Data!$A$2:$A$59,"Yes",Raw_Data!$D$2:$D$59,"จ่ายกลาง",Raw_Data!$E$2:$E$59,"สายสนับสนุนทั่วไป")/COUNTIFS(Raw_Data!$I$2:$I$59,"&gt;=1",Raw_Data!$I$2:$I$59,"&lt;=5",Raw_Data!$A$2:$A$59,"Yes",Raw_Data!$D$2:$D$59,"จ่ายกลาง",Raw_Data!$E$2:$E$59,"สายสนับสนุนทั่วไป"),"")</f>
        <v>100</v>
      </c>
      <c r="AE6" s="54">
        <f>IFERROR(100*COUNTIFS(Raw_Data!$I$2:$I$59,"&gt;=1",Raw_Data!$I$2:$I$59,"&lt;=2",Raw_Data!$A$2:$A$59,"Yes",Raw_Data!$D$2:$D$59,"ช่างและสนาม",Raw_Data!$E$2:$E$59,"สายสนับสนุนทั่วไป")/COUNTIFS(Raw_Data!$I$2:$I$59,"&gt;=1",Raw_Data!$I$2:$I$59,"&lt;=5",Raw_Data!$A$2:$A$59,"Yes",Raw_Data!$D$2:$D$59,"ช่างและสนาม",Raw_Data!$E$2:$E$59,"สายสนับสนุนทั่วไป"),"")</f>
        <v>50</v>
      </c>
      <c r="AF6" s="54">
        <f>IFERROR(100*COUNTIFS(Raw_Data!$I$2:$I$59,"&gt;=1",Raw_Data!$I$2:$I$59,"&lt;=2",Raw_Data!$A$2:$A$59,"Yes",Raw_Data!$D$2:$D$59,"ผู้ป่วยสัมพันธ์",Raw_Data!$E$2:$E$59,"สายสนับสนุนทั่วไป")/COUNTIFS(Raw_Data!$I$2:$I$59,"&gt;=1",Raw_Data!$I$2:$I$59,"&lt;=5",Raw_Data!$A$2:$A$59,"Yes",Raw_Data!$D$2:$D$59,"ผู้ป่วยสัมพันธ์",Raw_Data!$E$2:$E$59,"สายสนับสนุนทั่วไป"),"")</f>
        <v>0</v>
      </c>
      <c r="AG6" s="54">
        <f>IFERROR(100*COUNTIFS(Raw_Data!$I$2:$I$59,"&gt;=1",Raw_Data!$I$2:$I$59,"&lt;=2",Raw_Data!$A$2:$A$59,"Yes",Raw_Data!$D$2:$D$59,"ยานพาหนะ",Raw_Data!$E$2:$E$59,"สายสนับสนุนทั่วไป")/COUNTIFS(Raw_Data!$I$2:$I$59,"&gt;=1",Raw_Data!$I$2:$I$59,"&lt;=5",Raw_Data!$A$2:$A$59,"Yes",Raw_Data!$D$2:$D$59,"ยานพาหนะ",Raw_Data!$E$2:$E$59,"สายสนับสนุนทั่วไป"),"")</f>
        <v>0</v>
      </c>
      <c r="AH6" s="54">
        <f>IFERROR(100*COUNTIFS(Raw_Data!$I$2:$I$59,"&gt;=1",Raw_Data!$I$2:$I$59,"&lt;=2",Raw_Data!$A$2:$A$59,"Yes",Raw_Data!$D$2:$D$59,"สื่อสารการตลาด",Raw_Data!$E$2:$E$59,"สายสนับสนุนทั่วไป")/COUNTIFS(Raw_Data!$I$2:$I$59,"&gt;=1",Raw_Data!$I$2:$I$59,"&lt;=5",Raw_Data!$A$2:$A$59,"Yes",Raw_Data!$D$2:$D$59,"สื่อสารการตลาด",Raw_Data!$E$2:$E$59,"สายสนับสนุนทั่วไป"),"")</f>
        <v>100</v>
      </c>
      <c r="AI6" s="54">
        <f>IFERROR(100*COUNTIFS(Raw_Data!$I$2:$I$59,"&gt;=1",Raw_Data!$I$2:$I$59,"&lt;=2",Raw_Data!$A$2:$A$59,"Yes",Raw_Data!$D$2:$D$59,"ERและเปล",Raw_Data!$E$2:$E$59,"สายสนับสนุนทั่วไป")/COUNTIFS(Raw_Data!$I$2:$I$59,"&gt;=1",Raw_Data!$I$2:$I$59,"&lt;=5",Raw_Data!$A$2:$A$59,"Yes",Raw_Data!$D$2:$D$59,"ERและเปล",Raw_Data!$E$2:$E$59,"สายสนับสนุนทั่วไป"),"")</f>
        <v>66.666666666666671</v>
      </c>
      <c r="AJ6" s="54">
        <f>IFERROR(100*COUNTIFS(Raw_Data!$I$2:$I$59,"&gt;=1",Raw_Data!$I$2:$I$59,"&lt;=2",Raw_Data!$A$2:$A$59,"Yes",Raw_Data!$D$2:$D$59,"HR",Raw_Data!$E$2:$E$59,"สายสนับสนุนทั่วไป")/COUNTIFS(Raw_Data!$I$2:$I$59,"&gt;=1",Raw_Data!$I$2:$I$59,"&lt;=5",Raw_Data!$A$2:$A$59,"Yes",Raw_Data!$D$2:$D$59,"HR",Raw_Data!$E$2:$E$59,"สายสนับสนุนทั่วไป"),"")</f>
        <v>0</v>
      </c>
      <c r="AK6" s="54">
        <f>IFERROR(100*COUNTIFS(Raw_Data!$I$2:$I$59,"&gt;=1",Raw_Data!$I$2:$I$59,"&lt;=2",Raw_Data!$A$2:$A$59,"Yes",Raw_Data!$D$2:$D$59,"ICU",Raw_Data!$E$2:$E$59,"สายสนับสนุนทั่วไป")/COUNTIFS(Raw_Data!$I$2:$I$59,"&gt;=1",Raw_Data!$I$2:$I$59,"&lt;=5",Raw_Data!$A$2:$A$59,"Yes",Raw_Data!$D$2:$D$59,"ICU",Raw_Data!$E$2:$E$59,"สายสนับสนุนทั่วไป"),"")</f>
        <v>0</v>
      </c>
      <c r="AL6" s="54">
        <f>IFERROR(100*COUNTIFS(Raw_Data!$I$2:$I$59,"&gt;=1",Raw_Data!$I$2:$I$59,"&lt;=2",Raw_Data!$A$2:$A$59,"Yes",Raw_Data!$D$2:$D$59,"IPD",Raw_Data!$E$2:$E$59,"สายสนับสนุนทั่วไป")/COUNTIFS(Raw_Data!$I$2:$I$59,"&gt;=1",Raw_Data!$I$2:$I$59,"&lt;=5",Raw_Data!$A$2:$A$59,"Yes",Raw_Data!$D$2:$D$59,"IPD",Raw_Data!$E$2:$E$59,"สายสนับสนุนทั่วไป"),"")</f>
        <v>0</v>
      </c>
      <c r="AM6" s="54">
        <f>IFERROR(100*COUNTIFS(Raw_Data!$I$2:$I$59,"&gt;=1",Raw_Data!$I$2:$I$59,"&lt;=2",Raw_Data!$A$2:$A$59,"Yes",Raw_Data!$D$2:$D$59,"IT",Raw_Data!$E$2:$E$59,"สายสนับสนุนทั่วไป")/COUNTIFS(Raw_Data!$I$2:$I$59,"&gt;=1",Raw_Data!$I$2:$I$59,"&lt;=5",Raw_Data!$A$2:$A$59,"Yes",Raw_Data!$D$2:$D$59,"IT",Raw_Data!$E$2:$E$59,"สายสนับสนุนทั่วไป"),"")</f>
        <v>100</v>
      </c>
      <c r="AN6" s="54">
        <f>IFERROR(100*COUNTIFS(Raw_Data!$I$2:$I$59,"&gt;=1",Raw_Data!$I$2:$I$59,"&lt;=2",Raw_Data!$A$2:$A$59,"Yes",Raw_Data!$D$2:$D$59,"ผู้ป่วยสัมพันธ์",Raw_Data!$E$2:$E$59,"สายสนับสนุนทางการแพทย์")/COUNTIFS(Raw_Data!$I$2:$I$59,"&gt;=1",Raw_Data!$I$2:$I$59,"&lt;=5",Raw_Data!$A$2:$A$59,"Yes",Raw_Data!$D$2:$D$59,"ผู้ป่วยสัมพันธ์",Raw_Data!$E$2:$E$59,"สายสนับสนุนทางการแพทย์"),"")</f>
        <v>66.666666666666671</v>
      </c>
      <c r="AO6" s="54">
        <f>IFERROR(100*COUNTIFS(Raw_Data!$I$2:$I$59,"&gt;=1",Raw_Data!$I$2:$I$59,"&lt;=2",Raw_Data!$A$2:$A$59,"Yes",Raw_Data!$D$2:$D$59,"ฝ่ายการพยาบาล",Raw_Data!$E$2:$E$59,"สายสนับสนุนทางการแพทย์")/COUNTIFS(Raw_Data!$I$2:$I$59,"&gt;=1",Raw_Data!$I$2:$I$59,"&lt;=5",Raw_Data!$A$2:$A$59,"Yes",Raw_Data!$D$2:$D$59,"ฝ่ายการพยาบาล",Raw_Data!$E$2:$E$59,"สายสนับสนุนทางการแพทย์"),"")</f>
        <v>100</v>
      </c>
      <c r="AP6" s="54">
        <f>IFERROR(100*COUNTIFS(Raw_Data!$I$2:$I$59,"&gt;=1",Raw_Data!$I$2:$I$59,"&lt;=2",Raw_Data!$A$2:$A$59,"Yes",Raw_Data!$D$2:$D$59,"โภชนาการ",Raw_Data!$E$2:$E$59,"สายสนับสนุนทางการแพทย์")/COUNTIFS(Raw_Data!$I$2:$I$59,"&gt;=1",Raw_Data!$I$2:$I$59,"&lt;=5",Raw_Data!$A$2:$A$59,"Yes",Raw_Data!$D$2:$D$59,"โภชนาการ",Raw_Data!$E$2:$E$59,"สายสนับสนุนทางการแพทย์"),"")</f>
        <v>100</v>
      </c>
      <c r="AQ6" s="54">
        <f>IFERROR(100*COUNTIFS(Raw_Data!$I$2:$I$59,"&gt;=1",Raw_Data!$I$2:$I$59,"&lt;=2",Raw_Data!$A$2:$A$59,"Yes",Raw_Data!$D$2:$D$59,"ห้องยา",Raw_Data!$E$2:$E$59,"สายสนับสนุนทางการแพทย์")/COUNTIFS(Raw_Data!$I$2:$I$59,"&gt;=1",Raw_Data!$I$2:$I$59,"&lt;=5",Raw_Data!$A$2:$A$59,"Yes",Raw_Data!$D$2:$D$59,"ห้องยา",Raw_Data!$E$2:$E$59,"สายสนับสนุนทางการแพทย์"),"")</f>
        <v>50</v>
      </c>
      <c r="AR6" s="54">
        <f>IFERROR(100*COUNTIFS(Raw_Data!$I$2:$I$59,"&gt;=1",Raw_Data!$I$2:$I$59,"&lt;=2",Raw_Data!$A$2:$A$59,"Yes",Raw_Data!$D$2:$D$59,"ห้องแลป",Raw_Data!$E$2:$E$59,"สายสนับสนุนทางการแพทย์")/COUNTIFS(Raw_Data!$I$2:$I$59,"&gt;=1",Raw_Data!$I$2:$I$59,"&lt;=5",Raw_Data!$A$2:$A$59,"Yes",Raw_Data!$D$2:$D$59,"ห้องแลป",Raw_Data!$E$2:$E$59,"สายสนับสนุนทางการแพทย์"),"")</f>
        <v>0</v>
      </c>
      <c r="AS6" s="54">
        <f>IFERROR(100*COUNTIFS(Raw_Data!$I$2:$I$59,"&gt;=1",Raw_Data!$I$2:$I$59,"&lt;=2",Raw_Data!$A$2:$A$59,"Yes",Raw_Data!$D$2:$D$59,"ห้องเอ็กซเรย์",Raw_Data!$E$2:$E$59,"สายสนับสนุนทางการแพทย์")/COUNTIFS(Raw_Data!$I$2:$I$59,"&gt;=1",Raw_Data!$I$2:$I$59,"&lt;=5",Raw_Data!$A$2:$A$59,"Yes",Raw_Data!$D$2:$D$59,"ห้องเอ็กซเรย์",Raw_Data!$E$2:$E$59,"สายสนับสนุนทางการแพทย์"),"")</f>
        <v>100</v>
      </c>
      <c r="AT6" s="54">
        <f>IFERROR(100*COUNTIFS(Raw_Data!$I$2:$I$59,"&gt;=1",Raw_Data!$I$2:$I$59,"&lt;=2",Raw_Data!$A$2:$A$59,"Yes",Raw_Data!$D$2:$D$59,"ERและเปล",Raw_Data!$E$2:$E$59,"สายสนับสนุนทางการแพทย์")/COUNTIFS(Raw_Data!$I$2:$I$59,"&gt;=1",Raw_Data!$I$2:$I$59,"&lt;=5",Raw_Data!$A$2:$A$59,"Yes",Raw_Data!$D$2:$D$59,"ERและเปล",Raw_Data!$E$2:$E$59,"สายสนับสนุนทางการแพทย์"),"")</f>
        <v>0</v>
      </c>
      <c r="AU6" s="54">
        <f>IFERROR(100*COUNTIFS(Raw_Data!$I$2:$I$59,"&gt;=1",Raw_Data!$I$2:$I$59,"&lt;=2",Raw_Data!$A$2:$A$59,"Yes",Raw_Data!$D$2:$D$59,"ICU",Raw_Data!$E$2:$E$59,"สายสนับสนุนทางการแพทย์")/COUNTIFS(Raw_Data!$I$2:$I$59,"&gt;=1",Raw_Data!$I$2:$I$59,"&lt;=5",Raw_Data!$A$2:$A$59,"Yes",Raw_Data!$D$2:$D$59,"ICU",Raw_Data!$E$2:$E$59,"สายสนับสนุนทางการแพทย์"),"")</f>
        <v>0</v>
      </c>
      <c r="AV6" s="54">
        <f>IFERROR(100*COUNTIFS(Raw_Data!$I$2:$I$59,"&gt;=1",Raw_Data!$I$2:$I$59,"&lt;=2",Raw_Data!$A$2:$A$59,"Yes",Raw_Data!$D$2:$D$59,"IPD",Raw_Data!$E$2:$E$59,"สายสนับสนุนทางการแพทย์")/COUNTIFS(Raw_Data!$I$2:$I$59,"&gt;=1",Raw_Data!$I$2:$I$59,"&lt;=5",Raw_Data!$A$2:$A$59,"Yes",Raw_Data!$D$2:$D$59,"IPD",Raw_Data!$E$2:$E$59,"สายสนับสนุนทางการแพทย์"),"")</f>
        <v>0</v>
      </c>
      <c r="AW6" s="54">
        <f>IFERROR(100*COUNTIFS(Raw_Data!$I$2:$I$59,"&gt;=1",Raw_Data!$I$2:$I$59,"&lt;=2",Raw_Data!$A$2:$A$59,"Yes",Raw_Data!$D$2:$D$59,"IT",Raw_Data!$E$2:$E$59,"สายสนับสนุนทางการแพทย์")/COUNTIFS(Raw_Data!$I$2:$I$59,"&gt;=1",Raw_Data!$I$2:$I$59,"&lt;=5",Raw_Data!$A$2:$A$59,"Yes",Raw_Data!$D$2:$D$59,"IT",Raw_Data!$E$2:$E$59,"สายสนับสนุนทางการแพทย์"),"")</f>
        <v>0</v>
      </c>
    </row>
    <row r="7" spans="1:49" ht="42" customHeight="1">
      <c r="A7" s="50" t="s">
        <v>10</v>
      </c>
      <c r="B7" s="51" t="s">
        <v>32</v>
      </c>
      <c r="C7" s="54">
        <f>IFERROR(100*COUNTIFS(Raw_Data!$J$2:$J$59,"&gt;=4",Raw_Data!$J$2:$J$59,"&lt;=5",Raw_Data!$A$2:$A$59,"Yes")/COUNTIFS(Raw_Data!$J$2:$J$59,"&gt;=1",Raw_Data!$J$2:$J$59,"&lt;=5",Raw_Data!$A$2:$A$59,"Yes"),"")</f>
        <v>39.655172413793103</v>
      </c>
      <c r="D7" s="54">
        <f>IFERROR(100*COUNTIFS(Raw_Data!$J$2:$J$59,"&gt;=4",Raw_Data!$J$2:$J$59,"&lt;=5",Raw_Data!$A$2:$A$59,"Yes",Raw_Data!$D$2:$D$59,"การเงิน")/COUNTIFS(Raw_Data!$J$2:$J$59,"&gt;=1",Raw_Data!$J$2:$J$59,"&lt;=5",Raw_Data!$A$2:$A$59,"Yes",Raw_Data!$D$2:$D$59,"การเงิน"),"")</f>
        <v>33.333333333333336</v>
      </c>
      <c r="E7" s="54">
        <f>IFERROR(100*COUNTIFS(Raw_Data!$J$2:$J$59,"&gt;=4",Raw_Data!$J$2:$J$59,"&lt;=5",Raw_Data!$A$2:$A$59,"Yes",Raw_Data!$D$2:$D$59,"เคหรักษ์")/COUNTIFS(Raw_Data!$J$2:$J$59,"&gt;=1",Raw_Data!$J$2:$J$59,"&lt;=5",Raw_Data!$A$2:$A$59,"Yes",Raw_Data!$D$2:$D$59,"เคหรักษ์"),"")</f>
        <v>0</v>
      </c>
      <c r="F7" s="54">
        <f>IFERROR(100*COUNTIFS(Raw_Data!$J$2:$J$59,"&gt;=4",Raw_Data!$J$2:$J$59,"&lt;=5",Raw_Data!$A$2:$A$59,"Yes",Raw_Data!$D$2:$D$59,"จ่ายกลาง")/COUNTIFS(Raw_Data!$J$2:$J$59,"&gt;=1",Raw_Data!$J$2:$J$59,"&lt;=5",Raw_Data!$A$2:$A$59,"Yes",Raw_Data!$D$2:$D$59,"จ่ายกลาง"),"")</f>
        <v>100</v>
      </c>
      <c r="G7" s="54">
        <f>IFERROR(100*COUNTIFS(Raw_Data!$J$2:$J$59,"&gt;=4",Raw_Data!$J$2:$J$59,"&lt;=5",Raw_Data!$A$2:$A$59,"Yes",Raw_Data!$D$2:$D$59,"ช่างและสนาม")/COUNTIFS(Raw_Data!$J$2:$J$59,"&gt;=1",Raw_Data!$J$2:$J$59,"&lt;=5",Raw_Data!$A$2:$A$59,"Yes",Raw_Data!$D$2:$D$59,"ช่างและสนาม"),"")</f>
        <v>75</v>
      </c>
      <c r="H7" s="54">
        <f>IFERROR(100*COUNTIFS(Raw_Data!$J$2:$J$59,"&gt;=4",Raw_Data!$J$2:$J$59,"&lt;=5",Raw_Data!$A$2:$A$59,"Yes",Raw_Data!$D$2:$D$59,"ผู้ป่วยสัมพันธ์")/COUNTIFS(Raw_Data!$J$2:$J$59,"&gt;=1",Raw_Data!$J$2:$J$59,"&lt;=5",Raw_Data!$A$2:$A$59,"Yes",Raw_Data!$D$2:$D$59,"ผู้ป่วยสัมพันธ์"),"")</f>
        <v>0</v>
      </c>
      <c r="I7" s="54">
        <f>IFERROR(100*COUNTIFS(Raw_Data!$J$2:$J$59,"&gt;=4",Raw_Data!$J$2:$J$59,"&lt;=5",Raw_Data!$A$2:$A$59,"Yes",Raw_Data!$D$2:$D$59,"ฝ่ายการพยาบาล")/COUNTIFS(Raw_Data!$J$2:$J$59,"&gt;=1",Raw_Data!$J$2:$J$59,"&lt;=5",Raw_Data!$A$2:$A$59,"Yes",Raw_Data!$D$2:$D$59,"ฝ่ายการพยาบาล"),"")</f>
        <v>50</v>
      </c>
      <c r="J7" s="54">
        <f>IFERROR(100*COUNTIFS(Raw_Data!$J$2:$J$59,"&gt;=4",Raw_Data!$J$2:$J$59,"&lt;=5",Raw_Data!$A$2:$A$59,"Yes",Raw_Data!$D$2:$D$59,"โภชนาการ")/COUNTIFS(Raw_Data!$J$2:$J$59,"&gt;=1",Raw_Data!$J$2:$J$59,"&lt;=5",Raw_Data!$A$2:$A$59,"Yes",Raw_Data!$D$2:$D$59,"โภชนาการ"),"")</f>
        <v>0</v>
      </c>
      <c r="K7" s="54">
        <f>IFERROR(100*COUNTIFS(Raw_Data!$J$2:$J$59,"&gt;=4",Raw_Data!$J$2:$J$59,"&lt;=5",Raw_Data!$A$2:$A$59,"Yes",Raw_Data!$D$2:$D$59,"ยานพาหนะ")/COUNTIFS(Raw_Data!$J$2:$J$59,"&gt;=1",Raw_Data!$J$2:$J$59,"&lt;=5",Raw_Data!$A$2:$A$59,"Yes",Raw_Data!$D$2:$D$59,"ยานพาหนะ"),"")</f>
        <v>0</v>
      </c>
      <c r="L7" s="54">
        <f>IFERROR(100*COUNTIFS(Raw_Data!$J$2:$J$59,"&gt;=4",Raw_Data!$J$2:$J$59,"&lt;=5",Raw_Data!$A$2:$A$59,"Yes",Raw_Data!$D$2:$D$59,"สื่อสารการตลาด")/COUNTIFS(Raw_Data!$J$2:$J$59,"&gt;=1",Raw_Data!$J$2:$J$59,"&lt;=5",Raw_Data!$A$2:$A$59,"Yes",Raw_Data!$D$2:$D$59,"สื่อสารการตลาด"),"")</f>
        <v>0</v>
      </c>
      <c r="M7" s="54">
        <f>IFERROR(100*COUNTIFS(Raw_Data!$J$2:$J$59,"&gt;=4",Raw_Data!$J$2:$J$59,"&lt;=5",Raw_Data!$A$2:$A$59,"Yes",Raw_Data!$D$2:$D$59,"ห้องยา")/COUNTIFS(Raw_Data!$J$2:$J$59,"&gt;=1",Raw_Data!$J$2:$J$59,"&lt;=5",Raw_Data!$A$2:$A$59,"Yes",Raw_Data!$D$2:$D$59,"ห้องยา"),"")</f>
        <v>83.333333333333329</v>
      </c>
      <c r="N7" s="54">
        <f>IFERROR(100*COUNTIFS(Raw_Data!$J$2:$J$59,"&gt;=4",Raw_Data!$J$2:$J$59,"&lt;=5",Raw_Data!$A$2:$A$59,"Yes",Raw_Data!$D$2:$D$59,"ห้องแลป")/COUNTIFS(Raw_Data!$J$2:$J$59,"&gt;=1",Raw_Data!$J$2:$J$59,"&lt;=5",Raw_Data!$A$2:$A$59,"Yes",Raw_Data!$D$2:$D$59,"ห้องแลป"),"")</f>
        <v>100</v>
      </c>
      <c r="O7" s="54">
        <f>IFERROR(100*COUNTIFS(Raw_Data!$J$2:$J$59,"&gt;=4",Raw_Data!$J$2:$J$59,"&lt;=5",Raw_Data!$A$2:$A$59,"Yes",Raw_Data!$D$2:$D$59,"ห้องเอ็กซเรย์")/COUNTIFS(Raw_Data!$J$2:$J$59,"&gt;=1",Raw_Data!$J$2:$J$59,"&lt;=5",Raw_Data!$A$2:$A$59,"Yes",Raw_Data!$D$2:$D$59,"ห้องเอ็กซเรย์"),"")</f>
        <v>100</v>
      </c>
      <c r="P7" s="54">
        <f>IFERROR(100*COUNTIFS(Raw_Data!$J$2:$J$59,"&gt;=4",Raw_Data!$J$2:$J$59,"&lt;=5",Raw_Data!$A$2:$A$59,"Yes",Raw_Data!$D$2:$D$59,"ERและเปล")/COUNTIFS(Raw_Data!$J$2:$J$59,"&gt;=1",Raw_Data!$J$2:$J$59,"&lt;=5",Raw_Data!$A$2:$A$59,"Yes",Raw_Data!$D$2:$D$59,"ERและเปล"),"")</f>
        <v>9.0909090909090917</v>
      </c>
      <c r="Q7" s="54">
        <f>IFERROR(100*COUNTIFS(Raw_Data!$J$2:$J$59,"&gt;=4",Raw_Data!$J$2:$J$59,"&lt;=5",Raw_Data!$A$2:$A$59,"Yes",Raw_Data!$D$2:$D$59,"HR")/COUNTIFS(Raw_Data!$J$2:$J$59,"&gt;=1",Raw_Data!$J$2:$J$59,"&lt;=5",Raw_Data!$A$2:$A$59,"Yes",Raw_Data!$D$2:$D$59,"HR"),"")</f>
        <v>100</v>
      </c>
      <c r="R7" s="54">
        <f>IFERROR(100*COUNTIFS(Raw_Data!$J$2:$J$59,"&gt;=4",Raw_Data!$J$2:$J$59,"&lt;=5",Raw_Data!$A$2:$A$59,"Yes",Raw_Data!$D$2:$D$59,"ICU")/COUNTIFS(Raw_Data!$J$2:$J$59,"&gt;=1",Raw_Data!$J$2:$J$59,"&lt;=5",Raw_Data!$A$2:$A$59,"Yes",Raw_Data!$D$2:$D$59,"ICU"),"")</f>
        <v>25</v>
      </c>
      <c r="S7" s="54">
        <f>IFERROR(100*COUNTIFS(Raw_Data!$J$2:$J$59,"&gt;=4",Raw_Data!$J$2:$J$59,"&lt;=5",Raw_Data!$A$2:$A$59,"Yes",Raw_Data!$D$2:$D$59,"IPD")/COUNTIFS(Raw_Data!$J$2:$J$59,"&gt;=1",Raw_Data!$J$2:$J$59,"&lt;=5",Raw_Data!$A$2:$A$59,"Yes",Raw_Data!$D$2:$D$59,"IPD"),"")</f>
        <v>50</v>
      </c>
      <c r="T7" s="54">
        <f>IFERROR(100*COUNTIFS(Raw_Data!$J$2:$J$59,"&gt;=4",Raw_Data!$J$2:$J$59,"&lt;=5",Raw_Data!$A$2:$A$59,"Yes",Raw_Data!$D$2:$D$59,"IT")/COUNTIFS(Raw_Data!$J$2:$J$59,"&gt;=1",Raw_Data!$J$2:$J$59,"&lt;=5",Raw_Data!$A$2:$A$59,"Yes",Raw_Data!$D$2:$D$59,"IT"),"")</f>
        <v>0</v>
      </c>
      <c r="U7" s="54">
        <f>IFERROR(100*COUNTIFS(Raw_Data!$J$2:$J$59,"&gt;=4",Raw_Data!$J$2:$J$59,"&lt;=5",Raw_Data!$A$2:$A$59,"Yes",Raw_Data!$D$2:$D$59,"OR")/COUNTIFS(Raw_Data!$J$2:$J$59,"&gt;=1",Raw_Data!$J$2:$J$59,"&lt;=5",Raw_Data!$A$2:$A$59,"Yes",Raw_Data!$D$2:$D$59,"OR"),"")</f>
        <v>25</v>
      </c>
      <c r="V7" s="54">
        <f>IFERROR(100*COUNTIFS(Raw_Data!$J$2:$J$59,"&gt;=4",Raw_Data!$J$2:$J$59,"&lt;=5",Raw_Data!$A$2:$A$59,"Yes",Raw_Data!$D$2:$D$59,"IPD",Raw_Data!$E$2:$E$59,"ผู้บริหาร")/COUNTIFS(Raw_Data!$J$2:$J$59,"&gt;=1",Raw_Data!$J$2:$J$59,"&lt;=5",Raw_Data!$A$2:$A$59,"Yes",Raw_Data!$D$2:$D$59,"IPD",Raw_Data!$E$2:$E$59,"ผู้บริหาร"),"")</f>
        <v>100</v>
      </c>
      <c r="W7" s="54">
        <f>IFERROR(100*COUNTIFS(Raw_Data!$J$2:$J$59,"&gt;=4",Raw_Data!$J$2:$J$59,"&lt;=5",Raw_Data!$A$2:$A$59,"Yes",Raw_Data!$D$2:$D$59,"ฝ่ายการพยาบาล",Raw_Data!$E$2:$E$59,"สายวิชาชีพสาธารณสุข")/COUNTIFS(Raw_Data!$J$2:$J$59,"&gt;=1",Raw_Data!$J$2:$J$59,"&lt;=5",Raw_Data!$A$2:$A$59,"Yes",Raw_Data!$D$2:$D$59,"ฝ่ายการพยาบาล",Raw_Data!$E$2:$E$59,"สายวิชาชีพสาธารณสุข"),"")</f>
        <v>0</v>
      </c>
      <c r="X7" s="54">
        <f>IFERROR(100*COUNTIFS(Raw_Data!$J$2:$J$59,"&gt;=4",Raw_Data!$J$2:$J$59,"&lt;=5",Raw_Data!$A$2:$A$59,"Yes",Raw_Data!$D$2:$D$59,"ERและเปล",Raw_Data!$E$2:$E$59,"สายวิชาชีพสาธารณสุข")/COUNTIFS(Raw_Data!$J$2:$J$59,"&gt;=1",Raw_Data!$J$2:$J$59,"&lt;=5",Raw_Data!$A$2:$A$59,"Yes",Raw_Data!$D$2:$D$59,"ERและเปล",Raw_Data!$E$2:$E$59,"สายวิชาชีพสาธารณสุข"),"")</f>
        <v>0</v>
      </c>
      <c r="Y7" s="54">
        <f>IFERROR(100*COUNTIFS(Raw_Data!$J$2:$J$59,"&gt;=4",Raw_Data!$J$2:$J$59,"&lt;=5",Raw_Data!$A$2:$A$59,"Yes",Raw_Data!$D$2:$D$59,"ICU",Raw_Data!$E$2:$E$59,"สายวิชาชีพสาธารณสุข")/COUNTIFS(Raw_Data!$J$2:$J$59,"&gt;=1",Raw_Data!$J$2:$J$59,"&lt;=5",Raw_Data!$A$2:$A$59,"Yes",Raw_Data!$D$2:$D$59,"ICU",Raw_Data!$E$2:$E$59,"สายวิชาชีพสาธารณสุข"),"")</f>
        <v>0</v>
      </c>
      <c r="Z7" s="54">
        <f>IFERROR(100*COUNTIFS(Raw_Data!$J$2:$J$59,"&gt;=4",Raw_Data!$J$2:$J$59,"&lt;=5",Raw_Data!$A$2:$A$59,"Yes",Raw_Data!$D$2:$D$59,"IPD",Raw_Data!$E$2:$E$59,"สายวิชาชีพสาธารณสุข")/COUNTIFS(Raw_Data!$J$2:$J$59,"&gt;=1",Raw_Data!$J$2:$J$59,"&lt;=5",Raw_Data!$A$2:$A$59,"Yes",Raw_Data!$D$2:$D$59,"IPD",Raw_Data!$E$2:$E$59,"สายวิชาชีพสาธารณสุข"),"")</f>
        <v>50</v>
      </c>
      <c r="AA7" s="54">
        <f>IFERROR(100*COUNTIFS(Raw_Data!$J$2:$J$59,"&gt;=4",Raw_Data!$J$2:$J$59,"&lt;=5",Raw_Data!$A$2:$A$59,"Yes",Raw_Data!$D$2:$D$59,"OR",Raw_Data!$E$2:$E$59,"สายวิชาชีพสาธารณสุข")/COUNTIFS(Raw_Data!$J$2:$J$59,"&gt;=1",Raw_Data!$J$2:$J$59,"&lt;=5",Raw_Data!$A$2:$A$59,"Yes",Raw_Data!$D$2:$D$59,"OR",Raw_Data!$E$2:$E$59,"สายวิชาชีพสาธารณสุข"),"")</f>
        <v>25</v>
      </c>
      <c r="AB7" s="54">
        <f>IFERROR(100*COUNTIFS(Raw_Data!$J$2:$J$59,"&gt;=4",Raw_Data!$J$2:$J$59,"&lt;=5",Raw_Data!$A$2:$A$59,"Yes",Raw_Data!$D$2:$D$59,"การเงิน",Raw_Data!$E$2:$E$59,"สายสนับสนุนทั่วไป")/COUNTIFS(Raw_Data!$J$2:$J$59,"&gt;=1",Raw_Data!$J$2:$J$59,"&lt;=5",Raw_Data!$A$2:$A$59,"Yes",Raw_Data!$D$2:$D$59,"การเงิน",Raw_Data!$E$2:$E$59,"สายสนับสนุนทั่วไป"),"")</f>
        <v>33.333333333333336</v>
      </c>
      <c r="AC7" s="54">
        <f>IFERROR(100*COUNTIFS(Raw_Data!$J$2:$J$59,"&gt;=4",Raw_Data!$J$2:$J$59,"&lt;=5",Raw_Data!$A$2:$A$59,"Yes",Raw_Data!$D$2:$D$59,"เคหรักษ์",Raw_Data!$E$2:$E$59,"สายสนับสนุนทั่วไป")/COUNTIFS(Raw_Data!$J$2:$J$59,"&gt;=1",Raw_Data!$J$2:$J$59,"&lt;=5",Raw_Data!$A$2:$A$59,"Yes",Raw_Data!$D$2:$D$59,"เคหรักษ์",Raw_Data!$E$2:$E$59,"สายสนับสนุนทั่วไป"),"")</f>
        <v>0</v>
      </c>
      <c r="AD7" s="54">
        <f>IFERROR(100*COUNTIFS(Raw_Data!$J$2:$J$59,"&gt;=4",Raw_Data!$J$2:$J$59,"&lt;=5",Raw_Data!$A$2:$A$59,"Yes",Raw_Data!$D$2:$D$59,"จ่ายกลาง",Raw_Data!$E$2:$E$59,"สายสนับสนุนทั่วไป")/COUNTIFS(Raw_Data!$J$2:$J$59,"&gt;=1",Raw_Data!$J$2:$J$59,"&lt;=5",Raw_Data!$A$2:$A$59,"Yes",Raw_Data!$D$2:$D$59,"จ่ายกลาง",Raw_Data!$E$2:$E$59,"สายสนับสนุนทั่วไป"),"")</f>
        <v>100</v>
      </c>
      <c r="AE7" s="54">
        <f>IFERROR(100*COUNTIFS(Raw_Data!$J$2:$J$59,"&gt;=4",Raw_Data!$J$2:$J$59,"&lt;=5",Raw_Data!$A$2:$A$59,"Yes",Raw_Data!$D$2:$D$59,"ช่างและสนาม",Raw_Data!$E$2:$E$59,"สายสนับสนุนทั่วไป")/COUNTIFS(Raw_Data!$J$2:$J$59,"&gt;=1",Raw_Data!$J$2:$J$59,"&lt;=5",Raw_Data!$A$2:$A$59,"Yes",Raw_Data!$D$2:$D$59,"ช่างและสนาม",Raw_Data!$E$2:$E$59,"สายสนับสนุนทั่วไป"),"")</f>
        <v>75</v>
      </c>
      <c r="AF7" s="54">
        <f>IFERROR(100*COUNTIFS(Raw_Data!$J$2:$J$59,"&gt;=4",Raw_Data!$J$2:$J$59,"&lt;=5",Raw_Data!$A$2:$A$59,"Yes",Raw_Data!$D$2:$D$59,"ผู้ป่วยสัมพันธ์",Raw_Data!$E$2:$E$59,"สายสนับสนุนทั่วไป")/COUNTIFS(Raw_Data!$J$2:$J$59,"&gt;=1",Raw_Data!$J$2:$J$59,"&lt;=5",Raw_Data!$A$2:$A$59,"Yes",Raw_Data!$D$2:$D$59,"ผู้ป่วยสัมพันธ์",Raw_Data!$E$2:$E$59,"สายสนับสนุนทั่วไป"),"")</f>
        <v>0</v>
      </c>
      <c r="AG7" s="54">
        <f>IFERROR(100*COUNTIFS(Raw_Data!$J$2:$J$59,"&gt;=4",Raw_Data!$J$2:$J$59,"&lt;=5",Raw_Data!$A$2:$A$59,"Yes",Raw_Data!$D$2:$D$59,"ยานพาหนะ",Raw_Data!$E$2:$E$59,"สายสนับสนุนทั่วไป")/COUNTIFS(Raw_Data!$J$2:$J$59,"&gt;=1",Raw_Data!$J$2:$J$59,"&lt;=5",Raw_Data!$A$2:$A$59,"Yes",Raw_Data!$D$2:$D$59,"ยานพาหนะ",Raw_Data!$E$2:$E$59,"สายสนับสนุนทั่วไป"),"")</f>
        <v>0</v>
      </c>
      <c r="AH7" s="54">
        <f>IFERROR(100*COUNTIFS(Raw_Data!$J$2:$J$59,"&gt;=4",Raw_Data!$J$2:$J$59,"&lt;=5",Raw_Data!$A$2:$A$59,"Yes",Raw_Data!$D$2:$D$59,"สื่อสารการตลาด",Raw_Data!$E$2:$E$59,"สายสนับสนุนทั่วไป")/COUNTIFS(Raw_Data!$J$2:$J$59,"&gt;=1",Raw_Data!$J$2:$J$59,"&lt;=5",Raw_Data!$A$2:$A$59,"Yes",Raw_Data!$D$2:$D$59,"สื่อสารการตลาด",Raw_Data!$E$2:$E$59,"สายสนับสนุนทั่วไป"),"")</f>
        <v>0</v>
      </c>
      <c r="AI7" s="54">
        <f>IFERROR(100*COUNTIFS(Raw_Data!$J$2:$J$59,"&gt;=4",Raw_Data!$J$2:$J$59,"&lt;=5",Raw_Data!$A$2:$A$59,"Yes",Raw_Data!$D$2:$D$59,"ERและเปล",Raw_Data!$E$2:$E$59,"สายสนับสนุนทั่วไป")/COUNTIFS(Raw_Data!$J$2:$J$59,"&gt;=1",Raw_Data!$J$2:$J$59,"&lt;=5",Raw_Data!$A$2:$A$59,"Yes",Raw_Data!$D$2:$D$59,"ERและเปล",Raw_Data!$E$2:$E$59,"สายสนับสนุนทั่วไป"),"")</f>
        <v>33.333333333333336</v>
      </c>
      <c r="AJ7" s="54">
        <f>IFERROR(100*COUNTIFS(Raw_Data!$J$2:$J$59,"&gt;=4",Raw_Data!$J$2:$J$59,"&lt;=5",Raw_Data!$A$2:$A$59,"Yes",Raw_Data!$D$2:$D$59,"HR",Raw_Data!$E$2:$E$59,"สายสนับสนุนทั่วไป")/COUNTIFS(Raw_Data!$J$2:$J$59,"&gt;=1",Raw_Data!$J$2:$J$59,"&lt;=5",Raw_Data!$A$2:$A$59,"Yes",Raw_Data!$D$2:$D$59,"HR",Raw_Data!$E$2:$E$59,"สายสนับสนุนทั่วไป"),"")</f>
        <v>100</v>
      </c>
      <c r="AK7" s="54">
        <f>IFERROR(100*COUNTIFS(Raw_Data!$J$2:$J$59,"&gt;=4",Raw_Data!$J$2:$J$59,"&lt;=5",Raw_Data!$A$2:$A$59,"Yes",Raw_Data!$D$2:$D$59,"ICU",Raw_Data!$E$2:$E$59,"สายสนับสนุนทั่วไป")/COUNTIFS(Raw_Data!$J$2:$J$59,"&gt;=1",Raw_Data!$J$2:$J$59,"&lt;=5",Raw_Data!$A$2:$A$59,"Yes",Raw_Data!$D$2:$D$59,"ICU",Raw_Data!$E$2:$E$59,"สายสนับสนุนทั่วไป"),"")</f>
        <v>0</v>
      </c>
      <c r="AL7" s="54">
        <f>IFERROR(100*COUNTIFS(Raw_Data!$J$2:$J$59,"&gt;=4",Raw_Data!$J$2:$J$59,"&lt;=5",Raw_Data!$A$2:$A$59,"Yes",Raw_Data!$D$2:$D$59,"IPD",Raw_Data!$E$2:$E$59,"สายสนับสนุนทั่วไป")/COUNTIFS(Raw_Data!$J$2:$J$59,"&gt;=1",Raw_Data!$J$2:$J$59,"&lt;=5",Raw_Data!$A$2:$A$59,"Yes",Raw_Data!$D$2:$D$59,"IPD",Raw_Data!$E$2:$E$59,"สายสนับสนุนทั่วไป"),"")</f>
        <v>0</v>
      </c>
      <c r="AM7" s="54">
        <f>IFERROR(100*COUNTIFS(Raw_Data!$J$2:$J$59,"&gt;=4",Raw_Data!$J$2:$J$59,"&lt;=5",Raw_Data!$A$2:$A$59,"Yes",Raw_Data!$D$2:$D$59,"IT",Raw_Data!$E$2:$E$59,"สายสนับสนุนทั่วไป")/COUNTIFS(Raw_Data!$J$2:$J$59,"&gt;=1",Raw_Data!$J$2:$J$59,"&lt;=5",Raw_Data!$A$2:$A$59,"Yes",Raw_Data!$D$2:$D$59,"IT",Raw_Data!$E$2:$E$59,"สายสนับสนุนทั่วไป"),"")</f>
        <v>0</v>
      </c>
      <c r="AN7" s="54">
        <f>IFERROR(100*COUNTIFS(Raw_Data!$J$2:$J$59,"&gt;=4",Raw_Data!$J$2:$J$59,"&lt;=5",Raw_Data!$A$2:$A$59,"Yes",Raw_Data!$D$2:$D$59,"ผู้ป่วยสัมพันธ์",Raw_Data!$E$2:$E$59,"สายสนับสนุนทางการแพทย์")/COUNTIFS(Raw_Data!$J$2:$J$59,"&gt;=1",Raw_Data!$J$2:$J$59,"&lt;=5",Raw_Data!$A$2:$A$59,"Yes",Raw_Data!$D$2:$D$59,"ผู้ป่วยสัมพันธ์",Raw_Data!$E$2:$E$59,"สายสนับสนุนทางการแพทย์"),"")</f>
        <v>0</v>
      </c>
      <c r="AO7" s="54">
        <f>IFERROR(100*COUNTIFS(Raw_Data!$J$2:$J$59,"&gt;=4",Raw_Data!$J$2:$J$59,"&lt;=5",Raw_Data!$A$2:$A$59,"Yes",Raw_Data!$D$2:$D$59,"ฝ่ายการพยาบาล",Raw_Data!$E$2:$E$59,"สายสนับสนุนทางการแพทย์")/COUNTIFS(Raw_Data!$J$2:$J$59,"&gt;=1",Raw_Data!$J$2:$J$59,"&lt;=5",Raw_Data!$A$2:$A$59,"Yes",Raw_Data!$D$2:$D$59,"ฝ่ายการพยาบาล",Raw_Data!$E$2:$E$59,"สายสนับสนุนทางการแพทย์"),"")</f>
        <v>100</v>
      </c>
      <c r="AP7" s="54">
        <f>IFERROR(100*COUNTIFS(Raw_Data!$J$2:$J$59,"&gt;=4",Raw_Data!$J$2:$J$59,"&lt;=5",Raw_Data!$A$2:$A$59,"Yes",Raw_Data!$D$2:$D$59,"โภชนาการ",Raw_Data!$E$2:$E$59,"สายสนับสนุนทางการแพทย์")/COUNTIFS(Raw_Data!$J$2:$J$59,"&gt;=1",Raw_Data!$J$2:$J$59,"&lt;=5",Raw_Data!$A$2:$A$59,"Yes",Raw_Data!$D$2:$D$59,"โภชนาการ",Raw_Data!$E$2:$E$59,"สายสนับสนุนทางการแพทย์"),"")</f>
        <v>0</v>
      </c>
      <c r="AQ7" s="54">
        <f>IFERROR(100*COUNTIFS(Raw_Data!$J$2:$J$59,"&gt;=4",Raw_Data!$J$2:$J$59,"&lt;=5",Raw_Data!$A$2:$A$59,"Yes",Raw_Data!$D$2:$D$59,"ห้องยา",Raw_Data!$E$2:$E$59,"สายสนับสนุนทางการแพทย์")/COUNTIFS(Raw_Data!$J$2:$J$59,"&gt;=1",Raw_Data!$J$2:$J$59,"&lt;=5",Raw_Data!$A$2:$A$59,"Yes",Raw_Data!$D$2:$D$59,"ห้องยา",Raw_Data!$E$2:$E$59,"สายสนับสนุนทางการแพทย์"),"")</f>
        <v>83.333333333333329</v>
      </c>
      <c r="AR7" s="54">
        <f>IFERROR(100*COUNTIFS(Raw_Data!$J$2:$J$59,"&gt;=4",Raw_Data!$J$2:$J$59,"&lt;=5",Raw_Data!$A$2:$A$59,"Yes",Raw_Data!$D$2:$D$59,"ห้องแลป",Raw_Data!$E$2:$E$59,"สายสนับสนุนทางการแพทย์")/COUNTIFS(Raw_Data!$J$2:$J$59,"&gt;=1",Raw_Data!$J$2:$J$59,"&lt;=5",Raw_Data!$A$2:$A$59,"Yes",Raw_Data!$D$2:$D$59,"ห้องแลป",Raw_Data!$E$2:$E$59,"สายสนับสนุนทางการแพทย์"),"")</f>
        <v>100</v>
      </c>
      <c r="AS7" s="54">
        <f>IFERROR(100*COUNTIFS(Raw_Data!$J$2:$J$59,"&gt;=4",Raw_Data!$J$2:$J$59,"&lt;=5",Raw_Data!$A$2:$A$59,"Yes",Raw_Data!$D$2:$D$59,"ห้องเอ็กซเรย์",Raw_Data!$E$2:$E$59,"สายสนับสนุนทางการแพทย์")/COUNTIFS(Raw_Data!$J$2:$J$59,"&gt;=1",Raw_Data!$J$2:$J$59,"&lt;=5",Raw_Data!$A$2:$A$59,"Yes",Raw_Data!$D$2:$D$59,"ห้องเอ็กซเรย์",Raw_Data!$E$2:$E$59,"สายสนับสนุนทางการแพทย์"),"")</f>
        <v>100</v>
      </c>
      <c r="AT7" s="54">
        <f>IFERROR(100*COUNTIFS(Raw_Data!$J$2:$J$59,"&gt;=4",Raw_Data!$J$2:$J$59,"&lt;=5",Raw_Data!$A$2:$A$59,"Yes",Raw_Data!$D$2:$D$59,"ERและเปล",Raw_Data!$E$2:$E$59,"สายสนับสนุนทางการแพทย์")/COUNTIFS(Raw_Data!$J$2:$J$59,"&gt;=1",Raw_Data!$J$2:$J$59,"&lt;=5",Raw_Data!$A$2:$A$59,"Yes",Raw_Data!$D$2:$D$59,"ERและเปล",Raw_Data!$E$2:$E$59,"สายสนับสนุนทางการแพทย์"),"")</f>
        <v>0</v>
      </c>
      <c r="AU7" s="54">
        <f>IFERROR(100*COUNTIFS(Raw_Data!$J$2:$J$59,"&gt;=4",Raw_Data!$J$2:$J$59,"&lt;=5",Raw_Data!$A$2:$A$59,"Yes",Raw_Data!$D$2:$D$59,"ICU",Raw_Data!$E$2:$E$59,"สายสนับสนุนทางการแพทย์")/COUNTIFS(Raw_Data!$J$2:$J$59,"&gt;=1",Raw_Data!$J$2:$J$59,"&lt;=5",Raw_Data!$A$2:$A$59,"Yes",Raw_Data!$D$2:$D$59,"ICU",Raw_Data!$E$2:$E$59,"สายสนับสนุนทางการแพทย์"),"")</f>
        <v>100</v>
      </c>
      <c r="AV7" s="54">
        <f>IFERROR(100*COUNTIFS(Raw_Data!$J$2:$J$59,"&gt;=4",Raw_Data!$J$2:$J$59,"&lt;=5",Raw_Data!$A$2:$A$59,"Yes",Raw_Data!$D$2:$D$59,"IPD",Raw_Data!$E$2:$E$59,"สายสนับสนุนทางการแพทย์")/COUNTIFS(Raw_Data!$J$2:$J$59,"&gt;=1",Raw_Data!$J$2:$J$59,"&lt;=5",Raw_Data!$A$2:$A$59,"Yes",Raw_Data!$D$2:$D$59,"IPD",Raw_Data!$E$2:$E$59,"สายสนับสนุนทางการแพทย์"),"")</f>
        <v>50</v>
      </c>
      <c r="AW7" s="54">
        <f>IFERROR(100*COUNTIFS(Raw_Data!$J$2:$J$59,"&gt;=4",Raw_Data!$J$2:$J$59,"&lt;=5",Raw_Data!$A$2:$A$59,"Yes",Raw_Data!$D$2:$D$59,"IT",Raw_Data!$E$2:$E$59,"สายสนับสนุนทางการแพทย์")/COUNTIFS(Raw_Data!$J$2:$J$59,"&gt;=1",Raw_Data!$J$2:$J$59,"&lt;=5",Raw_Data!$A$2:$A$59,"Yes",Raw_Data!$D$2:$D$59,"IT",Raw_Data!$E$2:$E$59,"สายสนับสนุนทางการแพทย์"),"")</f>
        <v>0</v>
      </c>
    </row>
    <row r="8" spans="1:49" ht="42" customHeight="1">
      <c r="A8" s="50"/>
      <c r="B8" s="51" t="s">
        <v>33</v>
      </c>
      <c r="C8" s="54">
        <f>IFERROR(100*COUNTIFS(Raw_Data!$K$2:$K$59,"&gt;=1",Raw_Data!$K$2:$K$59,"&lt;=2",Raw_Data!$A$2:$A$59,"Yes")/COUNTIFS(Raw_Data!$K$2:$K$59,"&gt;=1",Raw_Data!$K$2:$K$59,"&lt;=5",Raw_Data!$A$2:$A$59,"Yes"),"")</f>
        <v>32.758620689655174</v>
      </c>
      <c r="D8" s="54">
        <f>IFERROR(100*COUNTIFS(Raw_Data!$K$2:$K$59,"&gt;=1",Raw_Data!$K$2:$K$59,"&lt;=2",Raw_Data!$A$2:$A$59,"Yes",Raw_Data!$D$2:$D$59,"การเงิน")/COUNTIFS(Raw_Data!$K$2:$K$59,"&gt;=1",Raw_Data!$K$2:$K$59,"&lt;=5",Raw_Data!$A$2:$A$59,"Yes",Raw_Data!$D$2:$D$59,"การเงิน"),"")</f>
        <v>33.333333333333336</v>
      </c>
      <c r="E8" s="54">
        <f>IFERROR(100*COUNTIFS(Raw_Data!$K$2:$K$59,"&gt;=1",Raw_Data!$K$2:$K$59,"&lt;=2",Raw_Data!$A$2:$A$59,"Yes",Raw_Data!$D$2:$D$59,"เคหรักษ์")/COUNTIFS(Raw_Data!$K$2:$K$59,"&gt;=1",Raw_Data!$K$2:$K$59,"&lt;=5",Raw_Data!$A$2:$A$59,"Yes",Raw_Data!$D$2:$D$59,"เคหรักษ์"),"")</f>
        <v>0</v>
      </c>
      <c r="F8" s="54">
        <f>IFERROR(100*COUNTIFS(Raw_Data!$K$2:$K$59,"&gt;=1",Raw_Data!$K$2:$K$59,"&lt;=2",Raw_Data!$A$2:$A$59,"Yes",Raw_Data!$D$2:$D$59,"จ่ายกลาง")/COUNTIFS(Raw_Data!$K$2:$K$59,"&gt;=1",Raw_Data!$K$2:$K$59,"&lt;=5",Raw_Data!$A$2:$A$59,"Yes",Raw_Data!$D$2:$D$59,"จ่ายกลาง"),"")</f>
        <v>0</v>
      </c>
      <c r="G8" s="54">
        <f>IFERROR(100*COUNTIFS(Raw_Data!$K$2:$K$59,"&gt;=1",Raw_Data!$K$2:$K$59,"&lt;=2",Raw_Data!$A$2:$A$59,"Yes",Raw_Data!$D$2:$D$59,"ช่างและสนาม")/COUNTIFS(Raw_Data!$K$2:$K$59,"&gt;=1",Raw_Data!$K$2:$K$59,"&lt;=5",Raw_Data!$A$2:$A$59,"Yes",Raw_Data!$D$2:$D$59,"ช่างและสนาม"),"")</f>
        <v>75</v>
      </c>
      <c r="H8" s="54">
        <f>IFERROR(100*COUNTIFS(Raw_Data!$K$2:$K$59,"&gt;=1",Raw_Data!$K$2:$K$59,"&lt;=2",Raw_Data!$A$2:$A$59,"Yes",Raw_Data!$D$2:$D$59,"ผู้ป่วยสัมพันธ์")/COUNTIFS(Raw_Data!$K$2:$K$59,"&gt;=1",Raw_Data!$K$2:$K$59,"&lt;=5",Raw_Data!$A$2:$A$59,"Yes",Raw_Data!$D$2:$D$59,"ผู้ป่วยสัมพันธ์"),"")</f>
        <v>50</v>
      </c>
      <c r="I8" s="54">
        <f>IFERROR(100*COUNTIFS(Raw_Data!$K$2:$K$59,"&gt;=1",Raw_Data!$K$2:$K$59,"&lt;=2",Raw_Data!$A$2:$A$59,"Yes",Raw_Data!$D$2:$D$59,"ฝ่ายการพยาบาล")/COUNTIFS(Raw_Data!$K$2:$K$59,"&gt;=1",Raw_Data!$K$2:$K$59,"&lt;=5",Raw_Data!$A$2:$A$59,"Yes",Raw_Data!$D$2:$D$59,"ฝ่ายการพยาบาล"),"")</f>
        <v>100</v>
      </c>
      <c r="J8" s="54">
        <f>IFERROR(100*COUNTIFS(Raw_Data!$K$2:$K$59,"&gt;=1",Raw_Data!$K$2:$K$59,"&lt;=2",Raw_Data!$A$2:$A$59,"Yes",Raw_Data!$D$2:$D$59,"โภชนาการ")/COUNTIFS(Raw_Data!$K$2:$K$59,"&gt;=1",Raw_Data!$K$2:$K$59,"&lt;=5",Raw_Data!$A$2:$A$59,"Yes",Raw_Data!$D$2:$D$59,"โภชนาการ"),"")</f>
        <v>100</v>
      </c>
      <c r="K8" s="54">
        <f>IFERROR(100*COUNTIFS(Raw_Data!$K$2:$K$59,"&gt;=1",Raw_Data!$K$2:$K$59,"&lt;=2",Raw_Data!$A$2:$A$59,"Yes",Raw_Data!$D$2:$D$59,"ยานพาหนะ")/COUNTIFS(Raw_Data!$K$2:$K$59,"&gt;=1",Raw_Data!$K$2:$K$59,"&lt;=5",Raw_Data!$A$2:$A$59,"Yes",Raw_Data!$D$2:$D$59,"ยานพาหนะ"),"")</f>
        <v>0</v>
      </c>
      <c r="L8" s="54">
        <f>IFERROR(100*COUNTIFS(Raw_Data!$K$2:$K$59,"&gt;=1",Raw_Data!$K$2:$K$59,"&lt;=2",Raw_Data!$A$2:$A$59,"Yes",Raw_Data!$D$2:$D$59,"สื่อสารการตลาด")/COUNTIFS(Raw_Data!$K$2:$K$59,"&gt;=1",Raw_Data!$K$2:$K$59,"&lt;=5",Raw_Data!$A$2:$A$59,"Yes",Raw_Data!$D$2:$D$59,"สื่อสารการตลาด"),"")</f>
        <v>100</v>
      </c>
      <c r="M8" s="54">
        <f>IFERROR(100*COUNTIFS(Raw_Data!$K$2:$K$59,"&gt;=1",Raw_Data!$K$2:$K$59,"&lt;=2",Raw_Data!$A$2:$A$59,"Yes",Raw_Data!$D$2:$D$59,"ห้องยา")/COUNTIFS(Raw_Data!$K$2:$K$59,"&gt;=1",Raw_Data!$K$2:$K$59,"&lt;=5",Raw_Data!$A$2:$A$59,"Yes",Raw_Data!$D$2:$D$59,"ห้องยา"),"")</f>
        <v>0</v>
      </c>
      <c r="N8" s="54">
        <f>IFERROR(100*COUNTIFS(Raw_Data!$K$2:$K$59,"&gt;=1",Raw_Data!$K$2:$K$59,"&lt;=2",Raw_Data!$A$2:$A$59,"Yes",Raw_Data!$D$2:$D$59,"ห้องแลป")/COUNTIFS(Raw_Data!$K$2:$K$59,"&gt;=1",Raw_Data!$K$2:$K$59,"&lt;=5",Raw_Data!$A$2:$A$59,"Yes",Raw_Data!$D$2:$D$59,"ห้องแลป"),"")</f>
        <v>50</v>
      </c>
      <c r="O8" s="54">
        <f>IFERROR(100*COUNTIFS(Raw_Data!$K$2:$K$59,"&gt;=1",Raw_Data!$K$2:$K$59,"&lt;=2",Raw_Data!$A$2:$A$59,"Yes",Raw_Data!$D$2:$D$59,"ห้องเอ็กซเรย์")/COUNTIFS(Raw_Data!$K$2:$K$59,"&gt;=1",Raw_Data!$K$2:$K$59,"&lt;=5",Raw_Data!$A$2:$A$59,"Yes",Raw_Data!$D$2:$D$59,"ห้องเอ็กซเรย์"),"")</f>
        <v>66.666666666666671</v>
      </c>
      <c r="P8" s="54">
        <f>IFERROR(100*COUNTIFS(Raw_Data!$K$2:$K$59,"&gt;=1",Raw_Data!$K$2:$K$59,"&lt;=2",Raw_Data!$A$2:$A$59,"Yes",Raw_Data!$D$2:$D$59,"ERและเปล")/COUNTIFS(Raw_Data!$K$2:$K$59,"&gt;=1",Raw_Data!$K$2:$K$59,"&lt;=5",Raw_Data!$A$2:$A$59,"Yes",Raw_Data!$D$2:$D$59,"ERและเปล"),"")</f>
        <v>0</v>
      </c>
      <c r="Q8" s="54">
        <f>IFERROR(100*COUNTIFS(Raw_Data!$K$2:$K$59,"&gt;=1",Raw_Data!$K$2:$K$59,"&lt;=2",Raw_Data!$A$2:$A$59,"Yes",Raw_Data!$D$2:$D$59,"HR")/COUNTIFS(Raw_Data!$K$2:$K$59,"&gt;=1",Raw_Data!$K$2:$K$59,"&lt;=5",Raw_Data!$A$2:$A$59,"Yes",Raw_Data!$D$2:$D$59,"HR"),"")</f>
        <v>100</v>
      </c>
      <c r="R8" s="54">
        <f>IFERROR(100*COUNTIFS(Raw_Data!$K$2:$K$59,"&gt;=1",Raw_Data!$K$2:$K$59,"&lt;=2",Raw_Data!$A$2:$A$59,"Yes",Raw_Data!$D$2:$D$59,"ICU")/COUNTIFS(Raw_Data!$K$2:$K$59,"&gt;=1",Raw_Data!$K$2:$K$59,"&lt;=5",Raw_Data!$A$2:$A$59,"Yes",Raw_Data!$D$2:$D$59,"ICU"),"")</f>
        <v>25</v>
      </c>
      <c r="S8" s="54">
        <f>IFERROR(100*COUNTIFS(Raw_Data!$K$2:$K$59,"&gt;=1",Raw_Data!$K$2:$K$59,"&lt;=2",Raw_Data!$A$2:$A$59,"Yes",Raw_Data!$D$2:$D$59,"IPD")/COUNTIFS(Raw_Data!$K$2:$K$59,"&gt;=1",Raw_Data!$K$2:$K$59,"&lt;=5",Raw_Data!$A$2:$A$59,"Yes",Raw_Data!$D$2:$D$59,"IPD"),"")</f>
        <v>33.333333333333336</v>
      </c>
      <c r="T8" s="54">
        <f>IFERROR(100*COUNTIFS(Raw_Data!$K$2:$K$59,"&gt;=1",Raw_Data!$K$2:$K$59,"&lt;=2",Raw_Data!$A$2:$A$59,"Yes",Raw_Data!$D$2:$D$59,"IT")/COUNTIFS(Raw_Data!$K$2:$K$59,"&gt;=1",Raw_Data!$K$2:$K$59,"&lt;=5",Raw_Data!$A$2:$A$59,"Yes",Raw_Data!$D$2:$D$59,"IT"),"")</f>
        <v>0</v>
      </c>
      <c r="U8" s="54">
        <f>IFERROR(100*COUNTIFS(Raw_Data!$K$2:$K$59,"&gt;=1",Raw_Data!$K$2:$K$59,"&lt;=2",Raw_Data!$A$2:$A$59,"Yes",Raw_Data!$D$2:$D$59,"OR")/COUNTIFS(Raw_Data!$K$2:$K$59,"&gt;=1",Raw_Data!$K$2:$K$59,"&lt;=5",Raw_Data!$A$2:$A$59,"Yes",Raw_Data!$D$2:$D$59,"OR"),"")</f>
        <v>50</v>
      </c>
      <c r="V8" s="54">
        <f>IFERROR(100*COUNTIFS(Raw_Data!$K$2:$K$59,"&gt;=1",Raw_Data!$K$2:$K$59,"&lt;=2",Raw_Data!$A$2:$A$59,"Yes",Raw_Data!$D$2:$D$59,"IPD",Raw_Data!$E$2:$E$59,"ผู้บริหาร")/COUNTIFS(Raw_Data!$K$2:$K$59,"&gt;=1",Raw_Data!$K$2:$K$59,"&lt;=5",Raw_Data!$A$2:$A$59,"Yes",Raw_Data!$D$2:$D$59,"IPD",Raw_Data!$E$2:$E$59,"ผู้บริหาร"),"")</f>
        <v>0</v>
      </c>
      <c r="W8" s="54">
        <f>IFERROR(100*COUNTIFS(Raw_Data!$K$2:$K$59,"&gt;=1",Raw_Data!$K$2:$K$59,"&lt;=2",Raw_Data!$A$2:$A$59,"Yes",Raw_Data!$D$2:$D$59,"ฝ่ายการพยาบาล",Raw_Data!$E$2:$E$59,"สายวิชาชีพสาธารณสุข")/COUNTIFS(Raw_Data!$K$2:$K$59,"&gt;=1",Raw_Data!$K$2:$K$59,"&lt;=5",Raw_Data!$A$2:$A$59,"Yes",Raw_Data!$D$2:$D$59,"ฝ่ายการพยาบาล",Raw_Data!$E$2:$E$59,"สายวิชาชีพสาธารณสุข"),"")</f>
        <v>100</v>
      </c>
      <c r="X8" s="54">
        <f>IFERROR(100*COUNTIFS(Raw_Data!$K$2:$K$59,"&gt;=1",Raw_Data!$K$2:$K$59,"&lt;=2",Raw_Data!$A$2:$A$59,"Yes",Raw_Data!$D$2:$D$59,"ERและเปล",Raw_Data!$E$2:$E$59,"สายวิชาชีพสาธารณสุข")/COUNTIFS(Raw_Data!$K$2:$K$59,"&gt;=1",Raw_Data!$K$2:$K$59,"&lt;=5",Raw_Data!$A$2:$A$59,"Yes",Raw_Data!$D$2:$D$59,"ERและเปล",Raw_Data!$E$2:$E$59,"สายวิชาชีพสาธารณสุข"),"")</f>
        <v>0</v>
      </c>
      <c r="Y8" s="54">
        <f>IFERROR(100*COUNTIFS(Raw_Data!$K$2:$K$59,"&gt;=1",Raw_Data!$K$2:$K$59,"&lt;=2",Raw_Data!$A$2:$A$59,"Yes",Raw_Data!$D$2:$D$59,"ICU",Raw_Data!$E$2:$E$59,"สายวิชาชีพสาธารณสุข")/COUNTIFS(Raw_Data!$K$2:$K$59,"&gt;=1",Raw_Data!$K$2:$K$59,"&lt;=5",Raw_Data!$A$2:$A$59,"Yes",Raw_Data!$D$2:$D$59,"ICU",Raw_Data!$E$2:$E$59,"สายวิชาชีพสาธารณสุข"),"")</f>
        <v>0</v>
      </c>
      <c r="Z8" s="54">
        <f>IFERROR(100*COUNTIFS(Raw_Data!$K$2:$K$59,"&gt;=1",Raw_Data!$K$2:$K$59,"&lt;=2",Raw_Data!$A$2:$A$59,"Yes",Raw_Data!$D$2:$D$59,"IPD",Raw_Data!$E$2:$E$59,"สายวิชาชีพสาธารณสุข")/COUNTIFS(Raw_Data!$K$2:$K$59,"&gt;=1",Raw_Data!$K$2:$K$59,"&lt;=5",Raw_Data!$A$2:$A$59,"Yes",Raw_Data!$D$2:$D$59,"IPD",Raw_Data!$E$2:$E$59,"สายวิชาชีพสาธารณสุข"),"")</f>
        <v>50</v>
      </c>
      <c r="AA8" s="54">
        <f>IFERROR(100*COUNTIFS(Raw_Data!$K$2:$K$59,"&gt;=1",Raw_Data!$K$2:$K$59,"&lt;=2",Raw_Data!$A$2:$A$59,"Yes",Raw_Data!$D$2:$D$59,"OR",Raw_Data!$E$2:$E$59,"สายวิชาชีพสาธารณสุข")/COUNTIFS(Raw_Data!$K$2:$K$59,"&gt;=1",Raw_Data!$K$2:$K$59,"&lt;=5",Raw_Data!$A$2:$A$59,"Yes",Raw_Data!$D$2:$D$59,"OR",Raw_Data!$E$2:$E$59,"สายวิชาชีพสาธารณสุข"),"")</f>
        <v>50</v>
      </c>
      <c r="AB8" s="54">
        <f>IFERROR(100*COUNTIFS(Raw_Data!$K$2:$K$59,"&gt;=1",Raw_Data!$K$2:$K$59,"&lt;=2",Raw_Data!$A$2:$A$59,"Yes",Raw_Data!$D$2:$D$59,"การเงิน",Raw_Data!$E$2:$E$59,"สายสนับสนุนทั่วไป")/COUNTIFS(Raw_Data!$K$2:$K$59,"&gt;=1",Raw_Data!$K$2:$K$59,"&lt;=5",Raw_Data!$A$2:$A$59,"Yes",Raw_Data!$D$2:$D$59,"การเงิน",Raw_Data!$E$2:$E$59,"สายสนับสนุนทั่วไป"),"")</f>
        <v>33.333333333333336</v>
      </c>
      <c r="AC8" s="54">
        <f>IFERROR(100*COUNTIFS(Raw_Data!$K$2:$K$59,"&gt;=1",Raw_Data!$K$2:$K$59,"&lt;=2",Raw_Data!$A$2:$A$59,"Yes",Raw_Data!$D$2:$D$59,"เคหรักษ์",Raw_Data!$E$2:$E$59,"สายสนับสนุนทั่วไป")/COUNTIFS(Raw_Data!$K$2:$K$59,"&gt;=1",Raw_Data!$K$2:$K$59,"&lt;=5",Raw_Data!$A$2:$A$59,"Yes",Raw_Data!$D$2:$D$59,"เคหรักษ์",Raw_Data!$E$2:$E$59,"สายสนับสนุนทั่วไป"),"")</f>
        <v>0</v>
      </c>
      <c r="AD8" s="54">
        <f>IFERROR(100*COUNTIFS(Raw_Data!$K$2:$K$59,"&gt;=1",Raw_Data!$K$2:$K$59,"&lt;=2",Raw_Data!$A$2:$A$59,"Yes",Raw_Data!$D$2:$D$59,"จ่ายกลาง",Raw_Data!$E$2:$E$59,"สายสนับสนุนทั่วไป")/COUNTIFS(Raw_Data!$K$2:$K$59,"&gt;=1",Raw_Data!$K$2:$K$59,"&lt;=5",Raw_Data!$A$2:$A$59,"Yes",Raw_Data!$D$2:$D$59,"จ่ายกลาง",Raw_Data!$E$2:$E$59,"สายสนับสนุนทั่วไป"),"")</f>
        <v>0</v>
      </c>
      <c r="AE8" s="54">
        <f>IFERROR(100*COUNTIFS(Raw_Data!$K$2:$K$59,"&gt;=1",Raw_Data!$K$2:$K$59,"&lt;=2",Raw_Data!$A$2:$A$59,"Yes",Raw_Data!$D$2:$D$59,"ช่างและสนาม",Raw_Data!$E$2:$E$59,"สายสนับสนุนทั่วไป")/COUNTIFS(Raw_Data!$K$2:$K$59,"&gt;=1",Raw_Data!$K$2:$K$59,"&lt;=5",Raw_Data!$A$2:$A$59,"Yes",Raw_Data!$D$2:$D$59,"ช่างและสนาม",Raw_Data!$E$2:$E$59,"สายสนับสนุนทั่วไป"),"")</f>
        <v>75</v>
      </c>
      <c r="AF8" s="54">
        <f>IFERROR(100*COUNTIFS(Raw_Data!$K$2:$K$59,"&gt;=1",Raw_Data!$K$2:$K$59,"&lt;=2",Raw_Data!$A$2:$A$59,"Yes",Raw_Data!$D$2:$D$59,"ผู้ป่วยสัมพันธ์",Raw_Data!$E$2:$E$59,"สายสนับสนุนทั่วไป")/COUNTIFS(Raw_Data!$K$2:$K$59,"&gt;=1",Raw_Data!$K$2:$K$59,"&lt;=5",Raw_Data!$A$2:$A$59,"Yes",Raw_Data!$D$2:$D$59,"ผู้ป่วยสัมพันธ์",Raw_Data!$E$2:$E$59,"สายสนับสนุนทั่วไป"),"")</f>
        <v>100</v>
      </c>
      <c r="AG8" s="54">
        <f>IFERROR(100*COUNTIFS(Raw_Data!$K$2:$K$59,"&gt;=1",Raw_Data!$K$2:$K$59,"&lt;=2",Raw_Data!$A$2:$A$59,"Yes",Raw_Data!$D$2:$D$59,"ยานพาหนะ",Raw_Data!$E$2:$E$59,"สายสนับสนุนทั่วไป")/COUNTIFS(Raw_Data!$K$2:$K$59,"&gt;=1",Raw_Data!$K$2:$K$59,"&lt;=5",Raw_Data!$A$2:$A$59,"Yes",Raw_Data!$D$2:$D$59,"ยานพาหนะ",Raw_Data!$E$2:$E$59,"สายสนับสนุนทั่วไป"),"")</f>
        <v>0</v>
      </c>
      <c r="AH8" s="54">
        <f>IFERROR(100*COUNTIFS(Raw_Data!$K$2:$K$59,"&gt;=1",Raw_Data!$K$2:$K$59,"&lt;=2",Raw_Data!$A$2:$A$59,"Yes",Raw_Data!$D$2:$D$59,"สื่อสารการตลาด",Raw_Data!$E$2:$E$59,"สายสนับสนุนทั่วไป")/COUNTIFS(Raw_Data!$K$2:$K$59,"&gt;=1",Raw_Data!$K$2:$K$59,"&lt;=5",Raw_Data!$A$2:$A$59,"Yes",Raw_Data!$D$2:$D$59,"สื่อสารการตลาด",Raw_Data!$E$2:$E$59,"สายสนับสนุนทั่วไป"),"")</f>
        <v>100</v>
      </c>
      <c r="AI8" s="54">
        <f>IFERROR(100*COUNTIFS(Raw_Data!$K$2:$K$59,"&gt;=1",Raw_Data!$K$2:$K$59,"&lt;=2",Raw_Data!$A$2:$A$59,"Yes",Raw_Data!$D$2:$D$59,"ERและเปล",Raw_Data!$E$2:$E$59,"สายสนับสนุนทั่วไป")/COUNTIFS(Raw_Data!$K$2:$K$59,"&gt;=1",Raw_Data!$K$2:$K$59,"&lt;=5",Raw_Data!$A$2:$A$59,"Yes",Raw_Data!$D$2:$D$59,"ERและเปล",Raw_Data!$E$2:$E$59,"สายสนับสนุนทั่วไป"),"")</f>
        <v>0</v>
      </c>
      <c r="AJ8" s="54">
        <f>IFERROR(100*COUNTIFS(Raw_Data!$K$2:$K$59,"&gt;=1",Raw_Data!$K$2:$K$59,"&lt;=2",Raw_Data!$A$2:$A$59,"Yes",Raw_Data!$D$2:$D$59,"HR",Raw_Data!$E$2:$E$59,"สายสนับสนุนทั่วไป")/COUNTIFS(Raw_Data!$K$2:$K$59,"&gt;=1",Raw_Data!$K$2:$K$59,"&lt;=5",Raw_Data!$A$2:$A$59,"Yes",Raw_Data!$D$2:$D$59,"HR",Raw_Data!$E$2:$E$59,"สายสนับสนุนทั่วไป"),"")</f>
        <v>100</v>
      </c>
      <c r="AK8" s="54">
        <f>IFERROR(100*COUNTIFS(Raw_Data!$K$2:$K$59,"&gt;=1",Raw_Data!$K$2:$K$59,"&lt;=2",Raw_Data!$A$2:$A$59,"Yes",Raw_Data!$D$2:$D$59,"ICU",Raw_Data!$E$2:$E$59,"สายสนับสนุนทั่วไป")/COUNTIFS(Raw_Data!$K$2:$K$59,"&gt;=1",Raw_Data!$K$2:$K$59,"&lt;=5",Raw_Data!$A$2:$A$59,"Yes",Raw_Data!$D$2:$D$59,"ICU",Raw_Data!$E$2:$E$59,"สายสนับสนุนทั่วไป"),"")</f>
        <v>100</v>
      </c>
      <c r="AL8" s="54">
        <f>IFERROR(100*COUNTIFS(Raw_Data!$K$2:$K$59,"&gt;=1",Raw_Data!$K$2:$K$59,"&lt;=2",Raw_Data!$A$2:$A$59,"Yes",Raw_Data!$D$2:$D$59,"IPD",Raw_Data!$E$2:$E$59,"สายสนับสนุนทั่วไป")/COUNTIFS(Raw_Data!$K$2:$K$59,"&gt;=1",Raw_Data!$K$2:$K$59,"&lt;=5",Raw_Data!$A$2:$A$59,"Yes",Raw_Data!$D$2:$D$59,"IPD",Raw_Data!$E$2:$E$59,"สายสนับสนุนทั่วไป"),"")</f>
        <v>0</v>
      </c>
      <c r="AM8" s="54">
        <f>IFERROR(100*COUNTIFS(Raw_Data!$K$2:$K$59,"&gt;=1",Raw_Data!$K$2:$K$59,"&lt;=2",Raw_Data!$A$2:$A$59,"Yes",Raw_Data!$D$2:$D$59,"IT",Raw_Data!$E$2:$E$59,"สายสนับสนุนทั่วไป")/COUNTIFS(Raw_Data!$K$2:$K$59,"&gt;=1",Raw_Data!$K$2:$K$59,"&lt;=5",Raw_Data!$A$2:$A$59,"Yes",Raw_Data!$D$2:$D$59,"IT",Raw_Data!$E$2:$E$59,"สายสนับสนุนทั่วไป"),"")</f>
        <v>0</v>
      </c>
      <c r="AN8" s="54">
        <f>IFERROR(100*COUNTIFS(Raw_Data!$K$2:$K$59,"&gt;=1",Raw_Data!$K$2:$K$59,"&lt;=2",Raw_Data!$A$2:$A$59,"Yes",Raw_Data!$D$2:$D$59,"ผู้ป่วยสัมพันธ์",Raw_Data!$E$2:$E$59,"สายสนับสนุนทางการแพทย์")/COUNTIFS(Raw_Data!$K$2:$K$59,"&gt;=1",Raw_Data!$K$2:$K$59,"&lt;=5",Raw_Data!$A$2:$A$59,"Yes",Raw_Data!$D$2:$D$59,"ผู้ป่วยสัมพันธ์",Raw_Data!$E$2:$E$59,"สายสนับสนุนทางการแพทย์"),"")</f>
        <v>33.333333333333336</v>
      </c>
      <c r="AO8" s="54">
        <f>IFERROR(100*COUNTIFS(Raw_Data!$K$2:$K$59,"&gt;=1",Raw_Data!$K$2:$K$59,"&lt;=2",Raw_Data!$A$2:$A$59,"Yes",Raw_Data!$D$2:$D$59,"ฝ่ายการพยาบาล",Raw_Data!$E$2:$E$59,"สายสนับสนุนทางการแพทย์")/COUNTIFS(Raw_Data!$K$2:$K$59,"&gt;=1",Raw_Data!$K$2:$K$59,"&lt;=5",Raw_Data!$A$2:$A$59,"Yes",Raw_Data!$D$2:$D$59,"ฝ่ายการพยาบาล",Raw_Data!$E$2:$E$59,"สายสนับสนุนทางการแพทย์"),"")</f>
        <v>100</v>
      </c>
      <c r="AP8" s="54">
        <f>IFERROR(100*COUNTIFS(Raw_Data!$K$2:$K$59,"&gt;=1",Raw_Data!$K$2:$K$59,"&lt;=2",Raw_Data!$A$2:$A$59,"Yes",Raw_Data!$D$2:$D$59,"โภชนาการ",Raw_Data!$E$2:$E$59,"สายสนับสนุนทางการแพทย์")/COUNTIFS(Raw_Data!$K$2:$K$59,"&gt;=1",Raw_Data!$K$2:$K$59,"&lt;=5",Raw_Data!$A$2:$A$59,"Yes",Raw_Data!$D$2:$D$59,"โภชนาการ",Raw_Data!$E$2:$E$59,"สายสนับสนุนทางการแพทย์"),"")</f>
        <v>100</v>
      </c>
      <c r="AQ8" s="54">
        <f>IFERROR(100*COUNTIFS(Raw_Data!$K$2:$K$59,"&gt;=1",Raw_Data!$K$2:$K$59,"&lt;=2",Raw_Data!$A$2:$A$59,"Yes",Raw_Data!$D$2:$D$59,"ห้องยา",Raw_Data!$E$2:$E$59,"สายสนับสนุนทางการแพทย์")/COUNTIFS(Raw_Data!$K$2:$K$59,"&gt;=1",Raw_Data!$K$2:$K$59,"&lt;=5",Raw_Data!$A$2:$A$59,"Yes",Raw_Data!$D$2:$D$59,"ห้องยา",Raw_Data!$E$2:$E$59,"สายสนับสนุนทางการแพทย์"),"")</f>
        <v>0</v>
      </c>
      <c r="AR8" s="54">
        <f>IFERROR(100*COUNTIFS(Raw_Data!$K$2:$K$59,"&gt;=1",Raw_Data!$K$2:$K$59,"&lt;=2",Raw_Data!$A$2:$A$59,"Yes",Raw_Data!$D$2:$D$59,"ห้องแลป",Raw_Data!$E$2:$E$59,"สายสนับสนุนทางการแพทย์")/COUNTIFS(Raw_Data!$K$2:$K$59,"&gt;=1",Raw_Data!$K$2:$K$59,"&lt;=5",Raw_Data!$A$2:$A$59,"Yes",Raw_Data!$D$2:$D$59,"ห้องแลป",Raw_Data!$E$2:$E$59,"สายสนับสนุนทางการแพทย์"),"")</f>
        <v>50</v>
      </c>
      <c r="AS8" s="54">
        <f>IFERROR(100*COUNTIFS(Raw_Data!$K$2:$K$59,"&gt;=1",Raw_Data!$K$2:$K$59,"&lt;=2",Raw_Data!$A$2:$A$59,"Yes",Raw_Data!$D$2:$D$59,"ห้องเอ็กซเรย์",Raw_Data!$E$2:$E$59,"สายสนับสนุนทางการแพทย์")/COUNTIFS(Raw_Data!$K$2:$K$59,"&gt;=1",Raw_Data!$K$2:$K$59,"&lt;=5",Raw_Data!$A$2:$A$59,"Yes",Raw_Data!$D$2:$D$59,"ห้องเอ็กซเรย์",Raw_Data!$E$2:$E$59,"สายสนับสนุนทางการแพทย์"),"")</f>
        <v>66.666666666666671</v>
      </c>
      <c r="AT8" s="54">
        <f>IFERROR(100*COUNTIFS(Raw_Data!$K$2:$K$59,"&gt;=1",Raw_Data!$K$2:$K$59,"&lt;=2",Raw_Data!$A$2:$A$59,"Yes",Raw_Data!$D$2:$D$59,"ERและเปล",Raw_Data!$E$2:$E$59,"สายสนับสนุนทางการแพทย์")/COUNTIFS(Raw_Data!$K$2:$K$59,"&gt;=1",Raw_Data!$K$2:$K$59,"&lt;=5",Raw_Data!$A$2:$A$59,"Yes",Raw_Data!$D$2:$D$59,"ERและเปล",Raw_Data!$E$2:$E$59,"สายสนับสนุนทางการแพทย์"),"")</f>
        <v>0</v>
      </c>
      <c r="AU8" s="54">
        <f>IFERROR(100*COUNTIFS(Raw_Data!$K$2:$K$59,"&gt;=1",Raw_Data!$K$2:$K$59,"&lt;=2",Raw_Data!$A$2:$A$59,"Yes",Raw_Data!$D$2:$D$59,"ICU",Raw_Data!$E$2:$E$59,"สายสนับสนุนทางการแพทย์")/COUNTIFS(Raw_Data!$K$2:$K$59,"&gt;=1",Raw_Data!$K$2:$K$59,"&lt;=5",Raw_Data!$A$2:$A$59,"Yes",Raw_Data!$D$2:$D$59,"ICU",Raw_Data!$E$2:$E$59,"สายสนับสนุนทางการแพทย์"),"")</f>
        <v>0</v>
      </c>
      <c r="AV8" s="54">
        <f>IFERROR(100*COUNTIFS(Raw_Data!$K$2:$K$59,"&gt;=1",Raw_Data!$K$2:$K$59,"&lt;=2",Raw_Data!$A$2:$A$59,"Yes",Raw_Data!$D$2:$D$59,"IPD",Raw_Data!$E$2:$E$59,"สายสนับสนุนทางการแพทย์")/COUNTIFS(Raw_Data!$K$2:$K$59,"&gt;=1",Raw_Data!$K$2:$K$59,"&lt;=5",Raw_Data!$A$2:$A$59,"Yes",Raw_Data!$D$2:$D$59,"IPD",Raw_Data!$E$2:$E$59,"สายสนับสนุนทางการแพทย์"),"")</f>
        <v>50</v>
      </c>
      <c r="AW8" s="54">
        <f>IFERROR(100*COUNTIFS(Raw_Data!$K$2:$K$59,"&gt;=1",Raw_Data!$K$2:$K$59,"&lt;=2",Raw_Data!$A$2:$A$59,"Yes",Raw_Data!$D$2:$D$59,"IT",Raw_Data!$E$2:$E$59,"สายสนับสนุนทางการแพทย์")/COUNTIFS(Raw_Data!$K$2:$K$59,"&gt;=1",Raw_Data!$K$2:$K$59,"&lt;=5",Raw_Data!$A$2:$A$59,"Yes",Raw_Data!$D$2:$D$59,"IT",Raw_Data!$E$2:$E$59,"สายสนับสนุนทางการแพทย์"),"")</f>
        <v>0</v>
      </c>
    </row>
    <row r="9" spans="1:49" ht="42" customHeight="1">
      <c r="A9" s="50"/>
      <c r="B9" s="51" t="s">
        <v>35</v>
      </c>
      <c r="C9" s="54">
        <f>IFERROR(100*COUNTIFS(Raw_Data!$L$2:$L$59,"&gt;=1",Raw_Data!$L$2:$L$59,"&lt;=2",Raw_Data!$A$2:$A$59,"Yes")/COUNTIFS(Raw_Data!$L$2:$L$59,"&gt;=1",Raw_Data!$L$2:$L$59,"&lt;=5",Raw_Data!$A$2:$A$59,"Yes"),"")</f>
        <v>24.137931034482758</v>
      </c>
      <c r="D9" s="54">
        <f>IFERROR(100*COUNTIFS(Raw_Data!$L$2:$L$59,"&gt;=1",Raw_Data!$L$2:$L$59,"&lt;=2",Raw_Data!$A$2:$A$59,"Yes",Raw_Data!$D$2:$D$59,"การเงิน")/COUNTIFS(Raw_Data!$L$2:$L$59,"&gt;=1",Raw_Data!$L$2:$L$59,"&lt;=5",Raw_Data!$A$2:$A$59,"Yes",Raw_Data!$D$2:$D$59,"การเงิน"),"")</f>
        <v>66.666666666666671</v>
      </c>
      <c r="E9" s="54">
        <f>IFERROR(100*COUNTIFS(Raw_Data!$L$2:$L$59,"&gt;=1",Raw_Data!$L$2:$L$59,"&lt;=2",Raw_Data!$A$2:$A$59,"Yes",Raw_Data!$D$2:$D$59,"เคหรักษ์")/COUNTIFS(Raw_Data!$L$2:$L$59,"&gt;=1",Raw_Data!$L$2:$L$59,"&lt;=5",Raw_Data!$A$2:$A$59,"Yes",Raw_Data!$D$2:$D$59,"เคหรักษ์"),"")</f>
        <v>0</v>
      </c>
      <c r="F9" s="54">
        <f>IFERROR(100*COUNTIFS(Raw_Data!$L$2:$L$59,"&gt;=1",Raw_Data!$L$2:$L$59,"&lt;=2",Raw_Data!$A$2:$A$59,"Yes",Raw_Data!$D$2:$D$59,"จ่ายกลาง")/COUNTIFS(Raw_Data!$L$2:$L$59,"&gt;=1",Raw_Data!$L$2:$L$59,"&lt;=5",Raw_Data!$A$2:$A$59,"Yes",Raw_Data!$D$2:$D$59,"จ่ายกลาง"),"")</f>
        <v>0</v>
      </c>
      <c r="G9" s="54">
        <f>IFERROR(100*COUNTIFS(Raw_Data!$L$2:$L$59,"&gt;=1",Raw_Data!$L$2:$L$59,"&lt;=2",Raw_Data!$A$2:$A$59,"Yes",Raw_Data!$D$2:$D$59,"ช่างและสนาม")/COUNTIFS(Raw_Data!$L$2:$L$59,"&gt;=1",Raw_Data!$L$2:$L$59,"&lt;=5",Raw_Data!$A$2:$A$59,"Yes",Raw_Data!$D$2:$D$59,"ช่างและสนาม"),"")</f>
        <v>25</v>
      </c>
      <c r="H9" s="54">
        <f>IFERROR(100*COUNTIFS(Raw_Data!$L$2:$L$59,"&gt;=1",Raw_Data!$L$2:$L$59,"&lt;=2",Raw_Data!$A$2:$A$59,"Yes",Raw_Data!$D$2:$D$59,"ผู้ป่วยสัมพันธ์")/COUNTIFS(Raw_Data!$L$2:$L$59,"&gt;=1",Raw_Data!$L$2:$L$59,"&lt;=5",Raw_Data!$A$2:$A$59,"Yes",Raw_Data!$D$2:$D$59,"ผู้ป่วยสัมพันธ์"),"")</f>
        <v>25</v>
      </c>
      <c r="I9" s="54">
        <f>IFERROR(100*COUNTIFS(Raw_Data!$L$2:$L$59,"&gt;=1",Raw_Data!$L$2:$L$59,"&lt;=2",Raw_Data!$A$2:$A$59,"Yes",Raw_Data!$D$2:$D$59,"ฝ่ายการพยาบาล")/COUNTIFS(Raw_Data!$L$2:$L$59,"&gt;=1",Raw_Data!$L$2:$L$59,"&lt;=5",Raw_Data!$A$2:$A$59,"Yes",Raw_Data!$D$2:$D$59,"ฝ่ายการพยาบาล"),"")</f>
        <v>0</v>
      </c>
      <c r="J9" s="54">
        <f>IFERROR(100*COUNTIFS(Raw_Data!$L$2:$L$59,"&gt;=1",Raw_Data!$L$2:$L$59,"&lt;=2",Raw_Data!$A$2:$A$59,"Yes",Raw_Data!$D$2:$D$59,"โภชนาการ")/COUNTIFS(Raw_Data!$L$2:$L$59,"&gt;=1",Raw_Data!$L$2:$L$59,"&lt;=5",Raw_Data!$A$2:$A$59,"Yes",Raw_Data!$D$2:$D$59,"โภชนาการ"),"")</f>
        <v>100</v>
      </c>
      <c r="K9" s="54">
        <f>IFERROR(100*COUNTIFS(Raw_Data!$L$2:$L$59,"&gt;=1",Raw_Data!$L$2:$L$59,"&lt;=2",Raw_Data!$A$2:$A$59,"Yes",Raw_Data!$D$2:$D$59,"ยานพาหนะ")/COUNTIFS(Raw_Data!$L$2:$L$59,"&gt;=1",Raw_Data!$L$2:$L$59,"&lt;=5",Raw_Data!$A$2:$A$59,"Yes",Raw_Data!$D$2:$D$59,"ยานพาหนะ"),"")</f>
        <v>100</v>
      </c>
      <c r="L9" s="54">
        <f>IFERROR(100*COUNTIFS(Raw_Data!$L$2:$L$59,"&gt;=1",Raw_Data!$L$2:$L$59,"&lt;=2",Raw_Data!$A$2:$A$59,"Yes",Raw_Data!$D$2:$D$59,"สื่อสารการตลาด")/COUNTIFS(Raw_Data!$L$2:$L$59,"&gt;=1",Raw_Data!$L$2:$L$59,"&lt;=5",Raw_Data!$A$2:$A$59,"Yes",Raw_Data!$D$2:$D$59,"สื่อสารการตลาด"),"")</f>
        <v>0</v>
      </c>
      <c r="M9" s="54">
        <f>IFERROR(100*COUNTIFS(Raw_Data!$L$2:$L$59,"&gt;=1",Raw_Data!$L$2:$L$59,"&lt;=2",Raw_Data!$A$2:$A$59,"Yes",Raw_Data!$D$2:$D$59,"ห้องยา")/COUNTIFS(Raw_Data!$L$2:$L$59,"&gt;=1",Raw_Data!$L$2:$L$59,"&lt;=5",Raw_Data!$A$2:$A$59,"Yes",Raw_Data!$D$2:$D$59,"ห้องยา"),"")</f>
        <v>33.333333333333336</v>
      </c>
      <c r="N9" s="54">
        <f>IFERROR(100*COUNTIFS(Raw_Data!$L$2:$L$59,"&gt;=1",Raw_Data!$L$2:$L$59,"&lt;=2",Raw_Data!$A$2:$A$59,"Yes",Raw_Data!$D$2:$D$59,"ห้องแลป")/COUNTIFS(Raw_Data!$L$2:$L$59,"&gt;=1",Raw_Data!$L$2:$L$59,"&lt;=5",Raw_Data!$A$2:$A$59,"Yes",Raw_Data!$D$2:$D$59,"ห้องแลป"),"")</f>
        <v>100</v>
      </c>
      <c r="O9" s="54">
        <f>IFERROR(100*COUNTIFS(Raw_Data!$L$2:$L$59,"&gt;=1",Raw_Data!$L$2:$L$59,"&lt;=2",Raw_Data!$A$2:$A$59,"Yes",Raw_Data!$D$2:$D$59,"ห้องเอ็กซเรย์")/COUNTIFS(Raw_Data!$L$2:$L$59,"&gt;=1",Raw_Data!$L$2:$L$59,"&lt;=5",Raw_Data!$A$2:$A$59,"Yes",Raw_Data!$D$2:$D$59,"ห้องเอ็กซเรย์"),"")</f>
        <v>0</v>
      </c>
      <c r="P9" s="54">
        <f>IFERROR(100*COUNTIFS(Raw_Data!$L$2:$L$59,"&gt;=1",Raw_Data!$L$2:$L$59,"&lt;=2",Raw_Data!$A$2:$A$59,"Yes",Raw_Data!$D$2:$D$59,"ERและเปล")/COUNTIFS(Raw_Data!$L$2:$L$59,"&gt;=1",Raw_Data!$L$2:$L$59,"&lt;=5",Raw_Data!$A$2:$A$59,"Yes",Raw_Data!$D$2:$D$59,"ERและเปล"),"")</f>
        <v>18.181818181818183</v>
      </c>
      <c r="Q9" s="54">
        <f>IFERROR(100*COUNTIFS(Raw_Data!$L$2:$L$59,"&gt;=1",Raw_Data!$L$2:$L$59,"&lt;=2",Raw_Data!$A$2:$A$59,"Yes",Raw_Data!$D$2:$D$59,"HR")/COUNTIFS(Raw_Data!$L$2:$L$59,"&gt;=1",Raw_Data!$L$2:$L$59,"&lt;=5",Raw_Data!$A$2:$A$59,"Yes",Raw_Data!$D$2:$D$59,"HR"),"")</f>
        <v>0</v>
      </c>
      <c r="R9" s="54">
        <f>IFERROR(100*COUNTIFS(Raw_Data!$L$2:$L$59,"&gt;=1",Raw_Data!$L$2:$L$59,"&lt;=2",Raw_Data!$A$2:$A$59,"Yes",Raw_Data!$D$2:$D$59,"ICU")/COUNTIFS(Raw_Data!$L$2:$L$59,"&gt;=1",Raw_Data!$L$2:$L$59,"&lt;=5",Raw_Data!$A$2:$A$59,"Yes",Raw_Data!$D$2:$D$59,"ICU"),"")</f>
        <v>0</v>
      </c>
      <c r="S9" s="54">
        <f>IFERROR(100*COUNTIFS(Raw_Data!$L$2:$L$59,"&gt;=1",Raw_Data!$L$2:$L$59,"&lt;=2",Raw_Data!$A$2:$A$59,"Yes",Raw_Data!$D$2:$D$59,"IPD")/COUNTIFS(Raw_Data!$L$2:$L$59,"&gt;=1",Raw_Data!$L$2:$L$59,"&lt;=5",Raw_Data!$A$2:$A$59,"Yes",Raw_Data!$D$2:$D$59,"IPD"),"")</f>
        <v>0</v>
      </c>
      <c r="T9" s="54">
        <f>IFERROR(100*COUNTIFS(Raw_Data!$L$2:$L$59,"&gt;=1",Raw_Data!$L$2:$L$59,"&lt;=2",Raw_Data!$A$2:$A$59,"Yes",Raw_Data!$D$2:$D$59,"IT")/COUNTIFS(Raw_Data!$L$2:$L$59,"&gt;=1",Raw_Data!$L$2:$L$59,"&lt;=5",Raw_Data!$A$2:$A$59,"Yes",Raw_Data!$D$2:$D$59,"IT"),"")</f>
        <v>50</v>
      </c>
      <c r="U9" s="54">
        <f>IFERROR(100*COUNTIFS(Raw_Data!$L$2:$L$59,"&gt;=1",Raw_Data!$L$2:$L$59,"&lt;=2",Raw_Data!$A$2:$A$59,"Yes",Raw_Data!$D$2:$D$59,"OR")/COUNTIFS(Raw_Data!$L$2:$L$59,"&gt;=1",Raw_Data!$L$2:$L$59,"&lt;=5",Raw_Data!$A$2:$A$59,"Yes",Raw_Data!$D$2:$D$59,"OR"),"")</f>
        <v>25</v>
      </c>
      <c r="V9" s="54">
        <f>IFERROR(100*COUNTIFS(Raw_Data!$L$2:$L$59,"&gt;=1",Raw_Data!$L$2:$L$59,"&lt;=2",Raw_Data!$A$2:$A$59,"Yes",Raw_Data!$D$2:$D$59,"IPD",Raw_Data!$E$2:$E$59,"ผู้บริหาร")/COUNTIFS(Raw_Data!$L$2:$L$59,"&gt;=1",Raw_Data!$L$2:$L$59,"&lt;=5",Raw_Data!$A$2:$A$59,"Yes",Raw_Data!$D$2:$D$59,"IPD",Raw_Data!$E$2:$E$59,"ผู้บริหาร"),"")</f>
        <v>0</v>
      </c>
      <c r="W9" s="54">
        <f>IFERROR(100*COUNTIFS(Raw_Data!$L$2:$L$59,"&gt;=1",Raw_Data!$L$2:$L$59,"&lt;=2",Raw_Data!$A$2:$A$59,"Yes",Raw_Data!$D$2:$D$59,"ฝ่ายการพยาบาล",Raw_Data!$E$2:$E$59,"สายวิชาชีพสาธารณสุข")/COUNTIFS(Raw_Data!$L$2:$L$59,"&gt;=1",Raw_Data!$L$2:$L$59,"&lt;=5",Raw_Data!$A$2:$A$59,"Yes",Raw_Data!$D$2:$D$59,"ฝ่ายการพยาบาล",Raw_Data!$E$2:$E$59,"สายวิชาชีพสาธารณสุข"),"")</f>
        <v>0</v>
      </c>
      <c r="X9" s="54">
        <f>IFERROR(100*COUNTIFS(Raw_Data!$L$2:$L$59,"&gt;=1",Raw_Data!$L$2:$L$59,"&lt;=2",Raw_Data!$A$2:$A$59,"Yes",Raw_Data!$D$2:$D$59,"ERและเปล",Raw_Data!$E$2:$E$59,"สายวิชาชีพสาธารณสุข")/COUNTIFS(Raw_Data!$L$2:$L$59,"&gt;=1",Raw_Data!$L$2:$L$59,"&lt;=5",Raw_Data!$A$2:$A$59,"Yes",Raw_Data!$D$2:$D$59,"ERและเปล",Raw_Data!$E$2:$E$59,"สายวิชาชีพสาธารณสุข"),"")</f>
        <v>0</v>
      </c>
      <c r="Y9" s="54">
        <f>IFERROR(100*COUNTIFS(Raw_Data!$L$2:$L$59,"&gt;=1",Raw_Data!$L$2:$L$59,"&lt;=2",Raw_Data!$A$2:$A$59,"Yes",Raw_Data!$D$2:$D$59,"ICU",Raw_Data!$E$2:$E$59,"สายวิชาชีพสาธารณสุข")/COUNTIFS(Raw_Data!$L$2:$L$59,"&gt;=1",Raw_Data!$L$2:$L$59,"&lt;=5",Raw_Data!$A$2:$A$59,"Yes",Raw_Data!$D$2:$D$59,"ICU",Raw_Data!$E$2:$E$59,"สายวิชาชีพสาธารณสุข"),"")</f>
        <v>0</v>
      </c>
      <c r="Z9" s="54">
        <f>IFERROR(100*COUNTIFS(Raw_Data!$L$2:$L$59,"&gt;=1",Raw_Data!$L$2:$L$59,"&lt;=2",Raw_Data!$A$2:$A$59,"Yes",Raw_Data!$D$2:$D$59,"IPD",Raw_Data!$E$2:$E$59,"สายวิชาชีพสาธารณสุข")/COUNTIFS(Raw_Data!$L$2:$L$59,"&gt;=1",Raw_Data!$L$2:$L$59,"&lt;=5",Raw_Data!$A$2:$A$59,"Yes",Raw_Data!$D$2:$D$59,"IPD",Raw_Data!$E$2:$E$59,"สายวิชาชีพสาธารณสุข"),"")</f>
        <v>0</v>
      </c>
      <c r="AA9" s="54">
        <f>IFERROR(100*COUNTIFS(Raw_Data!$L$2:$L$59,"&gt;=1",Raw_Data!$L$2:$L$59,"&lt;=2",Raw_Data!$A$2:$A$59,"Yes",Raw_Data!$D$2:$D$59,"OR",Raw_Data!$E$2:$E$59,"สายวิชาชีพสาธารณสุข")/COUNTIFS(Raw_Data!$L$2:$L$59,"&gt;=1",Raw_Data!$L$2:$L$59,"&lt;=5",Raw_Data!$A$2:$A$59,"Yes",Raw_Data!$D$2:$D$59,"OR",Raw_Data!$E$2:$E$59,"สายวิชาชีพสาธารณสุข"),"")</f>
        <v>25</v>
      </c>
      <c r="AB9" s="54">
        <f>IFERROR(100*COUNTIFS(Raw_Data!$L$2:$L$59,"&gt;=1",Raw_Data!$L$2:$L$59,"&lt;=2",Raw_Data!$A$2:$A$59,"Yes",Raw_Data!$D$2:$D$59,"การเงิน",Raw_Data!$E$2:$E$59,"สายสนับสนุนทั่วไป")/COUNTIFS(Raw_Data!$L$2:$L$59,"&gt;=1",Raw_Data!$L$2:$L$59,"&lt;=5",Raw_Data!$A$2:$A$59,"Yes",Raw_Data!$D$2:$D$59,"การเงิน",Raw_Data!$E$2:$E$59,"สายสนับสนุนทั่วไป"),"")</f>
        <v>66.666666666666671</v>
      </c>
      <c r="AC9" s="54">
        <f>IFERROR(100*COUNTIFS(Raw_Data!$L$2:$L$59,"&gt;=1",Raw_Data!$L$2:$L$59,"&lt;=2",Raw_Data!$A$2:$A$59,"Yes",Raw_Data!$D$2:$D$59,"เคหรักษ์",Raw_Data!$E$2:$E$59,"สายสนับสนุนทั่วไป")/COUNTIFS(Raw_Data!$L$2:$L$59,"&gt;=1",Raw_Data!$L$2:$L$59,"&lt;=5",Raw_Data!$A$2:$A$59,"Yes",Raw_Data!$D$2:$D$59,"เคหรักษ์",Raw_Data!$E$2:$E$59,"สายสนับสนุนทั่วไป"),"")</f>
        <v>0</v>
      </c>
      <c r="AD9" s="54">
        <f>IFERROR(100*COUNTIFS(Raw_Data!$L$2:$L$59,"&gt;=1",Raw_Data!$L$2:$L$59,"&lt;=2",Raw_Data!$A$2:$A$59,"Yes",Raw_Data!$D$2:$D$59,"จ่ายกลาง",Raw_Data!$E$2:$E$59,"สายสนับสนุนทั่วไป")/COUNTIFS(Raw_Data!$L$2:$L$59,"&gt;=1",Raw_Data!$L$2:$L$59,"&lt;=5",Raw_Data!$A$2:$A$59,"Yes",Raw_Data!$D$2:$D$59,"จ่ายกลาง",Raw_Data!$E$2:$E$59,"สายสนับสนุนทั่วไป"),"")</f>
        <v>0</v>
      </c>
      <c r="AE9" s="54">
        <f>IFERROR(100*COUNTIFS(Raw_Data!$L$2:$L$59,"&gt;=1",Raw_Data!$L$2:$L$59,"&lt;=2",Raw_Data!$A$2:$A$59,"Yes",Raw_Data!$D$2:$D$59,"ช่างและสนาม",Raw_Data!$E$2:$E$59,"สายสนับสนุนทั่วไป")/COUNTIFS(Raw_Data!$L$2:$L$59,"&gt;=1",Raw_Data!$L$2:$L$59,"&lt;=5",Raw_Data!$A$2:$A$59,"Yes",Raw_Data!$D$2:$D$59,"ช่างและสนาม",Raw_Data!$E$2:$E$59,"สายสนับสนุนทั่วไป"),"")</f>
        <v>25</v>
      </c>
      <c r="AF9" s="54">
        <f>IFERROR(100*COUNTIFS(Raw_Data!$L$2:$L$59,"&gt;=1",Raw_Data!$L$2:$L$59,"&lt;=2",Raw_Data!$A$2:$A$59,"Yes",Raw_Data!$D$2:$D$59,"ผู้ป่วยสัมพันธ์",Raw_Data!$E$2:$E$59,"สายสนับสนุนทั่วไป")/COUNTIFS(Raw_Data!$L$2:$L$59,"&gt;=1",Raw_Data!$L$2:$L$59,"&lt;=5",Raw_Data!$A$2:$A$59,"Yes",Raw_Data!$D$2:$D$59,"ผู้ป่วยสัมพันธ์",Raw_Data!$E$2:$E$59,"สายสนับสนุนทั่วไป"),"")</f>
        <v>0</v>
      </c>
      <c r="AG9" s="54">
        <f>IFERROR(100*COUNTIFS(Raw_Data!$L$2:$L$59,"&gt;=1",Raw_Data!$L$2:$L$59,"&lt;=2",Raw_Data!$A$2:$A$59,"Yes",Raw_Data!$D$2:$D$59,"ยานพาหนะ",Raw_Data!$E$2:$E$59,"สายสนับสนุนทั่วไป")/COUNTIFS(Raw_Data!$L$2:$L$59,"&gt;=1",Raw_Data!$L$2:$L$59,"&lt;=5",Raw_Data!$A$2:$A$59,"Yes",Raw_Data!$D$2:$D$59,"ยานพาหนะ",Raw_Data!$E$2:$E$59,"สายสนับสนุนทั่วไป"),"")</f>
        <v>100</v>
      </c>
      <c r="AH9" s="54">
        <f>IFERROR(100*COUNTIFS(Raw_Data!$L$2:$L$59,"&gt;=1",Raw_Data!$L$2:$L$59,"&lt;=2",Raw_Data!$A$2:$A$59,"Yes",Raw_Data!$D$2:$D$59,"สื่อสารการตลาด",Raw_Data!$E$2:$E$59,"สายสนับสนุนทั่วไป")/COUNTIFS(Raw_Data!$L$2:$L$59,"&gt;=1",Raw_Data!$L$2:$L$59,"&lt;=5",Raw_Data!$A$2:$A$59,"Yes",Raw_Data!$D$2:$D$59,"สื่อสารการตลาด",Raw_Data!$E$2:$E$59,"สายสนับสนุนทั่วไป"),"")</f>
        <v>0</v>
      </c>
      <c r="AI9" s="54">
        <f>IFERROR(100*COUNTIFS(Raw_Data!$L$2:$L$59,"&gt;=1",Raw_Data!$L$2:$L$59,"&lt;=2",Raw_Data!$A$2:$A$59,"Yes",Raw_Data!$D$2:$D$59,"ERและเปล",Raw_Data!$E$2:$E$59,"สายสนับสนุนทั่วไป")/COUNTIFS(Raw_Data!$L$2:$L$59,"&gt;=1",Raw_Data!$L$2:$L$59,"&lt;=5",Raw_Data!$A$2:$A$59,"Yes",Raw_Data!$D$2:$D$59,"ERและเปล",Raw_Data!$E$2:$E$59,"สายสนับสนุนทั่วไป"),"")</f>
        <v>66.666666666666671</v>
      </c>
      <c r="AJ9" s="54">
        <f>IFERROR(100*COUNTIFS(Raw_Data!$L$2:$L$59,"&gt;=1",Raw_Data!$L$2:$L$59,"&lt;=2",Raw_Data!$A$2:$A$59,"Yes",Raw_Data!$D$2:$D$59,"HR",Raw_Data!$E$2:$E$59,"สายสนับสนุนทั่วไป")/COUNTIFS(Raw_Data!$L$2:$L$59,"&gt;=1",Raw_Data!$L$2:$L$59,"&lt;=5",Raw_Data!$A$2:$A$59,"Yes",Raw_Data!$D$2:$D$59,"HR",Raw_Data!$E$2:$E$59,"สายสนับสนุนทั่วไป"),"")</f>
        <v>0</v>
      </c>
      <c r="AK9" s="54">
        <f>IFERROR(100*COUNTIFS(Raw_Data!$L$2:$L$59,"&gt;=1",Raw_Data!$L$2:$L$59,"&lt;=2",Raw_Data!$A$2:$A$59,"Yes",Raw_Data!$D$2:$D$59,"ICU",Raw_Data!$E$2:$E$59,"สายสนับสนุนทั่วไป")/COUNTIFS(Raw_Data!$L$2:$L$59,"&gt;=1",Raw_Data!$L$2:$L$59,"&lt;=5",Raw_Data!$A$2:$A$59,"Yes",Raw_Data!$D$2:$D$59,"ICU",Raw_Data!$E$2:$E$59,"สายสนับสนุนทั่วไป"),"")</f>
        <v>0</v>
      </c>
      <c r="AL9" s="54">
        <f>IFERROR(100*COUNTIFS(Raw_Data!$L$2:$L$59,"&gt;=1",Raw_Data!$L$2:$L$59,"&lt;=2",Raw_Data!$A$2:$A$59,"Yes",Raw_Data!$D$2:$D$59,"IPD",Raw_Data!$E$2:$E$59,"สายสนับสนุนทั่วไป")/COUNTIFS(Raw_Data!$L$2:$L$59,"&gt;=1",Raw_Data!$L$2:$L$59,"&lt;=5",Raw_Data!$A$2:$A$59,"Yes",Raw_Data!$D$2:$D$59,"IPD",Raw_Data!$E$2:$E$59,"สายสนับสนุนทั่วไป"),"")</f>
        <v>0</v>
      </c>
      <c r="AM9" s="54">
        <f>IFERROR(100*COUNTIFS(Raw_Data!$L$2:$L$59,"&gt;=1",Raw_Data!$L$2:$L$59,"&lt;=2",Raw_Data!$A$2:$A$59,"Yes",Raw_Data!$D$2:$D$59,"IT",Raw_Data!$E$2:$E$59,"สายสนับสนุนทั่วไป")/COUNTIFS(Raw_Data!$L$2:$L$59,"&gt;=1",Raw_Data!$L$2:$L$59,"&lt;=5",Raw_Data!$A$2:$A$59,"Yes",Raw_Data!$D$2:$D$59,"IT",Raw_Data!$E$2:$E$59,"สายสนับสนุนทั่วไป"),"")</f>
        <v>100</v>
      </c>
      <c r="AN9" s="54">
        <f>IFERROR(100*COUNTIFS(Raw_Data!$L$2:$L$59,"&gt;=1",Raw_Data!$L$2:$L$59,"&lt;=2",Raw_Data!$A$2:$A$59,"Yes",Raw_Data!$D$2:$D$59,"ผู้ป่วยสัมพันธ์",Raw_Data!$E$2:$E$59,"สายสนับสนุนทางการแพทย์")/COUNTIFS(Raw_Data!$L$2:$L$59,"&gt;=1",Raw_Data!$L$2:$L$59,"&lt;=5",Raw_Data!$A$2:$A$59,"Yes",Raw_Data!$D$2:$D$59,"ผู้ป่วยสัมพันธ์",Raw_Data!$E$2:$E$59,"สายสนับสนุนทางการแพทย์"),"")</f>
        <v>33.333333333333336</v>
      </c>
      <c r="AO9" s="54">
        <f>IFERROR(100*COUNTIFS(Raw_Data!$L$2:$L$59,"&gt;=1",Raw_Data!$L$2:$L$59,"&lt;=2",Raw_Data!$A$2:$A$59,"Yes",Raw_Data!$D$2:$D$59,"ฝ่ายการพยาบาล",Raw_Data!$E$2:$E$59,"สายสนับสนุนทางการแพทย์")/COUNTIFS(Raw_Data!$L$2:$L$59,"&gt;=1",Raw_Data!$L$2:$L$59,"&lt;=5",Raw_Data!$A$2:$A$59,"Yes",Raw_Data!$D$2:$D$59,"ฝ่ายการพยาบาล",Raw_Data!$E$2:$E$59,"สายสนับสนุนทางการแพทย์"),"")</f>
        <v>0</v>
      </c>
      <c r="AP9" s="54">
        <f>IFERROR(100*COUNTIFS(Raw_Data!$L$2:$L$59,"&gt;=1",Raw_Data!$L$2:$L$59,"&lt;=2",Raw_Data!$A$2:$A$59,"Yes",Raw_Data!$D$2:$D$59,"โภชนาการ",Raw_Data!$E$2:$E$59,"สายสนับสนุนทางการแพทย์")/COUNTIFS(Raw_Data!$L$2:$L$59,"&gt;=1",Raw_Data!$L$2:$L$59,"&lt;=5",Raw_Data!$A$2:$A$59,"Yes",Raw_Data!$D$2:$D$59,"โภชนาการ",Raw_Data!$E$2:$E$59,"สายสนับสนุนทางการแพทย์"),"")</f>
        <v>100</v>
      </c>
      <c r="AQ9" s="54">
        <f>IFERROR(100*COUNTIFS(Raw_Data!$L$2:$L$59,"&gt;=1",Raw_Data!$L$2:$L$59,"&lt;=2",Raw_Data!$A$2:$A$59,"Yes",Raw_Data!$D$2:$D$59,"ห้องยา",Raw_Data!$E$2:$E$59,"สายสนับสนุนทางการแพทย์")/COUNTIFS(Raw_Data!$L$2:$L$59,"&gt;=1",Raw_Data!$L$2:$L$59,"&lt;=5",Raw_Data!$A$2:$A$59,"Yes",Raw_Data!$D$2:$D$59,"ห้องยา",Raw_Data!$E$2:$E$59,"สายสนับสนุนทางการแพทย์"),"")</f>
        <v>33.333333333333336</v>
      </c>
      <c r="AR9" s="54">
        <f>IFERROR(100*COUNTIFS(Raw_Data!$L$2:$L$59,"&gt;=1",Raw_Data!$L$2:$L$59,"&lt;=2",Raw_Data!$A$2:$A$59,"Yes",Raw_Data!$D$2:$D$59,"ห้องแลป",Raw_Data!$E$2:$E$59,"สายสนับสนุนทางการแพทย์")/COUNTIFS(Raw_Data!$L$2:$L$59,"&gt;=1",Raw_Data!$L$2:$L$59,"&lt;=5",Raw_Data!$A$2:$A$59,"Yes",Raw_Data!$D$2:$D$59,"ห้องแลป",Raw_Data!$E$2:$E$59,"สายสนับสนุนทางการแพทย์"),"")</f>
        <v>100</v>
      </c>
      <c r="AS9" s="54">
        <f>IFERROR(100*COUNTIFS(Raw_Data!$L$2:$L$59,"&gt;=1",Raw_Data!$L$2:$L$59,"&lt;=2",Raw_Data!$A$2:$A$59,"Yes",Raw_Data!$D$2:$D$59,"ห้องเอ็กซเรย์",Raw_Data!$E$2:$E$59,"สายสนับสนุนทางการแพทย์")/COUNTIFS(Raw_Data!$L$2:$L$59,"&gt;=1",Raw_Data!$L$2:$L$59,"&lt;=5",Raw_Data!$A$2:$A$59,"Yes",Raw_Data!$D$2:$D$59,"ห้องเอ็กซเรย์",Raw_Data!$E$2:$E$59,"สายสนับสนุนทางการแพทย์"),"")</f>
        <v>0</v>
      </c>
      <c r="AT9" s="54">
        <f>IFERROR(100*COUNTIFS(Raw_Data!$L$2:$L$59,"&gt;=1",Raw_Data!$L$2:$L$59,"&lt;=2",Raw_Data!$A$2:$A$59,"Yes",Raw_Data!$D$2:$D$59,"ERและเปล",Raw_Data!$E$2:$E$59,"สายสนับสนุนทางการแพทย์")/COUNTIFS(Raw_Data!$L$2:$L$59,"&gt;=1",Raw_Data!$L$2:$L$59,"&lt;=5",Raw_Data!$A$2:$A$59,"Yes",Raw_Data!$D$2:$D$59,"ERและเปล",Raw_Data!$E$2:$E$59,"สายสนับสนุนทางการแพทย์"),"")</f>
        <v>0</v>
      </c>
      <c r="AU9" s="54">
        <f>IFERROR(100*COUNTIFS(Raw_Data!$L$2:$L$59,"&gt;=1",Raw_Data!$L$2:$L$59,"&lt;=2",Raw_Data!$A$2:$A$59,"Yes",Raw_Data!$D$2:$D$59,"ICU",Raw_Data!$E$2:$E$59,"สายสนับสนุนทางการแพทย์")/COUNTIFS(Raw_Data!$L$2:$L$59,"&gt;=1",Raw_Data!$L$2:$L$59,"&lt;=5",Raw_Data!$A$2:$A$59,"Yes",Raw_Data!$D$2:$D$59,"ICU",Raw_Data!$E$2:$E$59,"สายสนับสนุนทางการแพทย์"),"")</f>
        <v>0</v>
      </c>
      <c r="AV9" s="54">
        <f>IFERROR(100*COUNTIFS(Raw_Data!$L$2:$L$59,"&gt;=1",Raw_Data!$L$2:$L$59,"&lt;=2",Raw_Data!$A$2:$A$59,"Yes",Raw_Data!$D$2:$D$59,"IPD",Raw_Data!$E$2:$E$59,"สายสนับสนุนทางการแพทย์")/COUNTIFS(Raw_Data!$L$2:$L$59,"&gt;=1",Raw_Data!$L$2:$L$59,"&lt;=5",Raw_Data!$A$2:$A$59,"Yes",Raw_Data!$D$2:$D$59,"IPD",Raw_Data!$E$2:$E$59,"สายสนับสนุนทางการแพทย์"),"")</f>
        <v>0</v>
      </c>
      <c r="AW9" s="54">
        <f>IFERROR(100*COUNTIFS(Raw_Data!$L$2:$L$59,"&gt;=1",Raw_Data!$L$2:$L$59,"&lt;=2",Raw_Data!$A$2:$A$59,"Yes",Raw_Data!$D$2:$D$59,"IT",Raw_Data!$E$2:$E$59,"สายสนับสนุนทางการแพทย์")/COUNTIFS(Raw_Data!$L$2:$L$59,"&gt;=1",Raw_Data!$L$2:$L$59,"&lt;=5",Raw_Data!$A$2:$A$59,"Yes",Raw_Data!$D$2:$D$59,"IT",Raw_Data!$E$2:$E$59,"สายสนับสนุนทางการแพทย์"),"")</f>
        <v>0</v>
      </c>
    </row>
    <row r="10" spans="1:49" ht="42" customHeight="1">
      <c r="A10" s="50"/>
      <c r="B10" s="51" t="s">
        <v>41</v>
      </c>
      <c r="C10" s="54">
        <f>IFERROR(100*COUNTIFS(Raw_Data!$M$2:$M$59,"&gt;=1",Raw_Data!$M$2:$M$59,"&lt;=2",Raw_Data!$A$2:$A$59,"Yes")/COUNTIFS(Raw_Data!$M$2:$M$59,"&gt;=1",Raw_Data!$M$2:$M$59,"&lt;=5",Raw_Data!$A$2:$A$59,"Yes"),"")</f>
        <v>48.275862068965516</v>
      </c>
      <c r="D10" s="54">
        <f>IFERROR(100*COUNTIFS(Raw_Data!$M$2:$M$59,"&gt;=1",Raw_Data!$M$2:$M$59,"&lt;=2",Raw_Data!$A$2:$A$59,"Yes",Raw_Data!$D$2:$D$59,"การเงิน")/COUNTIFS(Raw_Data!$M$2:$M$59,"&gt;=1",Raw_Data!$M$2:$M$59,"&lt;=5",Raw_Data!$A$2:$A$59,"Yes",Raw_Data!$D$2:$D$59,"การเงิน"),"")</f>
        <v>33.333333333333336</v>
      </c>
      <c r="E10" s="54">
        <f>IFERROR(100*COUNTIFS(Raw_Data!$M$2:$M$59,"&gt;=1",Raw_Data!$M$2:$M$59,"&lt;=2",Raw_Data!$A$2:$A$59,"Yes",Raw_Data!$D$2:$D$59,"เคหรักษ์")/COUNTIFS(Raw_Data!$M$2:$M$59,"&gt;=1",Raw_Data!$M$2:$M$59,"&lt;=5",Raw_Data!$A$2:$A$59,"Yes",Raw_Data!$D$2:$D$59,"เคหรักษ์"),"")</f>
        <v>0</v>
      </c>
      <c r="F10" s="54">
        <f>IFERROR(100*COUNTIFS(Raw_Data!$M$2:$M$59,"&gt;=1",Raw_Data!$M$2:$M$59,"&lt;=2",Raw_Data!$A$2:$A$59,"Yes",Raw_Data!$D$2:$D$59,"จ่ายกลาง")/COUNTIFS(Raw_Data!$M$2:$M$59,"&gt;=1",Raw_Data!$M$2:$M$59,"&lt;=5",Raw_Data!$A$2:$A$59,"Yes",Raw_Data!$D$2:$D$59,"จ่ายกลาง"),"")</f>
        <v>0</v>
      </c>
      <c r="G10" s="54">
        <f>IFERROR(100*COUNTIFS(Raw_Data!$M$2:$M$59,"&gt;=1",Raw_Data!$M$2:$M$59,"&lt;=2",Raw_Data!$A$2:$A$59,"Yes",Raw_Data!$D$2:$D$59,"ช่างและสนาม")/COUNTIFS(Raw_Data!$M$2:$M$59,"&gt;=1",Raw_Data!$M$2:$M$59,"&lt;=5",Raw_Data!$A$2:$A$59,"Yes",Raw_Data!$D$2:$D$59,"ช่างและสนาม"),"")</f>
        <v>50</v>
      </c>
      <c r="H10" s="54">
        <f>IFERROR(100*COUNTIFS(Raw_Data!$M$2:$M$59,"&gt;=1",Raw_Data!$M$2:$M$59,"&lt;=2",Raw_Data!$A$2:$A$59,"Yes",Raw_Data!$D$2:$D$59,"ผู้ป่วยสัมพันธ์")/COUNTIFS(Raw_Data!$M$2:$M$59,"&gt;=1",Raw_Data!$M$2:$M$59,"&lt;=5",Raw_Data!$A$2:$A$59,"Yes",Raw_Data!$D$2:$D$59,"ผู้ป่วยสัมพันธ์"),"")</f>
        <v>75</v>
      </c>
      <c r="I10" s="54">
        <f>IFERROR(100*COUNTIFS(Raw_Data!$M$2:$M$59,"&gt;=1",Raw_Data!$M$2:$M$59,"&lt;=2",Raw_Data!$A$2:$A$59,"Yes",Raw_Data!$D$2:$D$59,"ฝ่ายการพยาบาล")/COUNTIFS(Raw_Data!$M$2:$M$59,"&gt;=1",Raw_Data!$M$2:$M$59,"&lt;=5",Raw_Data!$A$2:$A$59,"Yes",Raw_Data!$D$2:$D$59,"ฝ่ายการพยาบาล"),"")</f>
        <v>50</v>
      </c>
      <c r="J10" s="54">
        <f>IFERROR(100*COUNTIFS(Raw_Data!$M$2:$M$59,"&gt;=1",Raw_Data!$M$2:$M$59,"&lt;=2",Raw_Data!$A$2:$A$59,"Yes",Raw_Data!$D$2:$D$59,"โภชนาการ")/COUNTIFS(Raw_Data!$M$2:$M$59,"&gt;=1",Raw_Data!$M$2:$M$59,"&lt;=5",Raw_Data!$A$2:$A$59,"Yes",Raw_Data!$D$2:$D$59,"โภชนาการ"),"")</f>
        <v>100</v>
      </c>
      <c r="K10" s="54">
        <f>IFERROR(100*COUNTIFS(Raw_Data!$M$2:$M$59,"&gt;=1",Raw_Data!$M$2:$M$59,"&lt;=2",Raw_Data!$A$2:$A$59,"Yes",Raw_Data!$D$2:$D$59,"ยานพาหนะ")/COUNTIFS(Raw_Data!$M$2:$M$59,"&gt;=1",Raw_Data!$M$2:$M$59,"&lt;=5",Raw_Data!$A$2:$A$59,"Yes",Raw_Data!$D$2:$D$59,"ยานพาหนะ"),"")</f>
        <v>100</v>
      </c>
      <c r="L10" s="54">
        <f>IFERROR(100*COUNTIFS(Raw_Data!$M$2:$M$59,"&gt;=1",Raw_Data!$M$2:$M$59,"&lt;=2",Raw_Data!$A$2:$A$59,"Yes",Raw_Data!$D$2:$D$59,"สื่อสารการตลาด")/COUNTIFS(Raw_Data!$M$2:$M$59,"&gt;=1",Raw_Data!$M$2:$M$59,"&lt;=5",Raw_Data!$A$2:$A$59,"Yes",Raw_Data!$D$2:$D$59,"สื่อสารการตลาด"),"")</f>
        <v>100</v>
      </c>
      <c r="M10" s="54">
        <f>IFERROR(100*COUNTIFS(Raw_Data!$M$2:$M$59,"&gt;=1",Raw_Data!$M$2:$M$59,"&lt;=2",Raw_Data!$A$2:$A$59,"Yes",Raw_Data!$D$2:$D$59,"ห้องยา")/COUNTIFS(Raw_Data!$M$2:$M$59,"&gt;=1",Raw_Data!$M$2:$M$59,"&lt;=5",Raw_Data!$A$2:$A$59,"Yes",Raw_Data!$D$2:$D$59,"ห้องยา"),"")</f>
        <v>66.666666666666671</v>
      </c>
      <c r="N10" s="54">
        <f>IFERROR(100*COUNTIFS(Raw_Data!$M$2:$M$59,"&gt;=1",Raw_Data!$M$2:$M$59,"&lt;=2",Raw_Data!$A$2:$A$59,"Yes",Raw_Data!$D$2:$D$59,"ห้องแลป")/COUNTIFS(Raw_Data!$M$2:$M$59,"&gt;=1",Raw_Data!$M$2:$M$59,"&lt;=5",Raw_Data!$A$2:$A$59,"Yes",Raw_Data!$D$2:$D$59,"ห้องแลป"),"")</f>
        <v>0</v>
      </c>
      <c r="O10" s="54">
        <f>IFERROR(100*COUNTIFS(Raw_Data!$M$2:$M$59,"&gt;=1",Raw_Data!$M$2:$M$59,"&lt;=2",Raw_Data!$A$2:$A$59,"Yes",Raw_Data!$D$2:$D$59,"ห้องเอ็กซเรย์")/COUNTIFS(Raw_Data!$M$2:$M$59,"&gt;=1",Raw_Data!$M$2:$M$59,"&lt;=5",Raw_Data!$A$2:$A$59,"Yes",Raw_Data!$D$2:$D$59,"ห้องเอ็กซเรย์"),"")</f>
        <v>100</v>
      </c>
      <c r="P10" s="54">
        <f>IFERROR(100*COUNTIFS(Raw_Data!$M$2:$M$59,"&gt;=1",Raw_Data!$M$2:$M$59,"&lt;=2",Raw_Data!$A$2:$A$59,"Yes",Raw_Data!$D$2:$D$59,"ERและเปล")/COUNTIFS(Raw_Data!$M$2:$M$59,"&gt;=1",Raw_Data!$M$2:$M$59,"&lt;=5",Raw_Data!$A$2:$A$59,"Yes",Raw_Data!$D$2:$D$59,"ERและเปล"),"")</f>
        <v>27.272727272727273</v>
      </c>
      <c r="Q10" s="54">
        <f>IFERROR(100*COUNTIFS(Raw_Data!$M$2:$M$59,"&gt;=1",Raw_Data!$M$2:$M$59,"&lt;=2",Raw_Data!$A$2:$A$59,"Yes",Raw_Data!$D$2:$D$59,"HR")/COUNTIFS(Raw_Data!$M$2:$M$59,"&gt;=1",Raw_Data!$M$2:$M$59,"&lt;=5",Raw_Data!$A$2:$A$59,"Yes",Raw_Data!$D$2:$D$59,"HR"),"")</f>
        <v>0</v>
      </c>
      <c r="R10" s="54">
        <f>IFERROR(100*COUNTIFS(Raw_Data!$M$2:$M$59,"&gt;=1",Raw_Data!$M$2:$M$59,"&lt;=2",Raw_Data!$A$2:$A$59,"Yes",Raw_Data!$D$2:$D$59,"ICU")/COUNTIFS(Raw_Data!$M$2:$M$59,"&gt;=1",Raw_Data!$M$2:$M$59,"&lt;=5",Raw_Data!$A$2:$A$59,"Yes",Raw_Data!$D$2:$D$59,"ICU"),"")</f>
        <v>100</v>
      </c>
      <c r="S10" s="54">
        <f>IFERROR(100*COUNTIFS(Raw_Data!$M$2:$M$59,"&gt;=1",Raw_Data!$M$2:$M$59,"&lt;=2",Raw_Data!$A$2:$A$59,"Yes",Raw_Data!$D$2:$D$59,"IPD")/COUNTIFS(Raw_Data!$M$2:$M$59,"&gt;=1",Raw_Data!$M$2:$M$59,"&lt;=5",Raw_Data!$A$2:$A$59,"Yes",Raw_Data!$D$2:$D$59,"IPD"),"")</f>
        <v>33.333333333333336</v>
      </c>
      <c r="T10" s="54">
        <f>IFERROR(100*COUNTIFS(Raw_Data!$M$2:$M$59,"&gt;=1",Raw_Data!$M$2:$M$59,"&lt;=2",Raw_Data!$A$2:$A$59,"Yes",Raw_Data!$D$2:$D$59,"IT")/COUNTIFS(Raw_Data!$M$2:$M$59,"&gt;=1",Raw_Data!$M$2:$M$59,"&lt;=5",Raw_Data!$A$2:$A$59,"Yes",Raw_Data!$D$2:$D$59,"IT"),"")</f>
        <v>50</v>
      </c>
      <c r="U10" s="54">
        <f>IFERROR(100*COUNTIFS(Raw_Data!$M$2:$M$59,"&gt;=1",Raw_Data!$M$2:$M$59,"&lt;=2",Raw_Data!$A$2:$A$59,"Yes",Raw_Data!$D$2:$D$59,"OR")/COUNTIFS(Raw_Data!$M$2:$M$59,"&gt;=1",Raw_Data!$M$2:$M$59,"&lt;=5",Raw_Data!$A$2:$A$59,"Yes",Raw_Data!$D$2:$D$59,"OR"),"")</f>
        <v>25</v>
      </c>
      <c r="V10" s="54">
        <f>IFERROR(100*COUNTIFS(Raw_Data!$M$2:$M$59,"&gt;=1",Raw_Data!$M$2:$M$59,"&lt;=2",Raw_Data!$A$2:$A$59,"Yes",Raw_Data!$D$2:$D$59,"IPD",Raw_Data!$E$2:$E$59,"ผู้บริหาร")/COUNTIFS(Raw_Data!$M$2:$M$59,"&gt;=1",Raw_Data!$M$2:$M$59,"&lt;=5",Raw_Data!$A$2:$A$59,"Yes",Raw_Data!$D$2:$D$59,"IPD",Raw_Data!$E$2:$E$59,"ผู้บริหาร"),"")</f>
        <v>0</v>
      </c>
      <c r="W10" s="54">
        <f>IFERROR(100*COUNTIFS(Raw_Data!$M$2:$M$59,"&gt;=1",Raw_Data!$M$2:$M$59,"&lt;=2",Raw_Data!$A$2:$A$59,"Yes",Raw_Data!$D$2:$D$59,"ฝ่ายการพยาบาล",Raw_Data!$E$2:$E$59,"สายวิชาชีพสาธารณสุข")/COUNTIFS(Raw_Data!$M$2:$M$59,"&gt;=1",Raw_Data!$M$2:$M$59,"&lt;=5",Raw_Data!$A$2:$A$59,"Yes",Raw_Data!$D$2:$D$59,"ฝ่ายการพยาบาล",Raw_Data!$E$2:$E$59,"สายวิชาชีพสาธารณสุข"),"")</f>
        <v>0</v>
      </c>
      <c r="X10" s="54">
        <f>IFERROR(100*COUNTIFS(Raw_Data!$M$2:$M$59,"&gt;=1",Raw_Data!$M$2:$M$59,"&lt;=2",Raw_Data!$A$2:$A$59,"Yes",Raw_Data!$D$2:$D$59,"ERและเปล",Raw_Data!$E$2:$E$59,"สายวิชาชีพสาธารณสุข")/COUNTIFS(Raw_Data!$M$2:$M$59,"&gt;=1",Raw_Data!$M$2:$M$59,"&lt;=5",Raw_Data!$A$2:$A$59,"Yes",Raw_Data!$D$2:$D$59,"ERและเปล",Raw_Data!$E$2:$E$59,"สายวิชาชีพสาธารณสุข"),"")</f>
        <v>14.285714285714286</v>
      </c>
      <c r="Y10" s="54">
        <f>IFERROR(100*COUNTIFS(Raw_Data!$M$2:$M$59,"&gt;=1",Raw_Data!$M$2:$M$59,"&lt;=2",Raw_Data!$A$2:$A$59,"Yes",Raw_Data!$D$2:$D$59,"ICU",Raw_Data!$E$2:$E$59,"สายวิชาชีพสาธารณสุข")/COUNTIFS(Raw_Data!$M$2:$M$59,"&gt;=1",Raw_Data!$M$2:$M$59,"&lt;=5",Raw_Data!$A$2:$A$59,"Yes",Raw_Data!$D$2:$D$59,"ICU",Raw_Data!$E$2:$E$59,"สายวิชาชีพสาธารณสุข"),"")</f>
        <v>100</v>
      </c>
      <c r="Z10" s="54">
        <f>IFERROR(100*COUNTIFS(Raw_Data!$M$2:$M$59,"&gt;=1",Raw_Data!$M$2:$M$59,"&lt;=2",Raw_Data!$A$2:$A$59,"Yes",Raw_Data!$D$2:$D$59,"IPD",Raw_Data!$E$2:$E$59,"สายวิชาชีพสาธารณสุข")/COUNTIFS(Raw_Data!$M$2:$M$59,"&gt;=1",Raw_Data!$M$2:$M$59,"&lt;=5",Raw_Data!$A$2:$A$59,"Yes",Raw_Data!$D$2:$D$59,"IPD",Raw_Data!$E$2:$E$59,"สายวิชาชีพสาธารณสุข"),"")</f>
        <v>100</v>
      </c>
      <c r="AA10" s="54">
        <f>IFERROR(100*COUNTIFS(Raw_Data!$M$2:$M$59,"&gt;=1",Raw_Data!$M$2:$M$59,"&lt;=2",Raw_Data!$A$2:$A$59,"Yes",Raw_Data!$D$2:$D$59,"OR",Raw_Data!$E$2:$E$59,"สายวิชาชีพสาธารณสุข")/COUNTIFS(Raw_Data!$M$2:$M$59,"&gt;=1",Raw_Data!$M$2:$M$59,"&lt;=5",Raw_Data!$A$2:$A$59,"Yes",Raw_Data!$D$2:$D$59,"OR",Raw_Data!$E$2:$E$59,"สายวิชาชีพสาธารณสุข"),"")</f>
        <v>25</v>
      </c>
      <c r="AB10" s="54">
        <f>IFERROR(100*COUNTIFS(Raw_Data!$M$2:$M$59,"&gt;=1",Raw_Data!$M$2:$M$59,"&lt;=2",Raw_Data!$A$2:$A$59,"Yes",Raw_Data!$D$2:$D$59,"การเงิน",Raw_Data!$E$2:$E$59,"สายสนับสนุนทั่วไป")/COUNTIFS(Raw_Data!$M$2:$M$59,"&gt;=1",Raw_Data!$M$2:$M$59,"&lt;=5",Raw_Data!$A$2:$A$59,"Yes",Raw_Data!$D$2:$D$59,"การเงิน",Raw_Data!$E$2:$E$59,"สายสนับสนุนทั่วไป"),"")</f>
        <v>33.333333333333336</v>
      </c>
      <c r="AC10" s="54">
        <f>IFERROR(100*COUNTIFS(Raw_Data!$M$2:$M$59,"&gt;=1",Raw_Data!$M$2:$M$59,"&lt;=2",Raw_Data!$A$2:$A$59,"Yes",Raw_Data!$D$2:$D$59,"เคหรักษ์",Raw_Data!$E$2:$E$59,"สายสนับสนุนทั่วไป")/COUNTIFS(Raw_Data!$M$2:$M$59,"&gt;=1",Raw_Data!$M$2:$M$59,"&lt;=5",Raw_Data!$A$2:$A$59,"Yes",Raw_Data!$D$2:$D$59,"เคหรักษ์",Raw_Data!$E$2:$E$59,"สายสนับสนุนทั่วไป"),"")</f>
        <v>0</v>
      </c>
      <c r="AD10" s="54">
        <f>IFERROR(100*COUNTIFS(Raw_Data!$M$2:$M$59,"&gt;=1",Raw_Data!$M$2:$M$59,"&lt;=2",Raw_Data!$A$2:$A$59,"Yes",Raw_Data!$D$2:$D$59,"จ่ายกลาง",Raw_Data!$E$2:$E$59,"สายสนับสนุนทั่วไป")/COUNTIFS(Raw_Data!$M$2:$M$59,"&gt;=1",Raw_Data!$M$2:$M$59,"&lt;=5",Raw_Data!$A$2:$A$59,"Yes",Raw_Data!$D$2:$D$59,"จ่ายกลาง",Raw_Data!$E$2:$E$59,"สายสนับสนุนทั่วไป"),"")</f>
        <v>0</v>
      </c>
      <c r="AE10" s="54">
        <f>IFERROR(100*COUNTIFS(Raw_Data!$M$2:$M$59,"&gt;=1",Raw_Data!$M$2:$M$59,"&lt;=2",Raw_Data!$A$2:$A$59,"Yes",Raw_Data!$D$2:$D$59,"ช่างและสนาม",Raw_Data!$E$2:$E$59,"สายสนับสนุนทั่วไป")/COUNTIFS(Raw_Data!$M$2:$M$59,"&gt;=1",Raw_Data!$M$2:$M$59,"&lt;=5",Raw_Data!$A$2:$A$59,"Yes",Raw_Data!$D$2:$D$59,"ช่างและสนาม",Raw_Data!$E$2:$E$59,"สายสนับสนุนทั่วไป"),"")</f>
        <v>50</v>
      </c>
      <c r="AF10" s="54">
        <f>IFERROR(100*COUNTIFS(Raw_Data!$M$2:$M$59,"&gt;=1",Raw_Data!$M$2:$M$59,"&lt;=2",Raw_Data!$A$2:$A$59,"Yes",Raw_Data!$D$2:$D$59,"ผู้ป่วยสัมพันธ์",Raw_Data!$E$2:$E$59,"สายสนับสนุนทั่วไป")/COUNTIFS(Raw_Data!$M$2:$M$59,"&gt;=1",Raw_Data!$M$2:$M$59,"&lt;=5",Raw_Data!$A$2:$A$59,"Yes",Raw_Data!$D$2:$D$59,"ผู้ป่วยสัมพันธ์",Raw_Data!$E$2:$E$59,"สายสนับสนุนทั่วไป"),"")</f>
        <v>100</v>
      </c>
      <c r="AG10" s="54">
        <f>IFERROR(100*COUNTIFS(Raw_Data!$M$2:$M$59,"&gt;=1",Raw_Data!$M$2:$M$59,"&lt;=2",Raw_Data!$A$2:$A$59,"Yes",Raw_Data!$D$2:$D$59,"ยานพาหนะ",Raw_Data!$E$2:$E$59,"สายสนับสนุนทั่วไป")/COUNTIFS(Raw_Data!$M$2:$M$59,"&gt;=1",Raw_Data!$M$2:$M$59,"&lt;=5",Raw_Data!$A$2:$A$59,"Yes",Raw_Data!$D$2:$D$59,"ยานพาหนะ",Raw_Data!$E$2:$E$59,"สายสนับสนุนทั่วไป"),"")</f>
        <v>100</v>
      </c>
      <c r="AH10" s="54">
        <f>IFERROR(100*COUNTIFS(Raw_Data!$M$2:$M$59,"&gt;=1",Raw_Data!$M$2:$M$59,"&lt;=2",Raw_Data!$A$2:$A$59,"Yes",Raw_Data!$D$2:$D$59,"สื่อสารการตลาด",Raw_Data!$E$2:$E$59,"สายสนับสนุนทั่วไป")/COUNTIFS(Raw_Data!$M$2:$M$59,"&gt;=1",Raw_Data!$M$2:$M$59,"&lt;=5",Raw_Data!$A$2:$A$59,"Yes",Raw_Data!$D$2:$D$59,"สื่อสารการตลาด",Raw_Data!$E$2:$E$59,"สายสนับสนุนทั่วไป"),"")</f>
        <v>100</v>
      </c>
      <c r="AI10" s="54">
        <f>IFERROR(100*COUNTIFS(Raw_Data!$M$2:$M$59,"&gt;=1",Raw_Data!$M$2:$M$59,"&lt;=2",Raw_Data!$A$2:$A$59,"Yes",Raw_Data!$D$2:$D$59,"ERและเปล",Raw_Data!$E$2:$E$59,"สายสนับสนุนทั่วไป")/COUNTIFS(Raw_Data!$M$2:$M$59,"&gt;=1",Raw_Data!$M$2:$M$59,"&lt;=5",Raw_Data!$A$2:$A$59,"Yes",Raw_Data!$D$2:$D$59,"ERและเปล",Raw_Data!$E$2:$E$59,"สายสนับสนุนทั่วไป"),"")</f>
        <v>66.666666666666671</v>
      </c>
      <c r="AJ10" s="54">
        <f>IFERROR(100*COUNTIFS(Raw_Data!$M$2:$M$59,"&gt;=1",Raw_Data!$M$2:$M$59,"&lt;=2",Raw_Data!$A$2:$A$59,"Yes",Raw_Data!$D$2:$D$59,"HR",Raw_Data!$E$2:$E$59,"สายสนับสนุนทั่วไป")/COUNTIFS(Raw_Data!$M$2:$M$59,"&gt;=1",Raw_Data!$M$2:$M$59,"&lt;=5",Raw_Data!$A$2:$A$59,"Yes",Raw_Data!$D$2:$D$59,"HR",Raw_Data!$E$2:$E$59,"สายสนับสนุนทั่วไป"),"")</f>
        <v>0</v>
      </c>
      <c r="AK10" s="54">
        <f>IFERROR(100*COUNTIFS(Raw_Data!$M$2:$M$59,"&gt;=1",Raw_Data!$M$2:$M$59,"&lt;=2",Raw_Data!$A$2:$A$59,"Yes",Raw_Data!$D$2:$D$59,"ICU",Raw_Data!$E$2:$E$59,"สายสนับสนุนทั่วไป")/COUNTIFS(Raw_Data!$M$2:$M$59,"&gt;=1",Raw_Data!$M$2:$M$59,"&lt;=5",Raw_Data!$A$2:$A$59,"Yes",Raw_Data!$D$2:$D$59,"ICU",Raw_Data!$E$2:$E$59,"สายสนับสนุนทั่วไป"),"")</f>
        <v>100</v>
      </c>
      <c r="AL10" s="54">
        <f>IFERROR(100*COUNTIFS(Raw_Data!$M$2:$M$59,"&gt;=1",Raw_Data!$M$2:$M$59,"&lt;=2",Raw_Data!$A$2:$A$59,"Yes",Raw_Data!$D$2:$D$59,"IPD",Raw_Data!$E$2:$E$59,"สายสนับสนุนทั่วไป")/COUNTIFS(Raw_Data!$M$2:$M$59,"&gt;=1",Raw_Data!$M$2:$M$59,"&lt;=5",Raw_Data!$A$2:$A$59,"Yes",Raw_Data!$D$2:$D$59,"IPD",Raw_Data!$E$2:$E$59,"สายสนับสนุนทั่วไป"),"")</f>
        <v>0</v>
      </c>
      <c r="AM10" s="54">
        <f>IFERROR(100*COUNTIFS(Raw_Data!$M$2:$M$59,"&gt;=1",Raw_Data!$M$2:$M$59,"&lt;=2",Raw_Data!$A$2:$A$59,"Yes",Raw_Data!$D$2:$D$59,"IT",Raw_Data!$E$2:$E$59,"สายสนับสนุนทั่วไป")/COUNTIFS(Raw_Data!$M$2:$M$59,"&gt;=1",Raw_Data!$M$2:$M$59,"&lt;=5",Raw_Data!$A$2:$A$59,"Yes",Raw_Data!$D$2:$D$59,"IT",Raw_Data!$E$2:$E$59,"สายสนับสนุนทั่วไป"),"")</f>
        <v>100</v>
      </c>
      <c r="AN10" s="54">
        <f>IFERROR(100*COUNTIFS(Raw_Data!$M$2:$M$59,"&gt;=1",Raw_Data!$M$2:$M$59,"&lt;=2",Raw_Data!$A$2:$A$59,"Yes",Raw_Data!$D$2:$D$59,"ผู้ป่วยสัมพันธ์",Raw_Data!$E$2:$E$59,"สายสนับสนุนทางการแพทย์")/COUNTIFS(Raw_Data!$M$2:$M$59,"&gt;=1",Raw_Data!$M$2:$M$59,"&lt;=5",Raw_Data!$A$2:$A$59,"Yes",Raw_Data!$D$2:$D$59,"ผู้ป่วยสัมพันธ์",Raw_Data!$E$2:$E$59,"สายสนับสนุนทางการแพทย์"),"")</f>
        <v>66.666666666666671</v>
      </c>
      <c r="AO10" s="54">
        <f>IFERROR(100*COUNTIFS(Raw_Data!$M$2:$M$59,"&gt;=1",Raw_Data!$M$2:$M$59,"&lt;=2",Raw_Data!$A$2:$A$59,"Yes",Raw_Data!$D$2:$D$59,"ฝ่ายการพยาบาล",Raw_Data!$E$2:$E$59,"สายสนับสนุนทางการแพทย์")/COUNTIFS(Raw_Data!$M$2:$M$59,"&gt;=1",Raw_Data!$M$2:$M$59,"&lt;=5",Raw_Data!$A$2:$A$59,"Yes",Raw_Data!$D$2:$D$59,"ฝ่ายการพยาบาล",Raw_Data!$E$2:$E$59,"สายสนับสนุนทางการแพทย์"),"")</f>
        <v>100</v>
      </c>
      <c r="AP10" s="54">
        <f>IFERROR(100*COUNTIFS(Raw_Data!$M$2:$M$59,"&gt;=1",Raw_Data!$M$2:$M$59,"&lt;=2",Raw_Data!$A$2:$A$59,"Yes",Raw_Data!$D$2:$D$59,"โภชนาการ",Raw_Data!$E$2:$E$59,"สายสนับสนุนทางการแพทย์")/COUNTIFS(Raw_Data!$M$2:$M$59,"&gt;=1",Raw_Data!$M$2:$M$59,"&lt;=5",Raw_Data!$A$2:$A$59,"Yes",Raw_Data!$D$2:$D$59,"โภชนาการ",Raw_Data!$E$2:$E$59,"สายสนับสนุนทางการแพทย์"),"")</f>
        <v>100</v>
      </c>
      <c r="AQ10" s="54">
        <f>IFERROR(100*COUNTIFS(Raw_Data!$M$2:$M$59,"&gt;=1",Raw_Data!$M$2:$M$59,"&lt;=2",Raw_Data!$A$2:$A$59,"Yes",Raw_Data!$D$2:$D$59,"ห้องยา",Raw_Data!$E$2:$E$59,"สายสนับสนุนทางการแพทย์")/COUNTIFS(Raw_Data!$M$2:$M$59,"&gt;=1",Raw_Data!$M$2:$M$59,"&lt;=5",Raw_Data!$A$2:$A$59,"Yes",Raw_Data!$D$2:$D$59,"ห้องยา",Raw_Data!$E$2:$E$59,"สายสนับสนุนทางการแพทย์"),"")</f>
        <v>66.666666666666671</v>
      </c>
      <c r="AR10" s="54">
        <f>IFERROR(100*COUNTIFS(Raw_Data!$M$2:$M$59,"&gt;=1",Raw_Data!$M$2:$M$59,"&lt;=2",Raw_Data!$A$2:$A$59,"Yes",Raw_Data!$D$2:$D$59,"ห้องแลป",Raw_Data!$E$2:$E$59,"สายสนับสนุนทางการแพทย์")/COUNTIFS(Raw_Data!$M$2:$M$59,"&gt;=1",Raw_Data!$M$2:$M$59,"&lt;=5",Raw_Data!$A$2:$A$59,"Yes",Raw_Data!$D$2:$D$59,"ห้องแลป",Raw_Data!$E$2:$E$59,"สายสนับสนุนทางการแพทย์"),"")</f>
        <v>0</v>
      </c>
      <c r="AS10" s="54">
        <f>IFERROR(100*COUNTIFS(Raw_Data!$M$2:$M$59,"&gt;=1",Raw_Data!$M$2:$M$59,"&lt;=2",Raw_Data!$A$2:$A$59,"Yes",Raw_Data!$D$2:$D$59,"ห้องเอ็กซเรย์",Raw_Data!$E$2:$E$59,"สายสนับสนุนทางการแพทย์")/COUNTIFS(Raw_Data!$M$2:$M$59,"&gt;=1",Raw_Data!$M$2:$M$59,"&lt;=5",Raw_Data!$A$2:$A$59,"Yes",Raw_Data!$D$2:$D$59,"ห้องเอ็กซเรย์",Raw_Data!$E$2:$E$59,"สายสนับสนุนทางการแพทย์"),"")</f>
        <v>100</v>
      </c>
      <c r="AT10" s="54">
        <f>IFERROR(100*COUNTIFS(Raw_Data!$M$2:$M$59,"&gt;=1",Raw_Data!$M$2:$M$59,"&lt;=2",Raw_Data!$A$2:$A$59,"Yes",Raw_Data!$D$2:$D$59,"ERและเปล",Raw_Data!$E$2:$E$59,"สายสนับสนุนทางการแพทย์")/COUNTIFS(Raw_Data!$M$2:$M$59,"&gt;=1",Raw_Data!$M$2:$M$59,"&lt;=5",Raw_Data!$A$2:$A$59,"Yes",Raw_Data!$D$2:$D$59,"ERและเปล",Raw_Data!$E$2:$E$59,"สายสนับสนุนทางการแพทย์"),"")</f>
        <v>0</v>
      </c>
      <c r="AU10" s="54">
        <f>IFERROR(100*COUNTIFS(Raw_Data!$M$2:$M$59,"&gt;=1",Raw_Data!$M$2:$M$59,"&lt;=2",Raw_Data!$A$2:$A$59,"Yes",Raw_Data!$D$2:$D$59,"ICU",Raw_Data!$E$2:$E$59,"สายสนับสนุนทางการแพทย์")/COUNTIFS(Raw_Data!$M$2:$M$59,"&gt;=1",Raw_Data!$M$2:$M$59,"&lt;=5",Raw_Data!$A$2:$A$59,"Yes",Raw_Data!$D$2:$D$59,"ICU",Raw_Data!$E$2:$E$59,"สายสนับสนุนทางการแพทย์"),"")</f>
        <v>100</v>
      </c>
      <c r="AV10" s="54">
        <f>IFERROR(100*COUNTIFS(Raw_Data!$M$2:$M$59,"&gt;=1",Raw_Data!$M$2:$M$59,"&lt;=2",Raw_Data!$A$2:$A$59,"Yes",Raw_Data!$D$2:$D$59,"IPD",Raw_Data!$E$2:$E$59,"สายสนับสนุนทางการแพทย์")/COUNTIFS(Raw_Data!$M$2:$M$59,"&gt;=1",Raw_Data!$M$2:$M$59,"&lt;=5",Raw_Data!$A$2:$A$59,"Yes",Raw_Data!$D$2:$D$59,"IPD",Raw_Data!$E$2:$E$59,"สายสนับสนุนทางการแพทย์"),"")</f>
        <v>0</v>
      </c>
      <c r="AW10" s="54">
        <f>IFERROR(100*COUNTIFS(Raw_Data!$M$2:$M$59,"&gt;=1",Raw_Data!$M$2:$M$59,"&lt;=2",Raw_Data!$A$2:$A$59,"Yes",Raw_Data!$D$2:$D$59,"IT",Raw_Data!$E$2:$E$59,"สายสนับสนุนทางการแพทย์")/COUNTIFS(Raw_Data!$M$2:$M$59,"&gt;=1",Raw_Data!$M$2:$M$59,"&lt;=5",Raw_Data!$A$2:$A$59,"Yes",Raw_Data!$D$2:$D$59,"IT",Raw_Data!$E$2:$E$59,"สายสนับสนุนทางการแพทย์"),"")</f>
        <v>0</v>
      </c>
    </row>
    <row r="11" spans="1:49" ht="42" customHeight="1">
      <c r="A11" s="50" t="s">
        <v>12</v>
      </c>
      <c r="B11" s="51" t="s">
        <v>34</v>
      </c>
      <c r="C11" s="54">
        <f>IFERROR(100*COUNTIFS(Raw_Data!$N$2:$N$59,"&gt;=4",Raw_Data!$N$2:$N$59,"&lt;=5",Raw_Data!$A$2:$A$59,"Yes")/COUNTIFS(Raw_Data!$N$2:$N$59,"&gt;=1",Raw_Data!$N$2:$N$59,"&lt;=5",Raw_Data!$A$2:$A$59,"Yes"),"")</f>
        <v>67.241379310344826</v>
      </c>
      <c r="D11" s="54">
        <f>IFERROR(100*COUNTIFS(Raw_Data!$N$2:$N$59,"&gt;=4",Raw_Data!$N$2:$N$59,"&lt;=5",Raw_Data!$A$2:$A$59,"Yes",Raw_Data!$D$2:$D$59,"การเงิน")/COUNTIFS(Raw_Data!$N$2:$N$59,"&gt;=1",Raw_Data!$N$2:$N$59,"&lt;=5",Raw_Data!$A$2:$A$59,"Yes",Raw_Data!$D$2:$D$59,"การเงิน"),"")</f>
        <v>66.666666666666671</v>
      </c>
      <c r="E11" s="54">
        <f>IFERROR(100*COUNTIFS(Raw_Data!$N$2:$N$59,"&gt;=4",Raw_Data!$N$2:$N$59,"&lt;=5",Raw_Data!$A$2:$A$59,"Yes",Raw_Data!$D$2:$D$59,"เคหรักษ์")/COUNTIFS(Raw_Data!$N$2:$N$59,"&gt;=1",Raw_Data!$N$2:$N$59,"&lt;=5",Raw_Data!$A$2:$A$59,"Yes",Raw_Data!$D$2:$D$59,"เคหรักษ์"),"")</f>
        <v>0</v>
      </c>
      <c r="F11" s="54">
        <f>IFERROR(100*COUNTIFS(Raw_Data!$N$2:$N$59,"&gt;=4",Raw_Data!$N$2:$N$59,"&lt;=5",Raw_Data!$A$2:$A$59,"Yes",Raw_Data!$D$2:$D$59,"จ่ายกลาง")/COUNTIFS(Raw_Data!$N$2:$N$59,"&gt;=1",Raw_Data!$N$2:$N$59,"&lt;=5",Raw_Data!$A$2:$A$59,"Yes",Raw_Data!$D$2:$D$59,"จ่ายกลาง"),"")</f>
        <v>100</v>
      </c>
      <c r="G11" s="54">
        <f>IFERROR(100*COUNTIFS(Raw_Data!$N$2:$N$59,"&gt;=4",Raw_Data!$N$2:$N$59,"&lt;=5",Raw_Data!$A$2:$A$59,"Yes",Raw_Data!$D$2:$D$59,"ช่างและสนาม")/COUNTIFS(Raw_Data!$N$2:$N$59,"&gt;=1",Raw_Data!$N$2:$N$59,"&lt;=5",Raw_Data!$A$2:$A$59,"Yes",Raw_Data!$D$2:$D$59,"ช่างและสนาม"),"")</f>
        <v>75</v>
      </c>
      <c r="H11" s="54">
        <f>IFERROR(100*COUNTIFS(Raw_Data!$N$2:$N$59,"&gt;=4",Raw_Data!$N$2:$N$59,"&lt;=5",Raw_Data!$A$2:$A$59,"Yes",Raw_Data!$D$2:$D$59,"ผู้ป่วยสัมพันธ์")/COUNTIFS(Raw_Data!$N$2:$N$59,"&gt;=1",Raw_Data!$N$2:$N$59,"&lt;=5",Raw_Data!$A$2:$A$59,"Yes",Raw_Data!$D$2:$D$59,"ผู้ป่วยสัมพันธ์"),"")</f>
        <v>50</v>
      </c>
      <c r="I11" s="54">
        <f>IFERROR(100*COUNTIFS(Raw_Data!$N$2:$N$59,"&gt;=4",Raw_Data!$N$2:$N$59,"&lt;=5",Raw_Data!$A$2:$A$59,"Yes",Raw_Data!$D$2:$D$59,"ฝ่ายการพยาบาล")/COUNTIFS(Raw_Data!$N$2:$N$59,"&gt;=1",Raw_Data!$N$2:$N$59,"&lt;=5",Raw_Data!$A$2:$A$59,"Yes",Raw_Data!$D$2:$D$59,"ฝ่ายการพยาบาล"),"")</f>
        <v>50</v>
      </c>
      <c r="J11" s="54">
        <f>IFERROR(100*COUNTIFS(Raw_Data!$N$2:$N$59,"&gt;=4",Raw_Data!$N$2:$N$59,"&lt;=5",Raw_Data!$A$2:$A$59,"Yes",Raw_Data!$D$2:$D$59,"โภชนาการ")/COUNTIFS(Raw_Data!$N$2:$N$59,"&gt;=1",Raw_Data!$N$2:$N$59,"&lt;=5",Raw_Data!$A$2:$A$59,"Yes",Raw_Data!$D$2:$D$59,"โภชนาการ"),"")</f>
        <v>100</v>
      </c>
      <c r="K11" s="54">
        <f>IFERROR(100*COUNTIFS(Raw_Data!$N$2:$N$59,"&gt;=4",Raw_Data!$N$2:$N$59,"&lt;=5",Raw_Data!$A$2:$A$59,"Yes",Raw_Data!$D$2:$D$59,"ยานพาหนะ")/COUNTIFS(Raw_Data!$N$2:$N$59,"&gt;=1",Raw_Data!$N$2:$N$59,"&lt;=5",Raw_Data!$A$2:$A$59,"Yes",Raw_Data!$D$2:$D$59,"ยานพาหนะ"),"")</f>
        <v>100</v>
      </c>
      <c r="L11" s="54">
        <f>IFERROR(100*COUNTIFS(Raw_Data!$N$2:$N$59,"&gt;=4",Raw_Data!$N$2:$N$59,"&lt;=5",Raw_Data!$A$2:$A$59,"Yes",Raw_Data!$D$2:$D$59,"สื่อสารการตลาด")/COUNTIFS(Raw_Data!$N$2:$N$59,"&gt;=1",Raw_Data!$N$2:$N$59,"&lt;=5",Raw_Data!$A$2:$A$59,"Yes",Raw_Data!$D$2:$D$59,"สื่อสารการตลาด"),"")</f>
        <v>0</v>
      </c>
      <c r="M11" s="54">
        <f>IFERROR(100*COUNTIFS(Raw_Data!$N$2:$N$59,"&gt;=4",Raw_Data!$N$2:$N$59,"&lt;=5",Raw_Data!$A$2:$A$59,"Yes",Raw_Data!$D$2:$D$59,"ห้องยา")/COUNTIFS(Raw_Data!$N$2:$N$59,"&gt;=1",Raw_Data!$N$2:$N$59,"&lt;=5",Raw_Data!$A$2:$A$59,"Yes",Raw_Data!$D$2:$D$59,"ห้องยา"),"")</f>
        <v>100</v>
      </c>
      <c r="N11" s="54">
        <f>IFERROR(100*COUNTIFS(Raw_Data!$N$2:$N$59,"&gt;=4",Raw_Data!$N$2:$N$59,"&lt;=5",Raw_Data!$A$2:$A$59,"Yes",Raw_Data!$D$2:$D$59,"ห้องแลป")/COUNTIFS(Raw_Data!$N$2:$N$59,"&gt;=1",Raw_Data!$N$2:$N$59,"&lt;=5",Raw_Data!$A$2:$A$59,"Yes",Raw_Data!$D$2:$D$59,"ห้องแลป"),"")</f>
        <v>100</v>
      </c>
      <c r="O11" s="54">
        <f>IFERROR(100*COUNTIFS(Raw_Data!$N$2:$N$59,"&gt;=4",Raw_Data!$N$2:$N$59,"&lt;=5",Raw_Data!$A$2:$A$59,"Yes",Raw_Data!$D$2:$D$59,"ห้องเอ็กซเรย์")/COUNTIFS(Raw_Data!$N$2:$N$59,"&gt;=1",Raw_Data!$N$2:$N$59,"&lt;=5",Raw_Data!$A$2:$A$59,"Yes",Raw_Data!$D$2:$D$59,"ห้องเอ็กซเรย์"),"")</f>
        <v>66.666666666666671</v>
      </c>
      <c r="P11" s="54">
        <f>IFERROR(100*COUNTIFS(Raw_Data!$N$2:$N$59,"&gt;=4",Raw_Data!$N$2:$N$59,"&lt;=5",Raw_Data!$A$2:$A$59,"Yes",Raw_Data!$D$2:$D$59,"ERและเปล")/COUNTIFS(Raw_Data!$N$2:$N$59,"&gt;=1",Raw_Data!$N$2:$N$59,"&lt;=5",Raw_Data!$A$2:$A$59,"Yes",Raw_Data!$D$2:$D$59,"ERและเปล"),"")</f>
        <v>36.363636363636367</v>
      </c>
      <c r="Q11" s="54">
        <f>IFERROR(100*COUNTIFS(Raw_Data!$N$2:$N$59,"&gt;=4",Raw_Data!$N$2:$N$59,"&lt;=5",Raw_Data!$A$2:$A$59,"Yes",Raw_Data!$D$2:$D$59,"HR")/COUNTIFS(Raw_Data!$N$2:$N$59,"&gt;=1",Raw_Data!$N$2:$N$59,"&lt;=5",Raw_Data!$A$2:$A$59,"Yes",Raw_Data!$D$2:$D$59,"HR"),"")</f>
        <v>100</v>
      </c>
      <c r="R11" s="54">
        <f>IFERROR(100*COUNTIFS(Raw_Data!$N$2:$N$59,"&gt;=4",Raw_Data!$N$2:$N$59,"&lt;=5",Raw_Data!$A$2:$A$59,"Yes",Raw_Data!$D$2:$D$59,"ICU")/COUNTIFS(Raw_Data!$N$2:$N$59,"&gt;=1",Raw_Data!$N$2:$N$59,"&lt;=5",Raw_Data!$A$2:$A$59,"Yes",Raw_Data!$D$2:$D$59,"ICU"),"")</f>
        <v>100</v>
      </c>
      <c r="S11" s="54">
        <f>IFERROR(100*COUNTIFS(Raw_Data!$N$2:$N$59,"&gt;=4",Raw_Data!$N$2:$N$59,"&lt;=5",Raw_Data!$A$2:$A$59,"Yes",Raw_Data!$D$2:$D$59,"IPD")/COUNTIFS(Raw_Data!$N$2:$N$59,"&gt;=1",Raw_Data!$N$2:$N$59,"&lt;=5",Raw_Data!$A$2:$A$59,"Yes",Raw_Data!$D$2:$D$59,"IPD"),"")</f>
        <v>66.666666666666671</v>
      </c>
      <c r="T11" s="54">
        <f>IFERROR(100*COUNTIFS(Raw_Data!$N$2:$N$59,"&gt;=4",Raw_Data!$N$2:$N$59,"&lt;=5",Raw_Data!$A$2:$A$59,"Yes",Raw_Data!$D$2:$D$59,"IT")/COUNTIFS(Raw_Data!$N$2:$N$59,"&gt;=1",Raw_Data!$N$2:$N$59,"&lt;=5",Raw_Data!$A$2:$A$59,"Yes",Raw_Data!$D$2:$D$59,"IT"),"")</f>
        <v>100</v>
      </c>
      <c r="U11" s="54">
        <f>IFERROR(100*COUNTIFS(Raw_Data!$N$2:$N$59,"&gt;=4",Raw_Data!$N$2:$N$59,"&lt;=5",Raw_Data!$A$2:$A$59,"Yes",Raw_Data!$D$2:$D$59,"OR")/COUNTIFS(Raw_Data!$N$2:$N$59,"&gt;=1",Raw_Data!$N$2:$N$59,"&lt;=5",Raw_Data!$A$2:$A$59,"Yes",Raw_Data!$D$2:$D$59,"OR"),"")</f>
        <v>75</v>
      </c>
      <c r="V11" s="54">
        <f>IFERROR(100*COUNTIFS(Raw_Data!$N$2:$N$59,"&gt;=4",Raw_Data!$N$2:$N$59,"&lt;=5",Raw_Data!$A$2:$A$59,"Yes",Raw_Data!$D$2:$D$59,"IPD",Raw_Data!$E$2:$E$59,"ผู้บริหาร")/COUNTIFS(Raw_Data!$N$2:$N$59,"&gt;=1",Raw_Data!$N$2:$N$59,"&lt;=5",Raw_Data!$A$2:$A$59,"Yes",Raw_Data!$D$2:$D$59,"IPD",Raw_Data!$E$2:$E$59,"ผู้บริหาร"),"")</f>
        <v>100</v>
      </c>
      <c r="W11" s="54">
        <f>IFERROR(100*COUNTIFS(Raw_Data!$N$2:$N$59,"&gt;=4",Raw_Data!$N$2:$N$59,"&lt;=5",Raw_Data!$A$2:$A$59,"Yes",Raw_Data!$D$2:$D$59,"ฝ่ายการพยาบาล",Raw_Data!$E$2:$E$59,"สายวิชาชีพสาธารณสุข")/COUNTIFS(Raw_Data!$N$2:$N$59,"&gt;=1",Raw_Data!$N$2:$N$59,"&lt;=5",Raw_Data!$A$2:$A$59,"Yes",Raw_Data!$D$2:$D$59,"ฝ่ายการพยาบาล",Raw_Data!$E$2:$E$59,"สายวิชาชีพสาธารณสุข"),"")</f>
        <v>0</v>
      </c>
      <c r="X11" s="54">
        <f>IFERROR(100*COUNTIFS(Raw_Data!$N$2:$N$59,"&gt;=4",Raw_Data!$N$2:$N$59,"&lt;=5",Raw_Data!$A$2:$A$59,"Yes",Raw_Data!$D$2:$D$59,"ERและเปล",Raw_Data!$E$2:$E$59,"สายวิชาชีพสาธารณสุข")/COUNTIFS(Raw_Data!$N$2:$N$59,"&gt;=1",Raw_Data!$N$2:$N$59,"&lt;=5",Raw_Data!$A$2:$A$59,"Yes",Raw_Data!$D$2:$D$59,"ERและเปล",Raw_Data!$E$2:$E$59,"สายวิชาชีพสาธารณสุข"),"")</f>
        <v>0</v>
      </c>
      <c r="Y11" s="54">
        <f>IFERROR(100*COUNTIFS(Raw_Data!$N$2:$N$59,"&gt;=4",Raw_Data!$N$2:$N$59,"&lt;=5",Raw_Data!$A$2:$A$59,"Yes",Raw_Data!$D$2:$D$59,"ICU",Raw_Data!$E$2:$E$59,"สายวิชาชีพสาธารณสุข")/COUNTIFS(Raw_Data!$N$2:$N$59,"&gt;=1",Raw_Data!$N$2:$N$59,"&lt;=5",Raw_Data!$A$2:$A$59,"Yes",Raw_Data!$D$2:$D$59,"ICU",Raw_Data!$E$2:$E$59,"สายวิชาชีพสาธารณสุข"),"")</f>
        <v>100</v>
      </c>
      <c r="Z11" s="54">
        <f>IFERROR(100*COUNTIFS(Raw_Data!$N$2:$N$59,"&gt;=4",Raw_Data!$N$2:$N$59,"&lt;=5",Raw_Data!$A$2:$A$59,"Yes",Raw_Data!$D$2:$D$59,"IPD",Raw_Data!$E$2:$E$59,"สายวิชาชีพสาธารณสุข")/COUNTIFS(Raw_Data!$N$2:$N$59,"&gt;=1",Raw_Data!$N$2:$N$59,"&lt;=5",Raw_Data!$A$2:$A$59,"Yes",Raw_Data!$D$2:$D$59,"IPD",Raw_Data!$E$2:$E$59,"สายวิชาชีพสาธารณสุข"),"")</f>
        <v>100</v>
      </c>
      <c r="AA11" s="54">
        <f>IFERROR(100*COUNTIFS(Raw_Data!$N$2:$N$59,"&gt;=4",Raw_Data!$N$2:$N$59,"&lt;=5",Raw_Data!$A$2:$A$59,"Yes",Raw_Data!$D$2:$D$59,"OR",Raw_Data!$E$2:$E$59,"สายวิชาชีพสาธารณสุข")/COUNTIFS(Raw_Data!$N$2:$N$59,"&gt;=1",Raw_Data!$N$2:$N$59,"&lt;=5",Raw_Data!$A$2:$A$59,"Yes",Raw_Data!$D$2:$D$59,"OR",Raw_Data!$E$2:$E$59,"สายวิชาชีพสาธารณสุข"),"")</f>
        <v>75</v>
      </c>
      <c r="AB11" s="54">
        <f>IFERROR(100*COUNTIFS(Raw_Data!$N$2:$N$59,"&gt;=4",Raw_Data!$N$2:$N$59,"&lt;=5",Raw_Data!$A$2:$A$59,"Yes",Raw_Data!$D$2:$D$59,"การเงิน",Raw_Data!$E$2:$E$59,"สายสนับสนุนทั่วไป")/COUNTIFS(Raw_Data!$N$2:$N$59,"&gt;=1",Raw_Data!$N$2:$N$59,"&lt;=5",Raw_Data!$A$2:$A$59,"Yes",Raw_Data!$D$2:$D$59,"การเงิน",Raw_Data!$E$2:$E$59,"สายสนับสนุนทั่วไป"),"")</f>
        <v>66.666666666666671</v>
      </c>
      <c r="AC11" s="54">
        <f>IFERROR(100*COUNTIFS(Raw_Data!$N$2:$N$59,"&gt;=4",Raw_Data!$N$2:$N$59,"&lt;=5",Raw_Data!$A$2:$A$59,"Yes",Raw_Data!$D$2:$D$59,"เคหรักษ์",Raw_Data!$E$2:$E$59,"สายสนับสนุนทั่วไป")/COUNTIFS(Raw_Data!$N$2:$N$59,"&gt;=1",Raw_Data!$N$2:$N$59,"&lt;=5",Raw_Data!$A$2:$A$59,"Yes",Raw_Data!$D$2:$D$59,"เคหรักษ์",Raw_Data!$E$2:$E$59,"สายสนับสนุนทั่วไป"),"")</f>
        <v>0</v>
      </c>
      <c r="AD11" s="54">
        <f>IFERROR(100*COUNTIFS(Raw_Data!$N$2:$N$59,"&gt;=4",Raw_Data!$N$2:$N$59,"&lt;=5",Raw_Data!$A$2:$A$59,"Yes",Raw_Data!$D$2:$D$59,"จ่ายกลาง",Raw_Data!$E$2:$E$59,"สายสนับสนุนทั่วไป")/COUNTIFS(Raw_Data!$N$2:$N$59,"&gt;=1",Raw_Data!$N$2:$N$59,"&lt;=5",Raw_Data!$A$2:$A$59,"Yes",Raw_Data!$D$2:$D$59,"จ่ายกลาง",Raw_Data!$E$2:$E$59,"สายสนับสนุนทั่วไป"),"")</f>
        <v>100</v>
      </c>
      <c r="AE11" s="54">
        <f>IFERROR(100*COUNTIFS(Raw_Data!$N$2:$N$59,"&gt;=4",Raw_Data!$N$2:$N$59,"&lt;=5",Raw_Data!$A$2:$A$59,"Yes",Raw_Data!$D$2:$D$59,"ช่างและสนาม",Raw_Data!$E$2:$E$59,"สายสนับสนุนทั่วไป")/COUNTIFS(Raw_Data!$N$2:$N$59,"&gt;=1",Raw_Data!$N$2:$N$59,"&lt;=5",Raw_Data!$A$2:$A$59,"Yes",Raw_Data!$D$2:$D$59,"ช่างและสนาม",Raw_Data!$E$2:$E$59,"สายสนับสนุนทั่วไป"),"")</f>
        <v>75</v>
      </c>
      <c r="AF11" s="54">
        <f>IFERROR(100*COUNTIFS(Raw_Data!$N$2:$N$59,"&gt;=4",Raw_Data!$N$2:$N$59,"&lt;=5",Raw_Data!$A$2:$A$59,"Yes",Raw_Data!$D$2:$D$59,"ผู้ป่วยสัมพันธ์",Raw_Data!$E$2:$E$59,"สายสนับสนุนทั่วไป")/COUNTIFS(Raw_Data!$N$2:$N$59,"&gt;=1",Raw_Data!$N$2:$N$59,"&lt;=5",Raw_Data!$A$2:$A$59,"Yes",Raw_Data!$D$2:$D$59,"ผู้ป่วยสัมพันธ์",Raw_Data!$E$2:$E$59,"สายสนับสนุนทั่วไป"),"")</f>
        <v>0</v>
      </c>
      <c r="AG11" s="54">
        <f>IFERROR(100*COUNTIFS(Raw_Data!$N$2:$N$59,"&gt;=4",Raw_Data!$N$2:$N$59,"&lt;=5",Raw_Data!$A$2:$A$59,"Yes",Raw_Data!$D$2:$D$59,"ยานพาหนะ",Raw_Data!$E$2:$E$59,"สายสนับสนุนทั่วไป")/COUNTIFS(Raw_Data!$N$2:$N$59,"&gt;=1",Raw_Data!$N$2:$N$59,"&lt;=5",Raw_Data!$A$2:$A$59,"Yes",Raw_Data!$D$2:$D$59,"ยานพาหนะ",Raw_Data!$E$2:$E$59,"สายสนับสนุนทั่วไป"),"")</f>
        <v>100</v>
      </c>
      <c r="AH11" s="54">
        <f>IFERROR(100*COUNTIFS(Raw_Data!$N$2:$N$59,"&gt;=4",Raw_Data!$N$2:$N$59,"&lt;=5",Raw_Data!$A$2:$A$59,"Yes",Raw_Data!$D$2:$D$59,"สื่อสารการตลาด",Raw_Data!$E$2:$E$59,"สายสนับสนุนทั่วไป")/COUNTIFS(Raw_Data!$N$2:$N$59,"&gt;=1",Raw_Data!$N$2:$N$59,"&lt;=5",Raw_Data!$A$2:$A$59,"Yes",Raw_Data!$D$2:$D$59,"สื่อสารการตลาด",Raw_Data!$E$2:$E$59,"สายสนับสนุนทั่วไป"),"")</f>
        <v>0</v>
      </c>
      <c r="AI11" s="54">
        <f>IFERROR(100*COUNTIFS(Raw_Data!$N$2:$N$59,"&gt;=4",Raw_Data!$N$2:$N$59,"&lt;=5",Raw_Data!$A$2:$A$59,"Yes",Raw_Data!$D$2:$D$59,"ERและเปล",Raw_Data!$E$2:$E$59,"สายสนับสนุนทั่วไป")/COUNTIFS(Raw_Data!$N$2:$N$59,"&gt;=1",Raw_Data!$N$2:$N$59,"&lt;=5",Raw_Data!$A$2:$A$59,"Yes",Raw_Data!$D$2:$D$59,"ERและเปล",Raw_Data!$E$2:$E$59,"สายสนับสนุนทั่วไป"),"")</f>
        <v>100</v>
      </c>
      <c r="AJ11" s="54">
        <f>IFERROR(100*COUNTIFS(Raw_Data!$N$2:$N$59,"&gt;=4",Raw_Data!$N$2:$N$59,"&lt;=5",Raw_Data!$A$2:$A$59,"Yes",Raw_Data!$D$2:$D$59,"HR",Raw_Data!$E$2:$E$59,"สายสนับสนุนทั่วไป")/COUNTIFS(Raw_Data!$N$2:$N$59,"&gt;=1",Raw_Data!$N$2:$N$59,"&lt;=5",Raw_Data!$A$2:$A$59,"Yes",Raw_Data!$D$2:$D$59,"HR",Raw_Data!$E$2:$E$59,"สายสนับสนุนทั่วไป"),"")</f>
        <v>100</v>
      </c>
      <c r="AK11" s="54">
        <f>IFERROR(100*COUNTIFS(Raw_Data!$N$2:$N$59,"&gt;=4",Raw_Data!$N$2:$N$59,"&lt;=5",Raw_Data!$A$2:$A$59,"Yes",Raw_Data!$D$2:$D$59,"ICU",Raw_Data!$E$2:$E$59,"สายสนับสนุนทั่วไป")/COUNTIFS(Raw_Data!$N$2:$N$59,"&gt;=1",Raw_Data!$N$2:$N$59,"&lt;=5",Raw_Data!$A$2:$A$59,"Yes",Raw_Data!$D$2:$D$59,"ICU",Raw_Data!$E$2:$E$59,"สายสนับสนุนทั่วไป"),"")</f>
        <v>100</v>
      </c>
      <c r="AL11" s="54">
        <f>IFERROR(100*COUNTIFS(Raw_Data!$N$2:$N$59,"&gt;=4",Raw_Data!$N$2:$N$59,"&lt;=5",Raw_Data!$A$2:$A$59,"Yes",Raw_Data!$D$2:$D$59,"IPD",Raw_Data!$E$2:$E$59,"สายสนับสนุนทั่วไป")/COUNTIFS(Raw_Data!$N$2:$N$59,"&gt;=1",Raw_Data!$N$2:$N$59,"&lt;=5",Raw_Data!$A$2:$A$59,"Yes",Raw_Data!$D$2:$D$59,"IPD",Raw_Data!$E$2:$E$59,"สายสนับสนุนทั่วไป"),"")</f>
        <v>0</v>
      </c>
      <c r="AM11" s="54">
        <f>IFERROR(100*COUNTIFS(Raw_Data!$N$2:$N$59,"&gt;=4",Raw_Data!$N$2:$N$59,"&lt;=5",Raw_Data!$A$2:$A$59,"Yes",Raw_Data!$D$2:$D$59,"IT",Raw_Data!$E$2:$E$59,"สายสนับสนุนทั่วไป")/COUNTIFS(Raw_Data!$N$2:$N$59,"&gt;=1",Raw_Data!$N$2:$N$59,"&lt;=5",Raw_Data!$A$2:$A$59,"Yes",Raw_Data!$D$2:$D$59,"IT",Raw_Data!$E$2:$E$59,"สายสนับสนุนทั่วไป"),"")</f>
        <v>100</v>
      </c>
      <c r="AN11" s="54">
        <f>IFERROR(100*COUNTIFS(Raw_Data!$N$2:$N$59,"&gt;=4",Raw_Data!$N$2:$N$59,"&lt;=5",Raw_Data!$A$2:$A$59,"Yes",Raw_Data!$D$2:$D$59,"ผู้ป่วยสัมพันธ์",Raw_Data!$E$2:$E$59,"สายสนับสนุนทางการแพทย์")/COUNTIFS(Raw_Data!$N$2:$N$59,"&gt;=1",Raw_Data!$N$2:$N$59,"&lt;=5",Raw_Data!$A$2:$A$59,"Yes",Raw_Data!$D$2:$D$59,"ผู้ป่วยสัมพันธ์",Raw_Data!$E$2:$E$59,"สายสนับสนุนทางการแพทย์"),"")</f>
        <v>66.666666666666671</v>
      </c>
      <c r="AO11" s="54">
        <f>IFERROR(100*COUNTIFS(Raw_Data!$N$2:$N$59,"&gt;=4",Raw_Data!$N$2:$N$59,"&lt;=5",Raw_Data!$A$2:$A$59,"Yes",Raw_Data!$D$2:$D$59,"ฝ่ายการพยาบาล",Raw_Data!$E$2:$E$59,"สายสนับสนุนทางการแพทย์")/COUNTIFS(Raw_Data!$N$2:$N$59,"&gt;=1",Raw_Data!$N$2:$N$59,"&lt;=5",Raw_Data!$A$2:$A$59,"Yes",Raw_Data!$D$2:$D$59,"ฝ่ายการพยาบาล",Raw_Data!$E$2:$E$59,"สายสนับสนุนทางการแพทย์"),"")</f>
        <v>100</v>
      </c>
      <c r="AP11" s="54">
        <f>IFERROR(100*COUNTIFS(Raw_Data!$N$2:$N$59,"&gt;=4",Raw_Data!$N$2:$N$59,"&lt;=5",Raw_Data!$A$2:$A$59,"Yes",Raw_Data!$D$2:$D$59,"โภชนาการ",Raw_Data!$E$2:$E$59,"สายสนับสนุนทางการแพทย์")/COUNTIFS(Raw_Data!$N$2:$N$59,"&gt;=1",Raw_Data!$N$2:$N$59,"&lt;=5",Raw_Data!$A$2:$A$59,"Yes",Raw_Data!$D$2:$D$59,"โภชนาการ",Raw_Data!$E$2:$E$59,"สายสนับสนุนทางการแพทย์"),"")</f>
        <v>100</v>
      </c>
      <c r="AQ11" s="54">
        <f>IFERROR(100*COUNTIFS(Raw_Data!$N$2:$N$59,"&gt;=4",Raw_Data!$N$2:$N$59,"&lt;=5",Raw_Data!$A$2:$A$59,"Yes",Raw_Data!$D$2:$D$59,"ห้องยา",Raw_Data!$E$2:$E$59,"สายสนับสนุนทางการแพทย์")/COUNTIFS(Raw_Data!$N$2:$N$59,"&gt;=1",Raw_Data!$N$2:$N$59,"&lt;=5",Raw_Data!$A$2:$A$59,"Yes",Raw_Data!$D$2:$D$59,"ห้องยา",Raw_Data!$E$2:$E$59,"สายสนับสนุนทางการแพทย์"),"")</f>
        <v>100</v>
      </c>
      <c r="AR11" s="54">
        <f>IFERROR(100*COUNTIFS(Raw_Data!$N$2:$N$59,"&gt;=4",Raw_Data!$N$2:$N$59,"&lt;=5",Raw_Data!$A$2:$A$59,"Yes",Raw_Data!$D$2:$D$59,"ห้องแลป",Raw_Data!$E$2:$E$59,"สายสนับสนุนทางการแพทย์")/COUNTIFS(Raw_Data!$N$2:$N$59,"&gt;=1",Raw_Data!$N$2:$N$59,"&lt;=5",Raw_Data!$A$2:$A$59,"Yes",Raw_Data!$D$2:$D$59,"ห้องแลป",Raw_Data!$E$2:$E$59,"สายสนับสนุนทางการแพทย์"),"")</f>
        <v>100</v>
      </c>
      <c r="AS11" s="54">
        <f>IFERROR(100*COUNTIFS(Raw_Data!$N$2:$N$59,"&gt;=4",Raw_Data!$N$2:$N$59,"&lt;=5",Raw_Data!$A$2:$A$59,"Yes",Raw_Data!$D$2:$D$59,"ห้องเอ็กซเรย์",Raw_Data!$E$2:$E$59,"สายสนับสนุนทางการแพทย์")/COUNTIFS(Raw_Data!$N$2:$N$59,"&gt;=1",Raw_Data!$N$2:$N$59,"&lt;=5",Raw_Data!$A$2:$A$59,"Yes",Raw_Data!$D$2:$D$59,"ห้องเอ็กซเรย์",Raw_Data!$E$2:$E$59,"สายสนับสนุนทางการแพทย์"),"")</f>
        <v>66.666666666666671</v>
      </c>
      <c r="AT11" s="54">
        <f>IFERROR(100*COUNTIFS(Raw_Data!$N$2:$N$59,"&gt;=4",Raw_Data!$N$2:$N$59,"&lt;=5",Raw_Data!$A$2:$A$59,"Yes",Raw_Data!$D$2:$D$59,"ERและเปล",Raw_Data!$E$2:$E$59,"สายสนับสนุนทางการแพทย์")/COUNTIFS(Raw_Data!$N$2:$N$59,"&gt;=1",Raw_Data!$N$2:$N$59,"&lt;=5",Raw_Data!$A$2:$A$59,"Yes",Raw_Data!$D$2:$D$59,"ERและเปล",Raw_Data!$E$2:$E$59,"สายสนับสนุนทางการแพทย์"),"")</f>
        <v>100</v>
      </c>
      <c r="AU11" s="54">
        <f>IFERROR(100*COUNTIFS(Raw_Data!$N$2:$N$59,"&gt;=4",Raw_Data!$N$2:$N$59,"&lt;=5",Raw_Data!$A$2:$A$59,"Yes",Raw_Data!$D$2:$D$59,"ICU",Raw_Data!$E$2:$E$59,"สายสนับสนุนทางการแพทย์")/COUNTIFS(Raw_Data!$N$2:$N$59,"&gt;=1",Raw_Data!$N$2:$N$59,"&lt;=5",Raw_Data!$A$2:$A$59,"Yes",Raw_Data!$D$2:$D$59,"ICU",Raw_Data!$E$2:$E$59,"สายสนับสนุนทางการแพทย์"),"")</f>
        <v>100</v>
      </c>
      <c r="AV11" s="54">
        <f>IFERROR(100*COUNTIFS(Raw_Data!$N$2:$N$59,"&gt;=4",Raw_Data!$N$2:$N$59,"&lt;=5",Raw_Data!$A$2:$A$59,"Yes",Raw_Data!$D$2:$D$59,"IPD",Raw_Data!$E$2:$E$59,"สายสนับสนุนทางการแพทย์")/COUNTIFS(Raw_Data!$N$2:$N$59,"&gt;=1",Raw_Data!$N$2:$N$59,"&lt;=5",Raw_Data!$A$2:$A$59,"Yes",Raw_Data!$D$2:$D$59,"IPD",Raw_Data!$E$2:$E$59,"สายสนับสนุนทางการแพทย์"),"")</f>
        <v>50</v>
      </c>
      <c r="AW11" s="54">
        <f>IFERROR(100*COUNTIFS(Raw_Data!$N$2:$N$59,"&gt;=4",Raw_Data!$N$2:$N$59,"&lt;=5",Raw_Data!$A$2:$A$59,"Yes",Raw_Data!$D$2:$D$59,"IT",Raw_Data!$E$2:$E$59,"สายสนับสนุนทางการแพทย์")/COUNTIFS(Raw_Data!$N$2:$N$59,"&gt;=1",Raw_Data!$N$2:$N$59,"&lt;=5",Raw_Data!$A$2:$A$59,"Yes",Raw_Data!$D$2:$D$59,"IT",Raw_Data!$E$2:$E$59,"สายสนับสนุนทางการแพทย์"),"")</f>
        <v>100</v>
      </c>
    </row>
    <row r="12" spans="1:49" ht="42" customHeight="1">
      <c r="A12" s="50"/>
      <c r="B12" s="51" t="s">
        <v>42</v>
      </c>
      <c r="C12" s="54">
        <f>IFERROR(100*COUNTIFS(Raw_Data!$O$2:$O$59,"&gt;=4",Raw_Data!$O$2:$O$59,"&lt;=5",Raw_Data!$A$2:$A$59,"Yes")/COUNTIFS(Raw_Data!$O$2:$O$59,"&gt;=1",Raw_Data!$O$2:$O$59,"&lt;=5",Raw_Data!$A$2:$A$59,"Yes"),"")</f>
        <v>62.068965517241381</v>
      </c>
      <c r="D12" s="54">
        <f>IFERROR(100*COUNTIFS(Raw_Data!$O$2:$O$59,"&gt;=4",Raw_Data!$O$2:$O$59,"&lt;=5",Raw_Data!$A$2:$A$59,"Yes",Raw_Data!$D$2:$D$59,"การเงิน")/COUNTIFS(Raw_Data!$O$2:$O$59,"&gt;=1",Raw_Data!$O$2:$O$59,"&lt;=5",Raw_Data!$A$2:$A$59,"Yes",Raw_Data!$D$2:$D$59,"การเงิน"),"")</f>
        <v>66.666666666666671</v>
      </c>
      <c r="E12" s="54">
        <f>IFERROR(100*COUNTIFS(Raw_Data!$O$2:$O$59,"&gt;=4",Raw_Data!$O$2:$O$59,"&lt;=5",Raw_Data!$A$2:$A$59,"Yes",Raw_Data!$D$2:$D$59,"เคหรักษ์")/COUNTIFS(Raw_Data!$O$2:$O$59,"&gt;=1",Raw_Data!$O$2:$O$59,"&lt;=5",Raw_Data!$A$2:$A$59,"Yes",Raw_Data!$D$2:$D$59,"เคหรักษ์"),"")</f>
        <v>0</v>
      </c>
      <c r="F12" s="54">
        <f>IFERROR(100*COUNTIFS(Raw_Data!$O$2:$O$59,"&gt;=4",Raw_Data!$O$2:$O$59,"&lt;=5",Raw_Data!$A$2:$A$59,"Yes",Raw_Data!$D$2:$D$59,"จ่ายกลาง")/COUNTIFS(Raw_Data!$O$2:$O$59,"&gt;=1",Raw_Data!$O$2:$O$59,"&lt;=5",Raw_Data!$A$2:$A$59,"Yes",Raw_Data!$D$2:$D$59,"จ่ายกลาง"),"")</f>
        <v>100</v>
      </c>
      <c r="G12" s="54">
        <f>IFERROR(100*COUNTIFS(Raw_Data!$O$2:$O$59,"&gt;=4",Raw_Data!$O$2:$O$59,"&lt;=5",Raw_Data!$A$2:$A$59,"Yes",Raw_Data!$D$2:$D$59,"ช่างและสนาม")/COUNTIFS(Raw_Data!$O$2:$O$59,"&gt;=1",Raw_Data!$O$2:$O$59,"&lt;=5",Raw_Data!$A$2:$A$59,"Yes",Raw_Data!$D$2:$D$59,"ช่างและสนาม"),"")</f>
        <v>50</v>
      </c>
      <c r="H12" s="54">
        <f>IFERROR(100*COUNTIFS(Raw_Data!$O$2:$O$59,"&gt;=4",Raw_Data!$O$2:$O$59,"&lt;=5",Raw_Data!$A$2:$A$59,"Yes",Raw_Data!$D$2:$D$59,"ผู้ป่วยสัมพันธ์")/COUNTIFS(Raw_Data!$O$2:$O$59,"&gt;=1",Raw_Data!$O$2:$O$59,"&lt;=5",Raw_Data!$A$2:$A$59,"Yes",Raw_Data!$D$2:$D$59,"ผู้ป่วยสัมพันธ์"),"")</f>
        <v>75</v>
      </c>
      <c r="I12" s="54">
        <f>IFERROR(100*COUNTIFS(Raw_Data!$O$2:$O$59,"&gt;=4",Raw_Data!$O$2:$O$59,"&lt;=5",Raw_Data!$A$2:$A$59,"Yes",Raw_Data!$D$2:$D$59,"ฝ่ายการพยาบาล")/COUNTIFS(Raw_Data!$O$2:$O$59,"&gt;=1",Raw_Data!$O$2:$O$59,"&lt;=5",Raw_Data!$A$2:$A$59,"Yes",Raw_Data!$D$2:$D$59,"ฝ่ายการพยาบาล"),"")</f>
        <v>100</v>
      </c>
      <c r="J12" s="54">
        <f>IFERROR(100*COUNTIFS(Raw_Data!$O$2:$O$59,"&gt;=4",Raw_Data!$O$2:$O$59,"&lt;=5",Raw_Data!$A$2:$A$59,"Yes",Raw_Data!$D$2:$D$59,"โภชนาการ")/COUNTIFS(Raw_Data!$O$2:$O$59,"&gt;=1",Raw_Data!$O$2:$O$59,"&lt;=5",Raw_Data!$A$2:$A$59,"Yes",Raw_Data!$D$2:$D$59,"โภชนาการ"),"")</f>
        <v>0</v>
      </c>
      <c r="K12" s="54">
        <f>IFERROR(100*COUNTIFS(Raw_Data!$O$2:$O$59,"&gt;=4",Raw_Data!$O$2:$O$59,"&lt;=5",Raw_Data!$A$2:$A$59,"Yes",Raw_Data!$D$2:$D$59,"ยานพาหนะ")/COUNTIFS(Raw_Data!$O$2:$O$59,"&gt;=1",Raw_Data!$O$2:$O$59,"&lt;=5",Raw_Data!$A$2:$A$59,"Yes",Raw_Data!$D$2:$D$59,"ยานพาหนะ"),"")</f>
        <v>100</v>
      </c>
      <c r="L12" s="54">
        <f>IFERROR(100*COUNTIFS(Raw_Data!$O$2:$O$59,"&gt;=4",Raw_Data!$O$2:$O$59,"&lt;=5",Raw_Data!$A$2:$A$59,"Yes",Raw_Data!$D$2:$D$59,"สื่อสารการตลาด")/COUNTIFS(Raw_Data!$O$2:$O$59,"&gt;=1",Raw_Data!$O$2:$O$59,"&lt;=5",Raw_Data!$A$2:$A$59,"Yes",Raw_Data!$D$2:$D$59,"สื่อสารการตลาด"),"")</f>
        <v>100</v>
      </c>
      <c r="M12" s="54">
        <f>IFERROR(100*COUNTIFS(Raw_Data!$O$2:$O$59,"&gt;=4",Raw_Data!$O$2:$O$59,"&lt;=5",Raw_Data!$A$2:$A$59,"Yes",Raw_Data!$D$2:$D$59,"ห้องยา")/COUNTIFS(Raw_Data!$O$2:$O$59,"&gt;=1",Raw_Data!$O$2:$O$59,"&lt;=5",Raw_Data!$A$2:$A$59,"Yes",Raw_Data!$D$2:$D$59,"ห้องยา"),"")</f>
        <v>50</v>
      </c>
      <c r="N12" s="54">
        <f>IFERROR(100*COUNTIFS(Raw_Data!$O$2:$O$59,"&gt;=4",Raw_Data!$O$2:$O$59,"&lt;=5",Raw_Data!$A$2:$A$59,"Yes",Raw_Data!$D$2:$D$59,"ห้องแลป")/COUNTIFS(Raw_Data!$O$2:$O$59,"&gt;=1",Raw_Data!$O$2:$O$59,"&lt;=5",Raw_Data!$A$2:$A$59,"Yes",Raw_Data!$D$2:$D$59,"ห้องแลป"),"")</f>
        <v>0</v>
      </c>
      <c r="O12" s="54">
        <f>IFERROR(100*COUNTIFS(Raw_Data!$O$2:$O$59,"&gt;=4",Raw_Data!$O$2:$O$59,"&lt;=5",Raw_Data!$A$2:$A$59,"Yes",Raw_Data!$D$2:$D$59,"ห้องเอ็กซเรย์")/COUNTIFS(Raw_Data!$O$2:$O$59,"&gt;=1",Raw_Data!$O$2:$O$59,"&lt;=5",Raw_Data!$A$2:$A$59,"Yes",Raw_Data!$D$2:$D$59,"ห้องเอ็กซเรย์"),"")</f>
        <v>100</v>
      </c>
      <c r="P12" s="54">
        <f>IFERROR(100*COUNTIFS(Raw_Data!$O$2:$O$59,"&gt;=4",Raw_Data!$O$2:$O$59,"&lt;=5",Raw_Data!$A$2:$A$59,"Yes",Raw_Data!$D$2:$D$59,"ERและเปล")/COUNTIFS(Raw_Data!$O$2:$O$59,"&gt;=1",Raw_Data!$O$2:$O$59,"&lt;=5",Raw_Data!$A$2:$A$59,"Yes",Raw_Data!$D$2:$D$59,"ERและเปล"),"")</f>
        <v>45.454545454545453</v>
      </c>
      <c r="Q12" s="54">
        <f>IFERROR(100*COUNTIFS(Raw_Data!$O$2:$O$59,"&gt;=4",Raw_Data!$O$2:$O$59,"&lt;=5",Raw_Data!$A$2:$A$59,"Yes",Raw_Data!$D$2:$D$59,"HR")/COUNTIFS(Raw_Data!$O$2:$O$59,"&gt;=1",Raw_Data!$O$2:$O$59,"&lt;=5",Raw_Data!$A$2:$A$59,"Yes",Raw_Data!$D$2:$D$59,"HR"),"")</f>
        <v>100</v>
      </c>
      <c r="R12" s="54">
        <f>IFERROR(100*COUNTIFS(Raw_Data!$O$2:$O$59,"&gt;=4",Raw_Data!$O$2:$O$59,"&lt;=5",Raw_Data!$A$2:$A$59,"Yes",Raw_Data!$D$2:$D$59,"ICU")/COUNTIFS(Raw_Data!$O$2:$O$59,"&gt;=1",Raw_Data!$O$2:$O$59,"&lt;=5",Raw_Data!$A$2:$A$59,"Yes",Raw_Data!$D$2:$D$59,"ICU"),"")</f>
        <v>50</v>
      </c>
      <c r="S12" s="54">
        <f>IFERROR(100*COUNTIFS(Raw_Data!$O$2:$O$59,"&gt;=4",Raw_Data!$O$2:$O$59,"&lt;=5",Raw_Data!$A$2:$A$59,"Yes",Raw_Data!$D$2:$D$59,"IPD")/COUNTIFS(Raw_Data!$O$2:$O$59,"&gt;=1",Raw_Data!$O$2:$O$59,"&lt;=5",Raw_Data!$A$2:$A$59,"Yes",Raw_Data!$D$2:$D$59,"IPD"),"")</f>
        <v>83.333333333333329</v>
      </c>
      <c r="T12" s="54">
        <f>IFERROR(100*COUNTIFS(Raw_Data!$O$2:$O$59,"&gt;=4",Raw_Data!$O$2:$O$59,"&lt;=5",Raw_Data!$A$2:$A$59,"Yes",Raw_Data!$D$2:$D$59,"IT")/COUNTIFS(Raw_Data!$O$2:$O$59,"&gt;=1",Raw_Data!$O$2:$O$59,"&lt;=5",Raw_Data!$A$2:$A$59,"Yes",Raw_Data!$D$2:$D$59,"IT"),"")</f>
        <v>50</v>
      </c>
      <c r="U12" s="54">
        <f>IFERROR(100*COUNTIFS(Raw_Data!$O$2:$O$59,"&gt;=4",Raw_Data!$O$2:$O$59,"&lt;=5",Raw_Data!$A$2:$A$59,"Yes",Raw_Data!$D$2:$D$59,"OR")/COUNTIFS(Raw_Data!$O$2:$O$59,"&gt;=1",Raw_Data!$O$2:$O$59,"&lt;=5",Raw_Data!$A$2:$A$59,"Yes",Raw_Data!$D$2:$D$59,"OR"),"")</f>
        <v>100</v>
      </c>
      <c r="V12" s="54">
        <f>IFERROR(100*COUNTIFS(Raw_Data!$O$2:$O$59,"&gt;=4",Raw_Data!$O$2:$O$59,"&lt;=5",Raw_Data!$A$2:$A$59,"Yes",Raw_Data!$D$2:$D$59,"IPD",Raw_Data!$E$2:$E$59,"ผู้บริหาร")/COUNTIFS(Raw_Data!$O$2:$O$59,"&gt;=1",Raw_Data!$O$2:$O$59,"&lt;=5",Raw_Data!$A$2:$A$59,"Yes",Raw_Data!$D$2:$D$59,"IPD",Raw_Data!$E$2:$E$59,"ผู้บริหาร"),"")</f>
        <v>100</v>
      </c>
      <c r="W12" s="54">
        <f>IFERROR(100*COUNTIFS(Raw_Data!$O$2:$O$59,"&gt;=4",Raw_Data!$O$2:$O$59,"&lt;=5",Raw_Data!$A$2:$A$59,"Yes",Raw_Data!$D$2:$D$59,"ฝ่ายการพยาบาล",Raw_Data!$E$2:$E$59,"สายวิชาชีพสาธารณสุข")/COUNTIFS(Raw_Data!$O$2:$O$59,"&gt;=1",Raw_Data!$O$2:$O$59,"&lt;=5",Raw_Data!$A$2:$A$59,"Yes",Raw_Data!$D$2:$D$59,"ฝ่ายการพยาบาล",Raw_Data!$E$2:$E$59,"สายวิชาชีพสาธารณสุข"),"")</f>
        <v>100</v>
      </c>
      <c r="X12" s="54">
        <f>IFERROR(100*COUNTIFS(Raw_Data!$O$2:$O$59,"&gt;=4",Raw_Data!$O$2:$O$59,"&lt;=5",Raw_Data!$A$2:$A$59,"Yes",Raw_Data!$D$2:$D$59,"ERและเปล",Raw_Data!$E$2:$E$59,"สายวิชาชีพสาธารณสุข")/COUNTIFS(Raw_Data!$O$2:$O$59,"&gt;=1",Raw_Data!$O$2:$O$59,"&lt;=5",Raw_Data!$A$2:$A$59,"Yes",Raw_Data!$D$2:$D$59,"ERและเปล",Raw_Data!$E$2:$E$59,"สายวิชาชีพสาธารณสุข"),"")</f>
        <v>28.571428571428573</v>
      </c>
      <c r="Y12" s="54">
        <f>IFERROR(100*COUNTIFS(Raw_Data!$O$2:$O$59,"&gt;=4",Raw_Data!$O$2:$O$59,"&lt;=5",Raw_Data!$A$2:$A$59,"Yes",Raw_Data!$D$2:$D$59,"ICU",Raw_Data!$E$2:$E$59,"สายวิชาชีพสาธารณสุข")/COUNTIFS(Raw_Data!$O$2:$O$59,"&gt;=1",Raw_Data!$O$2:$O$59,"&lt;=5",Raw_Data!$A$2:$A$59,"Yes",Raw_Data!$D$2:$D$59,"ICU",Raw_Data!$E$2:$E$59,"สายวิชาชีพสาธารณสุข"),"")</f>
        <v>50</v>
      </c>
      <c r="Z12" s="54">
        <f>IFERROR(100*COUNTIFS(Raw_Data!$O$2:$O$59,"&gt;=4",Raw_Data!$O$2:$O$59,"&lt;=5",Raw_Data!$A$2:$A$59,"Yes",Raw_Data!$D$2:$D$59,"IPD",Raw_Data!$E$2:$E$59,"สายวิชาชีพสาธารณสุข")/COUNTIFS(Raw_Data!$O$2:$O$59,"&gt;=1",Raw_Data!$O$2:$O$59,"&lt;=5",Raw_Data!$A$2:$A$59,"Yes",Raw_Data!$D$2:$D$59,"IPD",Raw_Data!$E$2:$E$59,"สายวิชาชีพสาธารณสุข"),"")</f>
        <v>100</v>
      </c>
      <c r="AA12" s="54">
        <f>IFERROR(100*COUNTIFS(Raw_Data!$O$2:$O$59,"&gt;=4",Raw_Data!$O$2:$O$59,"&lt;=5",Raw_Data!$A$2:$A$59,"Yes",Raw_Data!$D$2:$D$59,"OR",Raw_Data!$E$2:$E$59,"สายวิชาชีพสาธารณสุข")/COUNTIFS(Raw_Data!$O$2:$O$59,"&gt;=1",Raw_Data!$O$2:$O$59,"&lt;=5",Raw_Data!$A$2:$A$59,"Yes",Raw_Data!$D$2:$D$59,"OR",Raw_Data!$E$2:$E$59,"สายวิชาชีพสาธารณสุข"),"")</f>
        <v>100</v>
      </c>
      <c r="AB12" s="54">
        <f>IFERROR(100*COUNTIFS(Raw_Data!$O$2:$O$59,"&gt;=4",Raw_Data!$O$2:$O$59,"&lt;=5",Raw_Data!$A$2:$A$59,"Yes",Raw_Data!$D$2:$D$59,"การเงิน",Raw_Data!$E$2:$E$59,"สายสนับสนุนทั่วไป")/COUNTIFS(Raw_Data!$O$2:$O$59,"&gt;=1",Raw_Data!$O$2:$O$59,"&lt;=5",Raw_Data!$A$2:$A$59,"Yes",Raw_Data!$D$2:$D$59,"การเงิน",Raw_Data!$E$2:$E$59,"สายสนับสนุนทั่วไป"),"")</f>
        <v>66.666666666666671</v>
      </c>
      <c r="AC12" s="54">
        <f>IFERROR(100*COUNTIFS(Raw_Data!$O$2:$O$59,"&gt;=4",Raw_Data!$O$2:$O$59,"&lt;=5",Raw_Data!$A$2:$A$59,"Yes",Raw_Data!$D$2:$D$59,"เคหรักษ์",Raw_Data!$E$2:$E$59,"สายสนับสนุนทั่วไป")/COUNTIFS(Raw_Data!$O$2:$O$59,"&gt;=1",Raw_Data!$O$2:$O$59,"&lt;=5",Raw_Data!$A$2:$A$59,"Yes",Raw_Data!$D$2:$D$59,"เคหรักษ์",Raw_Data!$E$2:$E$59,"สายสนับสนุนทั่วไป"),"")</f>
        <v>0</v>
      </c>
      <c r="AD12" s="54">
        <f>IFERROR(100*COUNTIFS(Raw_Data!$O$2:$O$59,"&gt;=4",Raw_Data!$O$2:$O$59,"&lt;=5",Raw_Data!$A$2:$A$59,"Yes",Raw_Data!$D$2:$D$59,"จ่ายกลาง",Raw_Data!$E$2:$E$59,"สายสนับสนุนทั่วไป")/COUNTIFS(Raw_Data!$O$2:$O$59,"&gt;=1",Raw_Data!$O$2:$O$59,"&lt;=5",Raw_Data!$A$2:$A$59,"Yes",Raw_Data!$D$2:$D$59,"จ่ายกลาง",Raw_Data!$E$2:$E$59,"สายสนับสนุนทั่วไป"),"")</f>
        <v>100</v>
      </c>
      <c r="AE12" s="54">
        <f>IFERROR(100*COUNTIFS(Raw_Data!$O$2:$O$59,"&gt;=4",Raw_Data!$O$2:$O$59,"&lt;=5",Raw_Data!$A$2:$A$59,"Yes",Raw_Data!$D$2:$D$59,"ช่างและสนาม",Raw_Data!$E$2:$E$59,"สายสนับสนุนทั่วไป")/COUNTIFS(Raw_Data!$O$2:$O$59,"&gt;=1",Raw_Data!$O$2:$O$59,"&lt;=5",Raw_Data!$A$2:$A$59,"Yes",Raw_Data!$D$2:$D$59,"ช่างและสนาม",Raw_Data!$E$2:$E$59,"สายสนับสนุนทั่วไป"),"")</f>
        <v>50</v>
      </c>
      <c r="AF12" s="54">
        <f>IFERROR(100*COUNTIFS(Raw_Data!$O$2:$O$59,"&gt;=4",Raw_Data!$O$2:$O$59,"&lt;=5",Raw_Data!$A$2:$A$59,"Yes",Raw_Data!$D$2:$D$59,"ผู้ป่วยสัมพันธ์",Raw_Data!$E$2:$E$59,"สายสนับสนุนทั่วไป")/COUNTIFS(Raw_Data!$O$2:$O$59,"&gt;=1",Raw_Data!$O$2:$O$59,"&lt;=5",Raw_Data!$A$2:$A$59,"Yes",Raw_Data!$D$2:$D$59,"ผู้ป่วยสัมพันธ์",Raw_Data!$E$2:$E$59,"สายสนับสนุนทั่วไป"),"")</f>
        <v>100</v>
      </c>
      <c r="AG12" s="54">
        <f>IFERROR(100*COUNTIFS(Raw_Data!$O$2:$O$59,"&gt;=4",Raw_Data!$O$2:$O$59,"&lt;=5",Raw_Data!$A$2:$A$59,"Yes",Raw_Data!$D$2:$D$59,"ยานพาหนะ",Raw_Data!$E$2:$E$59,"สายสนับสนุนทั่วไป")/COUNTIFS(Raw_Data!$O$2:$O$59,"&gt;=1",Raw_Data!$O$2:$O$59,"&lt;=5",Raw_Data!$A$2:$A$59,"Yes",Raw_Data!$D$2:$D$59,"ยานพาหนะ",Raw_Data!$E$2:$E$59,"สายสนับสนุนทั่วไป"),"")</f>
        <v>100</v>
      </c>
      <c r="AH12" s="54">
        <f>IFERROR(100*COUNTIFS(Raw_Data!$O$2:$O$59,"&gt;=4",Raw_Data!$O$2:$O$59,"&lt;=5",Raw_Data!$A$2:$A$59,"Yes",Raw_Data!$D$2:$D$59,"สื่อสารการตลาด",Raw_Data!$E$2:$E$59,"สายสนับสนุนทั่วไป")/COUNTIFS(Raw_Data!$O$2:$O$59,"&gt;=1",Raw_Data!$O$2:$O$59,"&lt;=5",Raw_Data!$A$2:$A$59,"Yes",Raw_Data!$D$2:$D$59,"สื่อสารการตลาด",Raw_Data!$E$2:$E$59,"สายสนับสนุนทั่วไป"),"")</f>
        <v>100</v>
      </c>
      <c r="AI12" s="54">
        <f>IFERROR(100*COUNTIFS(Raw_Data!$O$2:$O$59,"&gt;=4",Raw_Data!$O$2:$O$59,"&lt;=5",Raw_Data!$A$2:$A$59,"Yes",Raw_Data!$D$2:$D$59,"ERและเปล",Raw_Data!$E$2:$E$59,"สายสนับสนุนทั่วไป")/COUNTIFS(Raw_Data!$O$2:$O$59,"&gt;=1",Raw_Data!$O$2:$O$59,"&lt;=5",Raw_Data!$A$2:$A$59,"Yes",Raw_Data!$D$2:$D$59,"ERและเปล",Raw_Data!$E$2:$E$59,"สายสนับสนุนทั่วไป"),"")</f>
        <v>66.666666666666671</v>
      </c>
      <c r="AJ12" s="54">
        <f>IFERROR(100*COUNTIFS(Raw_Data!$O$2:$O$59,"&gt;=4",Raw_Data!$O$2:$O$59,"&lt;=5",Raw_Data!$A$2:$A$59,"Yes",Raw_Data!$D$2:$D$59,"HR",Raw_Data!$E$2:$E$59,"สายสนับสนุนทั่วไป")/COUNTIFS(Raw_Data!$O$2:$O$59,"&gt;=1",Raw_Data!$O$2:$O$59,"&lt;=5",Raw_Data!$A$2:$A$59,"Yes",Raw_Data!$D$2:$D$59,"HR",Raw_Data!$E$2:$E$59,"สายสนับสนุนทั่วไป"),"")</f>
        <v>100</v>
      </c>
      <c r="AK12" s="54">
        <f>IFERROR(100*COUNTIFS(Raw_Data!$O$2:$O$59,"&gt;=4",Raw_Data!$O$2:$O$59,"&lt;=5",Raw_Data!$A$2:$A$59,"Yes",Raw_Data!$D$2:$D$59,"ICU",Raw_Data!$E$2:$E$59,"สายสนับสนุนทั่วไป")/COUNTIFS(Raw_Data!$O$2:$O$59,"&gt;=1",Raw_Data!$O$2:$O$59,"&lt;=5",Raw_Data!$A$2:$A$59,"Yes",Raw_Data!$D$2:$D$59,"ICU",Raw_Data!$E$2:$E$59,"สายสนับสนุนทั่วไป"),"")</f>
        <v>0</v>
      </c>
      <c r="AL12" s="54">
        <f>IFERROR(100*COUNTIFS(Raw_Data!$O$2:$O$59,"&gt;=4",Raw_Data!$O$2:$O$59,"&lt;=5",Raw_Data!$A$2:$A$59,"Yes",Raw_Data!$D$2:$D$59,"IPD",Raw_Data!$E$2:$E$59,"สายสนับสนุนทั่วไป")/COUNTIFS(Raw_Data!$O$2:$O$59,"&gt;=1",Raw_Data!$O$2:$O$59,"&lt;=5",Raw_Data!$A$2:$A$59,"Yes",Raw_Data!$D$2:$D$59,"IPD",Raw_Data!$E$2:$E$59,"สายสนับสนุนทั่วไป"),"")</f>
        <v>0</v>
      </c>
      <c r="AM12" s="54">
        <f>IFERROR(100*COUNTIFS(Raw_Data!$O$2:$O$59,"&gt;=4",Raw_Data!$O$2:$O$59,"&lt;=5",Raw_Data!$A$2:$A$59,"Yes",Raw_Data!$D$2:$D$59,"IT",Raw_Data!$E$2:$E$59,"สายสนับสนุนทั่วไป")/COUNTIFS(Raw_Data!$O$2:$O$59,"&gt;=1",Raw_Data!$O$2:$O$59,"&lt;=5",Raw_Data!$A$2:$A$59,"Yes",Raw_Data!$D$2:$D$59,"IT",Raw_Data!$E$2:$E$59,"สายสนับสนุนทั่วไป"),"")</f>
        <v>0</v>
      </c>
      <c r="AN12" s="54">
        <f>IFERROR(100*COUNTIFS(Raw_Data!$O$2:$O$59,"&gt;=4",Raw_Data!$O$2:$O$59,"&lt;=5",Raw_Data!$A$2:$A$59,"Yes",Raw_Data!$D$2:$D$59,"ผู้ป่วยสัมพันธ์",Raw_Data!$E$2:$E$59,"สายสนับสนุนทางการแพทย์")/COUNTIFS(Raw_Data!$O$2:$O$59,"&gt;=1",Raw_Data!$O$2:$O$59,"&lt;=5",Raw_Data!$A$2:$A$59,"Yes",Raw_Data!$D$2:$D$59,"ผู้ป่วยสัมพันธ์",Raw_Data!$E$2:$E$59,"สายสนับสนุนทางการแพทย์"),"")</f>
        <v>66.666666666666671</v>
      </c>
      <c r="AO12" s="54">
        <f>IFERROR(100*COUNTIFS(Raw_Data!$O$2:$O$59,"&gt;=4",Raw_Data!$O$2:$O$59,"&lt;=5",Raw_Data!$A$2:$A$59,"Yes",Raw_Data!$D$2:$D$59,"ฝ่ายการพยาบาล",Raw_Data!$E$2:$E$59,"สายสนับสนุนทางการแพทย์")/COUNTIFS(Raw_Data!$O$2:$O$59,"&gt;=1",Raw_Data!$O$2:$O$59,"&lt;=5",Raw_Data!$A$2:$A$59,"Yes",Raw_Data!$D$2:$D$59,"ฝ่ายการพยาบาล",Raw_Data!$E$2:$E$59,"สายสนับสนุนทางการแพทย์"),"")</f>
        <v>100</v>
      </c>
      <c r="AP12" s="54">
        <f>IFERROR(100*COUNTIFS(Raw_Data!$O$2:$O$59,"&gt;=4",Raw_Data!$O$2:$O$59,"&lt;=5",Raw_Data!$A$2:$A$59,"Yes",Raw_Data!$D$2:$D$59,"โภชนาการ",Raw_Data!$E$2:$E$59,"สายสนับสนุนทางการแพทย์")/COUNTIFS(Raw_Data!$O$2:$O$59,"&gt;=1",Raw_Data!$O$2:$O$59,"&lt;=5",Raw_Data!$A$2:$A$59,"Yes",Raw_Data!$D$2:$D$59,"โภชนาการ",Raw_Data!$E$2:$E$59,"สายสนับสนุนทางการแพทย์"),"")</f>
        <v>0</v>
      </c>
      <c r="AQ12" s="54">
        <f>IFERROR(100*COUNTIFS(Raw_Data!$O$2:$O$59,"&gt;=4",Raw_Data!$O$2:$O$59,"&lt;=5",Raw_Data!$A$2:$A$59,"Yes",Raw_Data!$D$2:$D$59,"ห้องยา",Raw_Data!$E$2:$E$59,"สายสนับสนุนทางการแพทย์")/COUNTIFS(Raw_Data!$O$2:$O$59,"&gt;=1",Raw_Data!$O$2:$O$59,"&lt;=5",Raw_Data!$A$2:$A$59,"Yes",Raw_Data!$D$2:$D$59,"ห้องยา",Raw_Data!$E$2:$E$59,"สายสนับสนุนทางการแพทย์"),"")</f>
        <v>50</v>
      </c>
      <c r="AR12" s="54">
        <f>IFERROR(100*COUNTIFS(Raw_Data!$O$2:$O$59,"&gt;=4",Raw_Data!$O$2:$O$59,"&lt;=5",Raw_Data!$A$2:$A$59,"Yes",Raw_Data!$D$2:$D$59,"ห้องแลป",Raw_Data!$E$2:$E$59,"สายสนับสนุนทางการแพทย์")/COUNTIFS(Raw_Data!$O$2:$O$59,"&gt;=1",Raw_Data!$O$2:$O$59,"&lt;=5",Raw_Data!$A$2:$A$59,"Yes",Raw_Data!$D$2:$D$59,"ห้องแลป",Raw_Data!$E$2:$E$59,"สายสนับสนุนทางการแพทย์"),"")</f>
        <v>0</v>
      </c>
      <c r="AS12" s="54">
        <f>IFERROR(100*COUNTIFS(Raw_Data!$O$2:$O$59,"&gt;=4",Raw_Data!$O$2:$O$59,"&lt;=5",Raw_Data!$A$2:$A$59,"Yes",Raw_Data!$D$2:$D$59,"ห้องเอ็กซเรย์",Raw_Data!$E$2:$E$59,"สายสนับสนุนทางการแพทย์")/COUNTIFS(Raw_Data!$O$2:$O$59,"&gt;=1",Raw_Data!$O$2:$O$59,"&lt;=5",Raw_Data!$A$2:$A$59,"Yes",Raw_Data!$D$2:$D$59,"ห้องเอ็กซเรย์",Raw_Data!$E$2:$E$59,"สายสนับสนุนทางการแพทย์"),"")</f>
        <v>100</v>
      </c>
      <c r="AT12" s="54">
        <f>IFERROR(100*COUNTIFS(Raw_Data!$O$2:$O$59,"&gt;=4",Raw_Data!$O$2:$O$59,"&lt;=5",Raw_Data!$A$2:$A$59,"Yes",Raw_Data!$D$2:$D$59,"ERและเปล",Raw_Data!$E$2:$E$59,"สายสนับสนุนทางการแพทย์")/COUNTIFS(Raw_Data!$O$2:$O$59,"&gt;=1",Raw_Data!$O$2:$O$59,"&lt;=5",Raw_Data!$A$2:$A$59,"Yes",Raw_Data!$D$2:$D$59,"ERและเปล",Raw_Data!$E$2:$E$59,"สายสนับสนุนทางการแพทย์"),"")</f>
        <v>100</v>
      </c>
      <c r="AU12" s="54">
        <f>IFERROR(100*COUNTIFS(Raw_Data!$O$2:$O$59,"&gt;=4",Raw_Data!$O$2:$O$59,"&lt;=5",Raw_Data!$A$2:$A$59,"Yes",Raw_Data!$D$2:$D$59,"ICU",Raw_Data!$E$2:$E$59,"สายสนับสนุนทางการแพทย์")/COUNTIFS(Raw_Data!$O$2:$O$59,"&gt;=1",Raw_Data!$O$2:$O$59,"&lt;=5",Raw_Data!$A$2:$A$59,"Yes",Raw_Data!$D$2:$D$59,"ICU",Raw_Data!$E$2:$E$59,"สายสนับสนุนทางการแพทย์"),"")</f>
        <v>100</v>
      </c>
      <c r="AV12" s="54">
        <f>IFERROR(100*COUNTIFS(Raw_Data!$O$2:$O$59,"&gt;=4",Raw_Data!$O$2:$O$59,"&lt;=5",Raw_Data!$A$2:$A$59,"Yes",Raw_Data!$D$2:$D$59,"IPD",Raw_Data!$E$2:$E$59,"สายสนับสนุนทางการแพทย์")/COUNTIFS(Raw_Data!$O$2:$O$59,"&gt;=1",Raw_Data!$O$2:$O$59,"&lt;=5",Raw_Data!$A$2:$A$59,"Yes",Raw_Data!$D$2:$D$59,"IPD",Raw_Data!$E$2:$E$59,"สายสนับสนุนทางการแพทย์"),"")</f>
        <v>100</v>
      </c>
      <c r="AW12" s="54">
        <f>IFERROR(100*COUNTIFS(Raw_Data!$O$2:$O$59,"&gt;=4",Raw_Data!$O$2:$O$59,"&lt;=5",Raw_Data!$A$2:$A$59,"Yes",Raw_Data!$D$2:$D$59,"IT",Raw_Data!$E$2:$E$59,"สายสนับสนุนทางการแพทย์")/COUNTIFS(Raw_Data!$O$2:$O$59,"&gt;=1",Raw_Data!$O$2:$O$59,"&lt;=5",Raw_Data!$A$2:$A$59,"Yes",Raw_Data!$D$2:$D$59,"IT",Raw_Data!$E$2:$E$59,"สายสนับสนุนทางการแพทย์"),"")</f>
        <v>100</v>
      </c>
    </row>
    <row r="13" spans="1:49" ht="42" customHeight="1">
      <c r="A13" s="50"/>
      <c r="B13" s="51" t="s">
        <v>221</v>
      </c>
      <c r="C13" s="54">
        <f>IFERROR(100*COUNTIFS(Raw_Data!$P$2:$P$59,"&gt;=1",Raw_Data!$P$2:$P$59,"&lt;=2",Raw_Data!$A$2:$A$59,"Yes")/COUNTIFS(Raw_Data!$P$2:$P$59,"&gt;=1",Raw_Data!$P$2:$P$59,"&lt;=5",Raw_Data!$A$2:$A$59,"Yes"),"")</f>
        <v>50</v>
      </c>
      <c r="D13" s="54">
        <f>IFERROR(100*COUNTIFS(Raw_Data!$P$2:$P$59,"&gt;=1",Raw_Data!$P$2:$P$59,"&lt;=2",Raw_Data!$A$2:$A$59,"Yes",Raw_Data!$D$2:$D$59,"การเงิน")/COUNTIFS(Raw_Data!$P$2:$P$59,"&gt;=1",Raw_Data!$P$2:$P$59,"&lt;=5",Raw_Data!$A$2:$A$59,"Yes",Raw_Data!$D$2:$D$59,"การเงิน"),"")</f>
        <v>33.333333333333336</v>
      </c>
      <c r="E13" s="54">
        <f>IFERROR(100*COUNTIFS(Raw_Data!$P$2:$P$59,"&gt;=1",Raw_Data!$P$2:$P$59,"&lt;=2",Raw_Data!$A$2:$A$59,"Yes",Raw_Data!$D$2:$D$59,"เคหรักษ์")/COUNTIFS(Raw_Data!$P$2:$P$59,"&gt;=1",Raw_Data!$P$2:$P$59,"&lt;=5",Raw_Data!$A$2:$A$59,"Yes",Raw_Data!$D$2:$D$59,"เคหรักษ์"),"")</f>
        <v>0</v>
      </c>
      <c r="F13" s="54">
        <f>IFERROR(100*COUNTIFS(Raw_Data!$P$2:$P$59,"&gt;=1",Raw_Data!$P$2:$P$59,"&lt;=2",Raw_Data!$A$2:$A$59,"Yes",Raw_Data!$D$2:$D$59,"จ่ายกลาง")/COUNTIFS(Raw_Data!$P$2:$P$59,"&gt;=1",Raw_Data!$P$2:$P$59,"&lt;=5",Raw_Data!$A$2:$A$59,"Yes",Raw_Data!$D$2:$D$59,"จ่ายกลาง"),"")</f>
        <v>0</v>
      </c>
      <c r="G13" s="54">
        <f>IFERROR(100*COUNTIFS(Raw_Data!$P$2:$P$59,"&gt;=1",Raw_Data!$P$2:$P$59,"&lt;=2",Raw_Data!$A$2:$A$59,"Yes",Raw_Data!$D$2:$D$59,"ช่างและสนาม")/COUNTIFS(Raw_Data!$P$2:$P$59,"&gt;=1",Raw_Data!$P$2:$P$59,"&lt;=5",Raw_Data!$A$2:$A$59,"Yes",Raw_Data!$D$2:$D$59,"ช่างและสนาม"),"")</f>
        <v>75</v>
      </c>
      <c r="H13" s="54">
        <f>IFERROR(100*COUNTIFS(Raw_Data!$P$2:$P$59,"&gt;=1",Raw_Data!$P$2:$P$59,"&lt;=2",Raw_Data!$A$2:$A$59,"Yes",Raw_Data!$D$2:$D$59,"ผู้ป่วยสัมพันธ์")/COUNTIFS(Raw_Data!$P$2:$P$59,"&gt;=1",Raw_Data!$P$2:$P$59,"&lt;=5",Raw_Data!$A$2:$A$59,"Yes",Raw_Data!$D$2:$D$59,"ผู้ป่วยสัมพันธ์"),"")</f>
        <v>50</v>
      </c>
      <c r="I13" s="54">
        <f>IFERROR(100*COUNTIFS(Raw_Data!$P$2:$P$59,"&gt;=1",Raw_Data!$P$2:$P$59,"&lt;=2",Raw_Data!$A$2:$A$59,"Yes",Raw_Data!$D$2:$D$59,"ฝ่ายการพยาบาล")/COUNTIFS(Raw_Data!$P$2:$P$59,"&gt;=1",Raw_Data!$P$2:$P$59,"&lt;=5",Raw_Data!$A$2:$A$59,"Yes",Raw_Data!$D$2:$D$59,"ฝ่ายการพยาบาล"),"")</f>
        <v>50</v>
      </c>
      <c r="J13" s="54">
        <f>IFERROR(100*COUNTIFS(Raw_Data!$P$2:$P$59,"&gt;=1",Raw_Data!$P$2:$P$59,"&lt;=2",Raw_Data!$A$2:$A$59,"Yes",Raw_Data!$D$2:$D$59,"โภชนาการ")/COUNTIFS(Raw_Data!$P$2:$P$59,"&gt;=1",Raw_Data!$P$2:$P$59,"&lt;=5",Raw_Data!$A$2:$A$59,"Yes",Raw_Data!$D$2:$D$59,"โภชนาการ"),"")</f>
        <v>100</v>
      </c>
      <c r="K13" s="54">
        <f>IFERROR(100*COUNTIFS(Raw_Data!$P$2:$P$59,"&gt;=1",Raw_Data!$P$2:$P$59,"&lt;=2",Raw_Data!$A$2:$A$59,"Yes",Raw_Data!$D$2:$D$59,"ยานพาหนะ")/COUNTIFS(Raw_Data!$P$2:$P$59,"&gt;=1",Raw_Data!$P$2:$P$59,"&lt;=5",Raw_Data!$A$2:$A$59,"Yes",Raw_Data!$D$2:$D$59,"ยานพาหนะ"),"")</f>
        <v>100</v>
      </c>
      <c r="L13" s="54">
        <f>IFERROR(100*COUNTIFS(Raw_Data!$P$2:$P$59,"&gt;=1",Raw_Data!$P$2:$P$59,"&lt;=2",Raw_Data!$A$2:$A$59,"Yes",Raw_Data!$D$2:$D$59,"สื่อสารการตลาด")/COUNTIFS(Raw_Data!$P$2:$P$59,"&gt;=1",Raw_Data!$P$2:$P$59,"&lt;=5",Raw_Data!$A$2:$A$59,"Yes",Raw_Data!$D$2:$D$59,"สื่อสารการตลาด"),"")</f>
        <v>0</v>
      </c>
      <c r="M13" s="54">
        <f>IFERROR(100*COUNTIFS(Raw_Data!$P$2:$P$59,"&gt;=1",Raw_Data!$P$2:$P$59,"&lt;=2",Raw_Data!$A$2:$A$59,"Yes",Raw_Data!$D$2:$D$59,"ห้องยา")/COUNTIFS(Raw_Data!$P$2:$P$59,"&gt;=1",Raw_Data!$P$2:$P$59,"&lt;=5",Raw_Data!$A$2:$A$59,"Yes",Raw_Data!$D$2:$D$59,"ห้องยา"),"")</f>
        <v>33.333333333333336</v>
      </c>
      <c r="N13" s="54">
        <f>IFERROR(100*COUNTIFS(Raw_Data!$P$2:$P$59,"&gt;=1",Raw_Data!$P$2:$P$59,"&lt;=2",Raw_Data!$A$2:$A$59,"Yes",Raw_Data!$D$2:$D$59,"ห้องแลป")/COUNTIFS(Raw_Data!$P$2:$P$59,"&gt;=1",Raw_Data!$P$2:$P$59,"&lt;=5",Raw_Data!$A$2:$A$59,"Yes",Raw_Data!$D$2:$D$59,"ห้องแลป"),"")</f>
        <v>50</v>
      </c>
      <c r="O13" s="54">
        <f>IFERROR(100*COUNTIFS(Raw_Data!$P$2:$P$59,"&gt;=1",Raw_Data!$P$2:$P$59,"&lt;=2",Raw_Data!$A$2:$A$59,"Yes",Raw_Data!$D$2:$D$59,"ห้องเอ็กซเรย์")/COUNTIFS(Raw_Data!$P$2:$P$59,"&gt;=1",Raw_Data!$P$2:$P$59,"&lt;=5",Raw_Data!$A$2:$A$59,"Yes",Raw_Data!$D$2:$D$59,"ห้องเอ็กซเรย์"),"")</f>
        <v>66.666666666666671</v>
      </c>
      <c r="P13" s="54">
        <f>IFERROR(100*COUNTIFS(Raw_Data!$P$2:$P$59,"&gt;=1",Raw_Data!$P$2:$P$59,"&lt;=2",Raw_Data!$A$2:$A$59,"Yes",Raw_Data!$D$2:$D$59,"ERและเปล")/COUNTIFS(Raw_Data!$P$2:$P$59,"&gt;=1",Raw_Data!$P$2:$P$59,"&lt;=5",Raw_Data!$A$2:$A$59,"Yes",Raw_Data!$D$2:$D$59,"ERและเปล"),"")</f>
        <v>45.454545454545453</v>
      </c>
      <c r="Q13" s="54">
        <f>IFERROR(100*COUNTIFS(Raw_Data!$P$2:$P$59,"&gt;=1",Raw_Data!$P$2:$P$59,"&lt;=2",Raw_Data!$A$2:$A$59,"Yes",Raw_Data!$D$2:$D$59,"HR")/COUNTIFS(Raw_Data!$P$2:$P$59,"&gt;=1",Raw_Data!$P$2:$P$59,"&lt;=5",Raw_Data!$A$2:$A$59,"Yes",Raw_Data!$D$2:$D$59,"HR"),"")</f>
        <v>0</v>
      </c>
      <c r="R13" s="54">
        <f>IFERROR(100*COUNTIFS(Raw_Data!$P$2:$P$59,"&gt;=1",Raw_Data!$P$2:$P$59,"&lt;=2",Raw_Data!$A$2:$A$59,"Yes",Raw_Data!$D$2:$D$59,"ICU")/COUNTIFS(Raw_Data!$P$2:$P$59,"&gt;=1",Raw_Data!$P$2:$P$59,"&lt;=5",Raw_Data!$A$2:$A$59,"Yes",Raw_Data!$D$2:$D$59,"ICU"),"")</f>
        <v>50</v>
      </c>
      <c r="S13" s="54">
        <f>IFERROR(100*COUNTIFS(Raw_Data!$P$2:$P$59,"&gt;=1",Raw_Data!$P$2:$P$59,"&lt;=2",Raw_Data!$A$2:$A$59,"Yes",Raw_Data!$D$2:$D$59,"IPD")/COUNTIFS(Raw_Data!$P$2:$P$59,"&gt;=1",Raw_Data!$P$2:$P$59,"&lt;=5",Raw_Data!$A$2:$A$59,"Yes",Raw_Data!$D$2:$D$59,"IPD"),"")</f>
        <v>50</v>
      </c>
      <c r="T13" s="54">
        <f>IFERROR(100*COUNTIFS(Raw_Data!$P$2:$P$59,"&gt;=1",Raw_Data!$P$2:$P$59,"&lt;=2",Raw_Data!$A$2:$A$59,"Yes",Raw_Data!$D$2:$D$59,"IT")/COUNTIFS(Raw_Data!$P$2:$P$59,"&gt;=1",Raw_Data!$P$2:$P$59,"&lt;=5",Raw_Data!$A$2:$A$59,"Yes",Raw_Data!$D$2:$D$59,"IT"),"")</f>
        <v>50</v>
      </c>
      <c r="U13" s="54">
        <f>IFERROR(100*COUNTIFS(Raw_Data!$P$2:$P$59,"&gt;=1",Raw_Data!$P$2:$P$59,"&lt;=2",Raw_Data!$A$2:$A$59,"Yes",Raw_Data!$D$2:$D$59,"OR")/COUNTIFS(Raw_Data!$P$2:$P$59,"&gt;=1",Raw_Data!$P$2:$P$59,"&lt;=5",Raw_Data!$A$2:$A$59,"Yes",Raw_Data!$D$2:$D$59,"OR"),"")</f>
        <v>100</v>
      </c>
      <c r="V13" s="54">
        <f>IFERROR(100*COUNTIFS(Raw_Data!$P$2:$P$59,"&gt;=1",Raw_Data!$P$2:$P$59,"&lt;=2",Raw_Data!$A$2:$A$59,"Yes",Raw_Data!$D$2:$D$59,"IPD",Raw_Data!$E$2:$E$59,"ผู้บริหาร")/COUNTIFS(Raw_Data!$P$2:$P$59,"&gt;=1",Raw_Data!$P$2:$P$59,"&lt;=5",Raw_Data!$A$2:$A$59,"Yes",Raw_Data!$D$2:$D$59,"IPD",Raw_Data!$E$2:$E$59,"ผู้บริหาร"),"")</f>
        <v>100</v>
      </c>
      <c r="W13" s="54">
        <f>IFERROR(100*COUNTIFS(Raw_Data!$P$2:$P$59,"&gt;=1",Raw_Data!$P$2:$P$59,"&lt;=2",Raw_Data!$A$2:$A$59,"Yes",Raw_Data!$D$2:$D$59,"ฝ่ายการพยาบาล",Raw_Data!$E$2:$E$59,"สายวิชาชีพสาธารณสุข")/COUNTIFS(Raw_Data!$P$2:$P$59,"&gt;=1",Raw_Data!$P$2:$P$59,"&lt;=5",Raw_Data!$A$2:$A$59,"Yes",Raw_Data!$D$2:$D$59,"ฝ่ายการพยาบาล",Raw_Data!$E$2:$E$59,"สายวิชาชีพสาธารณสุข"),"")</f>
        <v>0</v>
      </c>
      <c r="X13" s="54">
        <f>IFERROR(100*COUNTIFS(Raw_Data!$P$2:$P$59,"&gt;=1",Raw_Data!$P$2:$P$59,"&lt;=2",Raw_Data!$A$2:$A$59,"Yes",Raw_Data!$D$2:$D$59,"ERและเปล",Raw_Data!$E$2:$E$59,"สายวิชาชีพสาธารณสุข")/COUNTIFS(Raw_Data!$P$2:$P$59,"&gt;=1",Raw_Data!$P$2:$P$59,"&lt;=5",Raw_Data!$A$2:$A$59,"Yes",Raw_Data!$D$2:$D$59,"ERและเปล",Raw_Data!$E$2:$E$59,"สายวิชาชีพสาธารณสุข"),"")</f>
        <v>42.857142857142854</v>
      </c>
      <c r="Y13" s="54">
        <f>IFERROR(100*COUNTIFS(Raw_Data!$P$2:$P$59,"&gt;=1",Raw_Data!$P$2:$P$59,"&lt;=2",Raw_Data!$A$2:$A$59,"Yes",Raw_Data!$D$2:$D$59,"ICU",Raw_Data!$E$2:$E$59,"สายวิชาชีพสาธารณสุข")/COUNTIFS(Raw_Data!$P$2:$P$59,"&gt;=1",Raw_Data!$P$2:$P$59,"&lt;=5",Raw_Data!$A$2:$A$59,"Yes",Raw_Data!$D$2:$D$59,"ICU",Raw_Data!$E$2:$E$59,"สายวิชาชีพสาธารณสุข"),"")</f>
        <v>50</v>
      </c>
      <c r="Z13" s="54">
        <f>IFERROR(100*COUNTIFS(Raw_Data!$P$2:$P$59,"&gt;=1",Raw_Data!$P$2:$P$59,"&lt;=2",Raw_Data!$A$2:$A$59,"Yes",Raw_Data!$D$2:$D$59,"IPD",Raw_Data!$E$2:$E$59,"สายวิชาชีพสาธารณสุข")/COUNTIFS(Raw_Data!$P$2:$P$59,"&gt;=1",Raw_Data!$P$2:$P$59,"&lt;=5",Raw_Data!$A$2:$A$59,"Yes",Raw_Data!$D$2:$D$59,"IPD",Raw_Data!$E$2:$E$59,"สายวิชาชีพสาธารณสุข"),"")</f>
        <v>50</v>
      </c>
      <c r="AA13" s="54">
        <f>IFERROR(100*COUNTIFS(Raw_Data!$P$2:$P$59,"&gt;=1",Raw_Data!$P$2:$P$59,"&lt;=2",Raw_Data!$A$2:$A$59,"Yes",Raw_Data!$D$2:$D$59,"OR",Raw_Data!$E$2:$E$59,"สายวิชาชีพสาธารณสุข")/COUNTIFS(Raw_Data!$P$2:$P$59,"&gt;=1",Raw_Data!$P$2:$P$59,"&lt;=5",Raw_Data!$A$2:$A$59,"Yes",Raw_Data!$D$2:$D$59,"OR",Raw_Data!$E$2:$E$59,"สายวิชาชีพสาธารณสุข"),"")</f>
        <v>100</v>
      </c>
      <c r="AB13" s="54">
        <f>IFERROR(100*COUNTIFS(Raw_Data!$P$2:$P$59,"&gt;=1",Raw_Data!$P$2:$P$59,"&lt;=2",Raw_Data!$A$2:$A$59,"Yes",Raw_Data!$D$2:$D$59,"การเงิน",Raw_Data!$E$2:$E$59,"สายสนับสนุนทั่วไป")/COUNTIFS(Raw_Data!$P$2:$P$59,"&gt;=1",Raw_Data!$P$2:$P$59,"&lt;=5",Raw_Data!$A$2:$A$59,"Yes",Raw_Data!$D$2:$D$59,"การเงิน",Raw_Data!$E$2:$E$59,"สายสนับสนุนทั่วไป"),"")</f>
        <v>33.333333333333336</v>
      </c>
      <c r="AC13" s="54">
        <f>IFERROR(100*COUNTIFS(Raw_Data!$P$2:$P$59,"&gt;=1",Raw_Data!$P$2:$P$59,"&lt;=2",Raw_Data!$A$2:$A$59,"Yes",Raw_Data!$D$2:$D$59,"เคหรักษ์",Raw_Data!$E$2:$E$59,"สายสนับสนุนทั่วไป")/COUNTIFS(Raw_Data!$P$2:$P$59,"&gt;=1",Raw_Data!$P$2:$P$59,"&lt;=5",Raw_Data!$A$2:$A$59,"Yes",Raw_Data!$D$2:$D$59,"เคหรักษ์",Raw_Data!$E$2:$E$59,"สายสนับสนุนทั่วไป"),"")</f>
        <v>0</v>
      </c>
      <c r="AD13" s="54">
        <f>IFERROR(100*COUNTIFS(Raw_Data!$P$2:$P$59,"&gt;=1",Raw_Data!$P$2:$P$59,"&lt;=2",Raw_Data!$A$2:$A$59,"Yes",Raw_Data!$D$2:$D$59,"จ่ายกลาง",Raw_Data!$E$2:$E$59,"สายสนับสนุนทั่วไป")/COUNTIFS(Raw_Data!$P$2:$P$59,"&gt;=1",Raw_Data!$P$2:$P$59,"&lt;=5",Raw_Data!$A$2:$A$59,"Yes",Raw_Data!$D$2:$D$59,"จ่ายกลาง",Raw_Data!$E$2:$E$59,"สายสนับสนุนทั่วไป"),"")</f>
        <v>0</v>
      </c>
      <c r="AE13" s="54">
        <f>IFERROR(100*COUNTIFS(Raw_Data!$P$2:$P$59,"&gt;=1",Raw_Data!$P$2:$P$59,"&lt;=2",Raw_Data!$A$2:$A$59,"Yes",Raw_Data!$D$2:$D$59,"ช่างและสนาม",Raw_Data!$E$2:$E$59,"สายสนับสนุนทั่วไป")/COUNTIFS(Raw_Data!$P$2:$P$59,"&gt;=1",Raw_Data!$P$2:$P$59,"&lt;=5",Raw_Data!$A$2:$A$59,"Yes",Raw_Data!$D$2:$D$59,"ช่างและสนาม",Raw_Data!$E$2:$E$59,"สายสนับสนุนทั่วไป"),"")</f>
        <v>75</v>
      </c>
      <c r="AF13" s="54">
        <f>IFERROR(100*COUNTIFS(Raw_Data!$P$2:$P$59,"&gt;=1",Raw_Data!$P$2:$P$59,"&lt;=2",Raw_Data!$A$2:$A$59,"Yes",Raw_Data!$D$2:$D$59,"ผู้ป่วยสัมพันธ์",Raw_Data!$E$2:$E$59,"สายสนับสนุนทั่วไป")/COUNTIFS(Raw_Data!$P$2:$P$59,"&gt;=1",Raw_Data!$P$2:$P$59,"&lt;=5",Raw_Data!$A$2:$A$59,"Yes",Raw_Data!$D$2:$D$59,"ผู้ป่วยสัมพันธ์",Raw_Data!$E$2:$E$59,"สายสนับสนุนทั่วไป"),"")</f>
        <v>0</v>
      </c>
      <c r="AG13" s="54">
        <f>IFERROR(100*COUNTIFS(Raw_Data!$P$2:$P$59,"&gt;=1",Raw_Data!$P$2:$P$59,"&lt;=2",Raw_Data!$A$2:$A$59,"Yes",Raw_Data!$D$2:$D$59,"ยานพาหนะ",Raw_Data!$E$2:$E$59,"สายสนับสนุนทั่วไป")/COUNTIFS(Raw_Data!$P$2:$P$59,"&gt;=1",Raw_Data!$P$2:$P$59,"&lt;=5",Raw_Data!$A$2:$A$59,"Yes",Raw_Data!$D$2:$D$59,"ยานพาหนะ",Raw_Data!$E$2:$E$59,"สายสนับสนุนทั่วไป"),"")</f>
        <v>100</v>
      </c>
      <c r="AH13" s="54">
        <f>IFERROR(100*COUNTIFS(Raw_Data!$P$2:$P$59,"&gt;=1",Raw_Data!$P$2:$P$59,"&lt;=2",Raw_Data!$A$2:$A$59,"Yes",Raw_Data!$D$2:$D$59,"สื่อสารการตลาด",Raw_Data!$E$2:$E$59,"สายสนับสนุนทั่วไป")/COUNTIFS(Raw_Data!$P$2:$P$59,"&gt;=1",Raw_Data!$P$2:$P$59,"&lt;=5",Raw_Data!$A$2:$A$59,"Yes",Raw_Data!$D$2:$D$59,"สื่อสารการตลาด",Raw_Data!$E$2:$E$59,"สายสนับสนุนทั่วไป"),"")</f>
        <v>0</v>
      </c>
      <c r="AI13" s="54">
        <f>IFERROR(100*COUNTIFS(Raw_Data!$P$2:$P$59,"&gt;=1",Raw_Data!$P$2:$P$59,"&lt;=2",Raw_Data!$A$2:$A$59,"Yes",Raw_Data!$D$2:$D$59,"ERและเปล",Raw_Data!$E$2:$E$59,"สายสนับสนุนทั่วไป")/COUNTIFS(Raw_Data!$P$2:$P$59,"&gt;=1",Raw_Data!$P$2:$P$59,"&lt;=5",Raw_Data!$A$2:$A$59,"Yes",Raw_Data!$D$2:$D$59,"ERและเปล",Raw_Data!$E$2:$E$59,"สายสนับสนุนทั่วไป"),"")</f>
        <v>66.666666666666671</v>
      </c>
      <c r="AJ13" s="54">
        <f>IFERROR(100*COUNTIFS(Raw_Data!$P$2:$P$59,"&gt;=1",Raw_Data!$P$2:$P$59,"&lt;=2",Raw_Data!$A$2:$A$59,"Yes",Raw_Data!$D$2:$D$59,"HR",Raw_Data!$E$2:$E$59,"สายสนับสนุนทั่วไป")/COUNTIFS(Raw_Data!$P$2:$P$59,"&gt;=1",Raw_Data!$P$2:$P$59,"&lt;=5",Raw_Data!$A$2:$A$59,"Yes",Raw_Data!$D$2:$D$59,"HR",Raw_Data!$E$2:$E$59,"สายสนับสนุนทั่วไป"),"")</f>
        <v>0</v>
      </c>
      <c r="AK13" s="54">
        <f>IFERROR(100*COUNTIFS(Raw_Data!$P$2:$P$59,"&gt;=1",Raw_Data!$P$2:$P$59,"&lt;=2",Raw_Data!$A$2:$A$59,"Yes",Raw_Data!$D$2:$D$59,"ICU",Raw_Data!$E$2:$E$59,"สายสนับสนุนทั่วไป")/COUNTIFS(Raw_Data!$P$2:$P$59,"&gt;=1",Raw_Data!$P$2:$P$59,"&lt;=5",Raw_Data!$A$2:$A$59,"Yes",Raw_Data!$D$2:$D$59,"ICU",Raw_Data!$E$2:$E$59,"สายสนับสนุนทั่วไป"),"")</f>
        <v>0</v>
      </c>
      <c r="AL13" s="54">
        <f>IFERROR(100*COUNTIFS(Raw_Data!$P$2:$P$59,"&gt;=1",Raw_Data!$P$2:$P$59,"&lt;=2",Raw_Data!$A$2:$A$59,"Yes",Raw_Data!$D$2:$D$59,"IPD",Raw_Data!$E$2:$E$59,"สายสนับสนุนทั่วไป")/COUNTIFS(Raw_Data!$P$2:$P$59,"&gt;=1",Raw_Data!$P$2:$P$59,"&lt;=5",Raw_Data!$A$2:$A$59,"Yes",Raw_Data!$D$2:$D$59,"IPD",Raw_Data!$E$2:$E$59,"สายสนับสนุนทั่วไป"),"")</f>
        <v>0</v>
      </c>
      <c r="AM13" s="54">
        <f>IFERROR(100*COUNTIFS(Raw_Data!$P$2:$P$59,"&gt;=1",Raw_Data!$P$2:$P$59,"&lt;=2",Raw_Data!$A$2:$A$59,"Yes",Raw_Data!$D$2:$D$59,"IT",Raw_Data!$E$2:$E$59,"สายสนับสนุนทั่วไป")/COUNTIFS(Raw_Data!$P$2:$P$59,"&gt;=1",Raw_Data!$P$2:$P$59,"&lt;=5",Raw_Data!$A$2:$A$59,"Yes",Raw_Data!$D$2:$D$59,"IT",Raw_Data!$E$2:$E$59,"สายสนับสนุนทั่วไป"),"")</f>
        <v>0</v>
      </c>
      <c r="AN13" s="54">
        <f>IFERROR(100*COUNTIFS(Raw_Data!$P$2:$P$59,"&gt;=1",Raw_Data!$P$2:$P$59,"&lt;=2",Raw_Data!$A$2:$A$59,"Yes",Raw_Data!$D$2:$D$59,"ผู้ป่วยสัมพันธ์",Raw_Data!$E$2:$E$59,"สายสนับสนุนทางการแพทย์")/COUNTIFS(Raw_Data!$P$2:$P$59,"&gt;=1",Raw_Data!$P$2:$P$59,"&lt;=5",Raw_Data!$A$2:$A$59,"Yes",Raw_Data!$D$2:$D$59,"ผู้ป่วยสัมพันธ์",Raw_Data!$E$2:$E$59,"สายสนับสนุนทางการแพทย์"),"")</f>
        <v>66.666666666666671</v>
      </c>
      <c r="AO13" s="54">
        <f>IFERROR(100*COUNTIFS(Raw_Data!$P$2:$P$59,"&gt;=1",Raw_Data!$P$2:$P$59,"&lt;=2",Raw_Data!$A$2:$A$59,"Yes",Raw_Data!$D$2:$D$59,"ฝ่ายการพยาบาล",Raw_Data!$E$2:$E$59,"สายสนับสนุนทางการแพทย์")/COUNTIFS(Raw_Data!$P$2:$P$59,"&gt;=1",Raw_Data!$P$2:$P$59,"&lt;=5",Raw_Data!$A$2:$A$59,"Yes",Raw_Data!$D$2:$D$59,"ฝ่ายการพยาบาล",Raw_Data!$E$2:$E$59,"สายสนับสนุนทางการแพทย์"),"")</f>
        <v>100</v>
      </c>
      <c r="AP13" s="54">
        <f>IFERROR(100*COUNTIFS(Raw_Data!$P$2:$P$59,"&gt;=1",Raw_Data!$P$2:$P$59,"&lt;=2",Raw_Data!$A$2:$A$59,"Yes",Raw_Data!$D$2:$D$59,"โภชนาการ",Raw_Data!$E$2:$E$59,"สายสนับสนุนทางการแพทย์")/COUNTIFS(Raw_Data!$P$2:$P$59,"&gt;=1",Raw_Data!$P$2:$P$59,"&lt;=5",Raw_Data!$A$2:$A$59,"Yes",Raw_Data!$D$2:$D$59,"โภชนาการ",Raw_Data!$E$2:$E$59,"สายสนับสนุนทางการแพทย์"),"")</f>
        <v>100</v>
      </c>
      <c r="AQ13" s="54">
        <f>IFERROR(100*COUNTIFS(Raw_Data!$P$2:$P$59,"&gt;=1",Raw_Data!$P$2:$P$59,"&lt;=2",Raw_Data!$A$2:$A$59,"Yes",Raw_Data!$D$2:$D$59,"ห้องยา",Raw_Data!$E$2:$E$59,"สายสนับสนุนทางการแพทย์")/COUNTIFS(Raw_Data!$P$2:$P$59,"&gt;=1",Raw_Data!$P$2:$P$59,"&lt;=5",Raw_Data!$A$2:$A$59,"Yes",Raw_Data!$D$2:$D$59,"ห้องยา",Raw_Data!$E$2:$E$59,"สายสนับสนุนทางการแพทย์"),"")</f>
        <v>33.333333333333336</v>
      </c>
      <c r="AR13" s="54">
        <f>IFERROR(100*COUNTIFS(Raw_Data!$P$2:$P$59,"&gt;=1",Raw_Data!$P$2:$P$59,"&lt;=2",Raw_Data!$A$2:$A$59,"Yes",Raw_Data!$D$2:$D$59,"ห้องแลป",Raw_Data!$E$2:$E$59,"สายสนับสนุนทางการแพทย์")/COUNTIFS(Raw_Data!$P$2:$P$59,"&gt;=1",Raw_Data!$P$2:$P$59,"&lt;=5",Raw_Data!$A$2:$A$59,"Yes",Raw_Data!$D$2:$D$59,"ห้องแลป",Raw_Data!$E$2:$E$59,"สายสนับสนุนทางการแพทย์"),"")</f>
        <v>50</v>
      </c>
      <c r="AS13" s="54">
        <f>IFERROR(100*COUNTIFS(Raw_Data!$P$2:$P$59,"&gt;=1",Raw_Data!$P$2:$P$59,"&lt;=2",Raw_Data!$A$2:$A$59,"Yes",Raw_Data!$D$2:$D$59,"ห้องเอ็กซเรย์",Raw_Data!$E$2:$E$59,"สายสนับสนุนทางการแพทย์")/COUNTIFS(Raw_Data!$P$2:$P$59,"&gt;=1",Raw_Data!$P$2:$P$59,"&lt;=5",Raw_Data!$A$2:$A$59,"Yes",Raw_Data!$D$2:$D$59,"ห้องเอ็กซเรย์",Raw_Data!$E$2:$E$59,"สายสนับสนุนทางการแพทย์"),"")</f>
        <v>66.666666666666671</v>
      </c>
      <c r="AT13" s="54">
        <f>IFERROR(100*COUNTIFS(Raw_Data!$P$2:$P$59,"&gt;=1",Raw_Data!$P$2:$P$59,"&lt;=2",Raw_Data!$A$2:$A$59,"Yes",Raw_Data!$D$2:$D$59,"ERและเปล",Raw_Data!$E$2:$E$59,"สายสนับสนุนทางการแพทย์")/COUNTIFS(Raw_Data!$P$2:$P$59,"&gt;=1",Raw_Data!$P$2:$P$59,"&lt;=5",Raw_Data!$A$2:$A$59,"Yes",Raw_Data!$D$2:$D$59,"ERและเปล",Raw_Data!$E$2:$E$59,"สายสนับสนุนทางการแพทย์"),"")</f>
        <v>0</v>
      </c>
      <c r="AU13" s="54">
        <f>IFERROR(100*COUNTIFS(Raw_Data!$P$2:$P$59,"&gt;=1",Raw_Data!$P$2:$P$59,"&lt;=2",Raw_Data!$A$2:$A$59,"Yes",Raw_Data!$D$2:$D$59,"ICU",Raw_Data!$E$2:$E$59,"สายสนับสนุนทางการแพทย์")/COUNTIFS(Raw_Data!$P$2:$P$59,"&gt;=1",Raw_Data!$P$2:$P$59,"&lt;=5",Raw_Data!$A$2:$A$59,"Yes",Raw_Data!$D$2:$D$59,"ICU",Raw_Data!$E$2:$E$59,"สายสนับสนุนทางการแพทย์"),"")</f>
        <v>100</v>
      </c>
      <c r="AV13" s="54">
        <f>IFERROR(100*COUNTIFS(Raw_Data!$P$2:$P$59,"&gt;=1",Raw_Data!$P$2:$P$59,"&lt;=2",Raw_Data!$A$2:$A$59,"Yes",Raw_Data!$D$2:$D$59,"IPD",Raw_Data!$E$2:$E$59,"สายสนับสนุนทางการแพทย์")/COUNTIFS(Raw_Data!$P$2:$P$59,"&gt;=1",Raw_Data!$P$2:$P$59,"&lt;=5",Raw_Data!$A$2:$A$59,"Yes",Raw_Data!$D$2:$D$59,"IPD",Raw_Data!$E$2:$E$59,"สายสนับสนุนทางการแพทย์"),"")</f>
        <v>50</v>
      </c>
      <c r="AW13" s="54">
        <f>IFERROR(100*COUNTIFS(Raw_Data!$P$2:$P$59,"&gt;=1",Raw_Data!$P$2:$P$59,"&lt;=2",Raw_Data!$A$2:$A$59,"Yes",Raw_Data!$D$2:$D$59,"IT",Raw_Data!$E$2:$E$59,"สายสนับสนุนทางการแพทย์")/COUNTIFS(Raw_Data!$P$2:$P$59,"&gt;=1",Raw_Data!$P$2:$P$59,"&lt;=5",Raw_Data!$A$2:$A$59,"Yes",Raw_Data!$D$2:$D$59,"IT",Raw_Data!$E$2:$E$59,"สายสนับสนุนทางการแพทย์"),"")</f>
        <v>100</v>
      </c>
    </row>
    <row r="14" spans="1:49" ht="42" customHeight="1">
      <c r="A14" s="50" t="s">
        <v>14</v>
      </c>
      <c r="B14" s="51" t="s">
        <v>36</v>
      </c>
      <c r="C14" s="54">
        <f>IFERROR(100*COUNTIFS(Raw_Data!$Q$2:$Q$59,"&gt;=1",Raw_Data!$Q$2:$Q$59,"&lt;=2",Raw_Data!$A$2:$A$59,"Yes")/COUNTIFS(Raw_Data!$Q$2:$Q$59,"&gt;=1",Raw_Data!$Q$2:$Q$59,"&lt;=5",Raw_Data!$A$2:$A$59,"Yes"),"")</f>
        <v>32.758620689655174</v>
      </c>
      <c r="D14" s="54">
        <f>IFERROR(100*COUNTIFS(Raw_Data!$Q$2:$Q$59,"&gt;=1",Raw_Data!$Q$2:$Q$59,"&lt;=2",Raw_Data!$A$2:$A$59,"Yes",Raw_Data!$D$2:$D$59,"การเงิน")/COUNTIFS(Raw_Data!$Q$2:$Q$59,"&gt;=1",Raw_Data!$Q$2:$Q$59,"&lt;=5",Raw_Data!$A$2:$A$59,"Yes",Raw_Data!$D$2:$D$59,"การเงิน"),"")</f>
        <v>33.333333333333336</v>
      </c>
      <c r="E14" s="54">
        <f>IFERROR(100*COUNTIFS(Raw_Data!$Q$2:$Q$59,"&gt;=1",Raw_Data!$Q$2:$Q$59,"&lt;=2",Raw_Data!$A$2:$A$59,"Yes",Raw_Data!$D$2:$D$59,"เคหรักษ์")/COUNTIFS(Raw_Data!$Q$2:$Q$59,"&gt;=1",Raw_Data!$Q$2:$Q$59,"&lt;=5",Raw_Data!$A$2:$A$59,"Yes",Raw_Data!$D$2:$D$59,"เคหรักษ์"),"")</f>
        <v>0</v>
      </c>
      <c r="F14" s="54">
        <f>IFERROR(100*COUNTIFS(Raw_Data!$Q$2:$Q$59,"&gt;=1",Raw_Data!$Q$2:$Q$59,"&lt;=2",Raw_Data!$A$2:$A$59,"Yes",Raw_Data!$D$2:$D$59,"จ่ายกลาง")/COUNTIFS(Raw_Data!$Q$2:$Q$59,"&gt;=1",Raw_Data!$Q$2:$Q$59,"&lt;=5",Raw_Data!$A$2:$A$59,"Yes",Raw_Data!$D$2:$D$59,"จ่ายกลาง"),"")</f>
        <v>0</v>
      </c>
      <c r="G14" s="54">
        <f>IFERROR(100*COUNTIFS(Raw_Data!$Q$2:$Q$59,"&gt;=1",Raw_Data!$Q$2:$Q$59,"&lt;=2",Raw_Data!$A$2:$A$59,"Yes",Raw_Data!$D$2:$D$59,"ช่างและสนาม")/COUNTIFS(Raw_Data!$Q$2:$Q$59,"&gt;=1",Raw_Data!$Q$2:$Q$59,"&lt;=5",Raw_Data!$A$2:$A$59,"Yes",Raw_Data!$D$2:$D$59,"ช่างและสนาม"),"")</f>
        <v>25</v>
      </c>
      <c r="H14" s="54">
        <f>IFERROR(100*COUNTIFS(Raw_Data!$Q$2:$Q$59,"&gt;=1",Raw_Data!$Q$2:$Q$59,"&lt;=2",Raw_Data!$A$2:$A$59,"Yes",Raw_Data!$D$2:$D$59,"ผู้ป่วยสัมพันธ์")/COUNTIFS(Raw_Data!$Q$2:$Q$59,"&gt;=1",Raw_Data!$Q$2:$Q$59,"&lt;=5",Raw_Data!$A$2:$A$59,"Yes",Raw_Data!$D$2:$D$59,"ผู้ป่วยสัมพันธ์"),"")</f>
        <v>50</v>
      </c>
      <c r="I14" s="54">
        <f>IFERROR(100*COUNTIFS(Raw_Data!$Q$2:$Q$59,"&gt;=1",Raw_Data!$Q$2:$Q$59,"&lt;=2",Raw_Data!$A$2:$A$59,"Yes",Raw_Data!$D$2:$D$59,"ฝ่ายการพยาบาล")/COUNTIFS(Raw_Data!$Q$2:$Q$59,"&gt;=1",Raw_Data!$Q$2:$Q$59,"&lt;=5",Raw_Data!$A$2:$A$59,"Yes",Raw_Data!$D$2:$D$59,"ฝ่ายการพยาบาล"),"")</f>
        <v>50</v>
      </c>
      <c r="J14" s="54">
        <f>IFERROR(100*COUNTIFS(Raw_Data!$Q$2:$Q$59,"&gt;=1",Raw_Data!$Q$2:$Q$59,"&lt;=2",Raw_Data!$A$2:$A$59,"Yes",Raw_Data!$D$2:$D$59,"โภชนาการ")/COUNTIFS(Raw_Data!$Q$2:$Q$59,"&gt;=1",Raw_Data!$Q$2:$Q$59,"&lt;=5",Raw_Data!$A$2:$A$59,"Yes",Raw_Data!$D$2:$D$59,"โภชนาการ"),"")</f>
        <v>100</v>
      </c>
      <c r="K14" s="54">
        <f>IFERROR(100*COUNTIFS(Raw_Data!$Q$2:$Q$59,"&gt;=1",Raw_Data!$Q$2:$Q$59,"&lt;=2",Raw_Data!$A$2:$A$59,"Yes",Raw_Data!$D$2:$D$59,"ยานพาหนะ")/COUNTIFS(Raw_Data!$Q$2:$Q$59,"&gt;=1",Raw_Data!$Q$2:$Q$59,"&lt;=5",Raw_Data!$A$2:$A$59,"Yes",Raw_Data!$D$2:$D$59,"ยานพาหนะ"),"")</f>
        <v>0</v>
      </c>
      <c r="L14" s="54">
        <f>IFERROR(100*COUNTIFS(Raw_Data!$Q$2:$Q$59,"&gt;=1",Raw_Data!$Q$2:$Q$59,"&lt;=2",Raw_Data!$A$2:$A$59,"Yes",Raw_Data!$D$2:$D$59,"สื่อสารการตลาด")/COUNTIFS(Raw_Data!$Q$2:$Q$59,"&gt;=1",Raw_Data!$Q$2:$Q$59,"&lt;=5",Raw_Data!$A$2:$A$59,"Yes",Raw_Data!$D$2:$D$59,"สื่อสารการตลาด"),"")</f>
        <v>0</v>
      </c>
      <c r="M14" s="54">
        <f>IFERROR(100*COUNTIFS(Raw_Data!$Q$2:$Q$59,"&gt;=1",Raw_Data!$Q$2:$Q$59,"&lt;=2",Raw_Data!$A$2:$A$59,"Yes",Raw_Data!$D$2:$D$59,"ห้องยา")/COUNTIFS(Raw_Data!$Q$2:$Q$59,"&gt;=1",Raw_Data!$Q$2:$Q$59,"&lt;=5",Raw_Data!$A$2:$A$59,"Yes",Raw_Data!$D$2:$D$59,"ห้องยา"),"")</f>
        <v>16.666666666666668</v>
      </c>
      <c r="N14" s="54">
        <f>IFERROR(100*COUNTIFS(Raw_Data!$Q$2:$Q$59,"&gt;=1",Raw_Data!$Q$2:$Q$59,"&lt;=2",Raw_Data!$A$2:$A$59,"Yes",Raw_Data!$D$2:$D$59,"ห้องแลป")/COUNTIFS(Raw_Data!$Q$2:$Q$59,"&gt;=1",Raw_Data!$Q$2:$Q$59,"&lt;=5",Raw_Data!$A$2:$A$59,"Yes",Raw_Data!$D$2:$D$59,"ห้องแลป"),"")</f>
        <v>100</v>
      </c>
      <c r="O14" s="54">
        <f>IFERROR(100*COUNTIFS(Raw_Data!$Q$2:$Q$59,"&gt;=1",Raw_Data!$Q$2:$Q$59,"&lt;=2",Raw_Data!$A$2:$A$59,"Yes",Raw_Data!$D$2:$D$59,"ห้องเอ็กซเรย์")/COUNTIFS(Raw_Data!$Q$2:$Q$59,"&gt;=1",Raw_Data!$Q$2:$Q$59,"&lt;=5",Raw_Data!$A$2:$A$59,"Yes",Raw_Data!$D$2:$D$59,"ห้องเอ็กซเรย์"),"")</f>
        <v>100</v>
      </c>
      <c r="P14" s="54">
        <f>IFERROR(100*COUNTIFS(Raw_Data!$Q$2:$Q$59,"&gt;=1",Raw_Data!$Q$2:$Q$59,"&lt;=2",Raw_Data!$A$2:$A$59,"Yes",Raw_Data!$D$2:$D$59,"ERและเปล")/COUNTIFS(Raw_Data!$Q$2:$Q$59,"&gt;=1",Raw_Data!$Q$2:$Q$59,"&lt;=5",Raw_Data!$A$2:$A$59,"Yes",Raw_Data!$D$2:$D$59,"ERและเปล"),"")</f>
        <v>18.181818181818183</v>
      </c>
      <c r="Q14" s="54">
        <f>IFERROR(100*COUNTIFS(Raw_Data!$Q$2:$Q$59,"&gt;=1",Raw_Data!$Q$2:$Q$59,"&lt;=2",Raw_Data!$A$2:$A$59,"Yes",Raw_Data!$D$2:$D$59,"HR")/COUNTIFS(Raw_Data!$Q$2:$Q$59,"&gt;=1",Raw_Data!$Q$2:$Q$59,"&lt;=5",Raw_Data!$A$2:$A$59,"Yes",Raw_Data!$D$2:$D$59,"HR"),"")</f>
        <v>0</v>
      </c>
      <c r="R14" s="54">
        <f>IFERROR(100*COUNTIFS(Raw_Data!$Q$2:$Q$59,"&gt;=1",Raw_Data!$Q$2:$Q$59,"&lt;=2",Raw_Data!$A$2:$A$59,"Yes",Raw_Data!$D$2:$D$59,"ICU")/COUNTIFS(Raw_Data!$Q$2:$Q$59,"&gt;=1",Raw_Data!$Q$2:$Q$59,"&lt;=5",Raw_Data!$A$2:$A$59,"Yes",Raw_Data!$D$2:$D$59,"ICU"),"")</f>
        <v>50</v>
      </c>
      <c r="S14" s="54">
        <f>IFERROR(100*COUNTIFS(Raw_Data!$Q$2:$Q$59,"&gt;=1",Raw_Data!$Q$2:$Q$59,"&lt;=2",Raw_Data!$A$2:$A$59,"Yes",Raw_Data!$D$2:$D$59,"IPD")/COUNTIFS(Raw_Data!$Q$2:$Q$59,"&gt;=1",Raw_Data!$Q$2:$Q$59,"&lt;=5",Raw_Data!$A$2:$A$59,"Yes",Raw_Data!$D$2:$D$59,"IPD"),"")</f>
        <v>33.333333333333336</v>
      </c>
      <c r="T14" s="54">
        <f>IFERROR(100*COUNTIFS(Raw_Data!$Q$2:$Q$59,"&gt;=1",Raw_Data!$Q$2:$Q$59,"&lt;=2",Raw_Data!$A$2:$A$59,"Yes",Raw_Data!$D$2:$D$59,"IT")/COUNTIFS(Raw_Data!$Q$2:$Q$59,"&gt;=1",Raw_Data!$Q$2:$Q$59,"&lt;=5",Raw_Data!$A$2:$A$59,"Yes",Raw_Data!$D$2:$D$59,"IT"),"")</f>
        <v>0</v>
      </c>
      <c r="U14" s="54">
        <f>IFERROR(100*COUNTIFS(Raw_Data!$Q$2:$Q$59,"&gt;=1",Raw_Data!$Q$2:$Q$59,"&lt;=2",Raw_Data!$A$2:$A$59,"Yes",Raw_Data!$D$2:$D$59,"OR")/COUNTIFS(Raw_Data!$Q$2:$Q$59,"&gt;=1",Raw_Data!$Q$2:$Q$59,"&lt;=5",Raw_Data!$A$2:$A$59,"Yes",Raw_Data!$D$2:$D$59,"OR"),"")</f>
        <v>25</v>
      </c>
      <c r="V14" s="54">
        <f>IFERROR(100*COUNTIFS(Raw_Data!$Q$2:$Q$59,"&gt;=1",Raw_Data!$Q$2:$Q$59,"&lt;=2",Raw_Data!$A$2:$A$59,"Yes",Raw_Data!$D$2:$D$59,"IPD",Raw_Data!$E$2:$E$59,"ผู้บริหาร")/COUNTIFS(Raw_Data!$Q$2:$Q$59,"&gt;=1",Raw_Data!$Q$2:$Q$59,"&lt;=5",Raw_Data!$A$2:$A$59,"Yes",Raw_Data!$D$2:$D$59,"IPD",Raw_Data!$E$2:$E$59,"ผู้บริหาร"),"")</f>
        <v>0</v>
      </c>
      <c r="W14" s="54">
        <f>IFERROR(100*COUNTIFS(Raw_Data!$Q$2:$Q$59,"&gt;=1",Raw_Data!$Q$2:$Q$59,"&lt;=2",Raw_Data!$A$2:$A$59,"Yes",Raw_Data!$D$2:$D$59,"ฝ่ายการพยาบาล",Raw_Data!$E$2:$E$59,"สายวิชาชีพสาธารณสุข")/COUNTIFS(Raw_Data!$Q$2:$Q$59,"&gt;=1",Raw_Data!$Q$2:$Q$59,"&lt;=5",Raw_Data!$A$2:$A$59,"Yes",Raw_Data!$D$2:$D$59,"ฝ่ายการพยาบาล",Raw_Data!$E$2:$E$59,"สายวิชาชีพสาธารณสุข"),"")</f>
        <v>0</v>
      </c>
      <c r="X14" s="54">
        <f>IFERROR(100*COUNTIFS(Raw_Data!$Q$2:$Q$59,"&gt;=1",Raw_Data!$Q$2:$Q$59,"&lt;=2",Raw_Data!$A$2:$A$59,"Yes",Raw_Data!$D$2:$D$59,"ERและเปล",Raw_Data!$E$2:$E$59,"สายวิชาชีพสาธารณสุข")/COUNTIFS(Raw_Data!$Q$2:$Q$59,"&gt;=1",Raw_Data!$Q$2:$Q$59,"&lt;=5",Raw_Data!$A$2:$A$59,"Yes",Raw_Data!$D$2:$D$59,"ERและเปล",Raw_Data!$E$2:$E$59,"สายวิชาชีพสาธารณสุข"),"")</f>
        <v>14.285714285714286</v>
      </c>
      <c r="Y14" s="54">
        <f>IFERROR(100*COUNTIFS(Raw_Data!$Q$2:$Q$59,"&gt;=1",Raw_Data!$Q$2:$Q$59,"&lt;=2",Raw_Data!$A$2:$A$59,"Yes",Raw_Data!$D$2:$D$59,"ICU",Raw_Data!$E$2:$E$59,"สายวิชาชีพสาธารณสุข")/COUNTIFS(Raw_Data!$Q$2:$Q$59,"&gt;=1",Raw_Data!$Q$2:$Q$59,"&lt;=5",Raw_Data!$A$2:$A$59,"Yes",Raw_Data!$D$2:$D$59,"ICU",Raw_Data!$E$2:$E$59,"สายวิชาชีพสาธารณสุข"),"")</f>
        <v>100</v>
      </c>
      <c r="Z14" s="54">
        <f>IFERROR(100*COUNTIFS(Raw_Data!$Q$2:$Q$59,"&gt;=1",Raw_Data!$Q$2:$Q$59,"&lt;=2",Raw_Data!$A$2:$A$59,"Yes",Raw_Data!$D$2:$D$59,"IPD",Raw_Data!$E$2:$E$59,"สายวิชาชีพสาธารณสุข")/COUNTIFS(Raw_Data!$Q$2:$Q$59,"&gt;=1",Raw_Data!$Q$2:$Q$59,"&lt;=5",Raw_Data!$A$2:$A$59,"Yes",Raw_Data!$D$2:$D$59,"IPD",Raw_Data!$E$2:$E$59,"สายวิชาชีพสาธารณสุข"),"")</f>
        <v>100</v>
      </c>
      <c r="AA14" s="54">
        <f>IFERROR(100*COUNTIFS(Raw_Data!$Q$2:$Q$59,"&gt;=1",Raw_Data!$Q$2:$Q$59,"&lt;=2",Raw_Data!$A$2:$A$59,"Yes",Raw_Data!$D$2:$D$59,"OR",Raw_Data!$E$2:$E$59,"สายวิชาชีพสาธารณสุข")/COUNTIFS(Raw_Data!$Q$2:$Q$59,"&gt;=1",Raw_Data!$Q$2:$Q$59,"&lt;=5",Raw_Data!$A$2:$A$59,"Yes",Raw_Data!$D$2:$D$59,"OR",Raw_Data!$E$2:$E$59,"สายวิชาชีพสาธารณสุข"),"")</f>
        <v>25</v>
      </c>
      <c r="AB14" s="54">
        <f>IFERROR(100*COUNTIFS(Raw_Data!$Q$2:$Q$59,"&gt;=1",Raw_Data!$Q$2:$Q$59,"&lt;=2",Raw_Data!$A$2:$A$59,"Yes",Raw_Data!$D$2:$D$59,"การเงิน",Raw_Data!$E$2:$E$59,"สายสนับสนุนทั่วไป")/COUNTIFS(Raw_Data!$Q$2:$Q$59,"&gt;=1",Raw_Data!$Q$2:$Q$59,"&lt;=5",Raw_Data!$A$2:$A$59,"Yes",Raw_Data!$D$2:$D$59,"การเงิน",Raw_Data!$E$2:$E$59,"สายสนับสนุนทั่วไป"),"")</f>
        <v>33.333333333333336</v>
      </c>
      <c r="AC14" s="54">
        <f>IFERROR(100*COUNTIFS(Raw_Data!$Q$2:$Q$59,"&gt;=1",Raw_Data!$Q$2:$Q$59,"&lt;=2",Raw_Data!$A$2:$A$59,"Yes",Raw_Data!$D$2:$D$59,"เคหรักษ์",Raw_Data!$E$2:$E$59,"สายสนับสนุนทั่วไป")/COUNTIFS(Raw_Data!$Q$2:$Q$59,"&gt;=1",Raw_Data!$Q$2:$Q$59,"&lt;=5",Raw_Data!$A$2:$A$59,"Yes",Raw_Data!$D$2:$D$59,"เคหรักษ์",Raw_Data!$E$2:$E$59,"สายสนับสนุนทั่วไป"),"")</f>
        <v>0</v>
      </c>
      <c r="AD14" s="54">
        <f>IFERROR(100*COUNTIFS(Raw_Data!$Q$2:$Q$59,"&gt;=1",Raw_Data!$Q$2:$Q$59,"&lt;=2",Raw_Data!$A$2:$A$59,"Yes",Raw_Data!$D$2:$D$59,"จ่ายกลาง",Raw_Data!$E$2:$E$59,"สายสนับสนุนทั่วไป")/COUNTIFS(Raw_Data!$Q$2:$Q$59,"&gt;=1",Raw_Data!$Q$2:$Q$59,"&lt;=5",Raw_Data!$A$2:$A$59,"Yes",Raw_Data!$D$2:$D$59,"จ่ายกลาง",Raw_Data!$E$2:$E$59,"สายสนับสนุนทั่วไป"),"")</f>
        <v>0</v>
      </c>
      <c r="AE14" s="54">
        <f>IFERROR(100*COUNTIFS(Raw_Data!$Q$2:$Q$59,"&gt;=1",Raw_Data!$Q$2:$Q$59,"&lt;=2",Raw_Data!$A$2:$A$59,"Yes",Raw_Data!$D$2:$D$59,"ช่างและสนาม",Raw_Data!$E$2:$E$59,"สายสนับสนุนทั่วไป")/COUNTIFS(Raw_Data!$Q$2:$Q$59,"&gt;=1",Raw_Data!$Q$2:$Q$59,"&lt;=5",Raw_Data!$A$2:$A$59,"Yes",Raw_Data!$D$2:$D$59,"ช่างและสนาม",Raw_Data!$E$2:$E$59,"สายสนับสนุนทั่วไป"),"")</f>
        <v>25</v>
      </c>
      <c r="AF14" s="54">
        <f>IFERROR(100*COUNTIFS(Raw_Data!$Q$2:$Q$59,"&gt;=1",Raw_Data!$Q$2:$Q$59,"&lt;=2",Raw_Data!$A$2:$A$59,"Yes",Raw_Data!$D$2:$D$59,"ผู้ป่วยสัมพันธ์",Raw_Data!$E$2:$E$59,"สายสนับสนุนทั่วไป")/COUNTIFS(Raw_Data!$Q$2:$Q$59,"&gt;=1",Raw_Data!$Q$2:$Q$59,"&lt;=5",Raw_Data!$A$2:$A$59,"Yes",Raw_Data!$D$2:$D$59,"ผู้ป่วยสัมพันธ์",Raw_Data!$E$2:$E$59,"สายสนับสนุนทั่วไป"),"")</f>
        <v>0</v>
      </c>
      <c r="AG14" s="54">
        <f>IFERROR(100*COUNTIFS(Raw_Data!$Q$2:$Q$59,"&gt;=1",Raw_Data!$Q$2:$Q$59,"&lt;=2",Raw_Data!$A$2:$A$59,"Yes",Raw_Data!$D$2:$D$59,"ยานพาหนะ",Raw_Data!$E$2:$E$59,"สายสนับสนุนทั่วไป")/COUNTIFS(Raw_Data!$Q$2:$Q$59,"&gt;=1",Raw_Data!$Q$2:$Q$59,"&lt;=5",Raw_Data!$A$2:$A$59,"Yes",Raw_Data!$D$2:$D$59,"ยานพาหนะ",Raw_Data!$E$2:$E$59,"สายสนับสนุนทั่วไป"),"")</f>
        <v>0</v>
      </c>
      <c r="AH14" s="54">
        <f>IFERROR(100*COUNTIFS(Raw_Data!$Q$2:$Q$59,"&gt;=1",Raw_Data!$Q$2:$Q$59,"&lt;=2",Raw_Data!$A$2:$A$59,"Yes",Raw_Data!$D$2:$D$59,"สื่อสารการตลาด",Raw_Data!$E$2:$E$59,"สายสนับสนุนทั่วไป")/COUNTIFS(Raw_Data!$Q$2:$Q$59,"&gt;=1",Raw_Data!$Q$2:$Q$59,"&lt;=5",Raw_Data!$A$2:$A$59,"Yes",Raw_Data!$D$2:$D$59,"สื่อสารการตลาด",Raw_Data!$E$2:$E$59,"สายสนับสนุนทั่วไป"),"")</f>
        <v>0</v>
      </c>
      <c r="AI14" s="54">
        <f>IFERROR(100*COUNTIFS(Raw_Data!$Q$2:$Q$59,"&gt;=1",Raw_Data!$Q$2:$Q$59,"&lt;=2",Raw_Data!$A$2:$A$59,"Yes",Raw_Data!$D$2:$D$59,"ERและเปล",Raw_Data!$E$2:$E$59,"สายสนับสนุนทั่วไป")/COUNTIFS(Raw_Data!$Q$2:$Q$59,"&gt;=1",Raw_Data!$Q$2:$Q$59,"&lt;=5",Raw_Data!$A$2:$A$59,"Yes",Raw_Data!$D$2:$D$59,"ERและเปล",Raw_Data!$E$2:$E$59,"สายสนับสนุนทั่วไป"),"")</f>
        <v>33.333333333333336</v>
      </c>
      <c r="AJ14" s="54">
        <f>IFERROR(100*COUNTIFS(Raw_Data!$Q$2:$Q$59,"&gt;=1",Raw_Data!$Q$2:$Q$59,"&lt;=2",Raw_Data!$A$2:$A$59,"Yes",Raw_Data!$D$2:$D$59,"HR",Raw_Data!$E$2:$E$59,"สายสนับสนุนทั่วไป")/COUNTIFS(Raw_Data!$Q$2:$Q$59,"&gt;=1",Raw_Data!$Q$2:$Q$59,"&lt;=5",Raw_Data!$A$2:$A$59,"Yes",Raw_Data!$D$2:$D$59,"HR",Raw_Data!$E$2:$E$59,"สายสนับสนุนทั่วไป"),"")</f>
        <v>0</v>
      </c>
      <c r="AK14" s="54">
        <f>IFERROR(100*COUNTIFS(Raw_Data!$Q$2:$Q$59,"&gt;=1",Raw_Data!$Q$2:$Q$59,"&lt;=2",Raw_Data!$A$2:$A$59,"Yes",Raw_Data!$D$2:$D$59,"ICU",Raw_Data!$E$2:$E$59,"สายสนับสนุนทั่วไป")/COUNTIFS(Raw_Data!$Q$2:$Q$59,"&gt;=1",Raw_Data!$Q$2:$Q$59,"&lt;=5",Raw_Data!$A$2:$A$59,"Yes",Raw_Data!$D$2:$D$59,"ICU",Raw_Data!$E$2:$E$59,"สายสนับสนุนทั่วไป"),"")</f>
        <v>0</v>
      </c>
      <c r="AL14" s="54">
        <f>IFERROR(100*COUNTIFS(Raw_Data!$Q$2:$Q$59,"&gt;=1",Raw_Data!$Q$2:$Q$59,"&lt;=2",Raw_Data!$A$2:$A$59,"Yes",Raw_Data!$D$2:$D$59,"IPD",Raw_Data!$E$2:$E$59,"สายสนับสนุนทั่วไป")/COUNTIFS(Raw_Data!$Q$2:$Q$59,"&gt;=1",Raw_Data!$Q$2:$Q$59,"&lt;=5",Raw_Data!$A$2:$A$59,"Yes",Raw_Data!$D$2:$D$59,"IPD",Raw_Data!$E$2:$E$59,"สายสนับสนุนทั่วไป"),"")</f>
        <v>0</v>
      </c>
      <c r="AM14" s="54">
        <f>IFERROR(100*COUNTIFS(Raw_Data!$Q$2:$Q$59,"&gt;=1",Raw_Data!$Q$2:$Q$59,"&lt;=2",Raw_Data!$A$2:$A$59,"Yes",Raw_Data!$D$2:$D$59,"IT",Raw_Data!$E$2:$E$59,"สายสนับสนุนทั่วไป")/COUNTIFS(Raw_Data!$Q$2:$Q$59,"&gt;=1",Raw_Data!$Q$2:$Q$59,"&lt;=5",Raw_Data!$A$2:$A$59,"Yes",Raw_Data!$D$2:$D$59,"IT",Raw_Data!$E$2:$E$59,"สายสนับสนุนทั่วไป"),"")</f>
        <v>0</v>
      </c>
      <c r="AN14" s="54">
        <f>IFERROR(100*COUNTIFS(Raw_Data!$Q$2:$Q$59,"&gt;=1",Raw_Data!$Q$2:$Q$59,"&lt;=2",Raw_Data!$A$2:$A$59,"Yes",Raw_Data!$D$2:$D$59,"ผู้ป่วยสัมพันธ์",Raw_Data!$E$2:$E$59,"สายสนับสนุนทางการแพทย์")/COUNTIFS(Raw_Data!$Q$2:$Q$59,"&gt;=1",Raw_Data!$Q$2:$Q$59,"&lt;=5",Raw_Data!$A$2:$A$59,"Yes",Raw_Data!$D$2:$D$59,"ผู้ป่วยสัมพันธ์",Raw_Data!$E$2:$E$59,"สายสนับสนุนทางการแพทย์"),"")</f>
        <v>66.666666666666671</v>
      </c>
      <c r="AO14" s="54">
        <f>IFERROR(100*COUNTIFS(Raw_Data!$Q$2:$Q$59,"&gt;=1",Raw_Data!$Q$2:$Q$59,"&lt;=2",Raw_Data!$A$2:$A$59,"Yes",Raw_Data!$D$2:$D$59,"ฝ่ายการพยาบาล",Raw_Data!$E$2:$E$59,"สายสนับสนุนทางการแพทย์")/COUNTIFS(Raw_Data!$Q$2:$Q$59,"&gt;=1",Raw_Data!$Q$2:$Q$59,"&lt;=5",Raw_Data!$A$2:$A$59,"Yes",Raw_Data!$D$2:$D$59,"ฝ่ายการพยาบาล",Raw_Data!$E$2:$E$59,"สายสนับสนุนทางการแพทย์"),"")</f>
        <v>100</v>
      </c>
      <c r="AP14" s="54">
        <f>IFERROR(100*COUNTIFS(Raw_Data!$Q$2:$Q$59,"&gt;=1",Raw_Data!$Q$2:$Q$59,"&lt;=2",Raw_Data!$A$2:$A$59,"Yes",Raw_Data!$D$2:$D$59,"โภชนาการ",Raw_Data!$E$2:$E$59,"สายสนับสนุนทางการแพทย์")/COUNTIFS(Raw_Data!$Q$2:$Q$59,"&gt;=1",Raw_Data!$Q$2:$Q$59,"&lt;=5",Raw_Data!$A$2:$A$59,"Yes",Raw_Data!$D$2:$D$59,"โภชนาการ",Raw_Data!$E$2:$E$59,"สายสนับสนุนทางการแพทย์"),"")</f>
        <v>100</v>
      </c>
      <c r="AQ14" s="54">
        <f>IFERROR(100*COUNTIFS(Raw_Data!$Q$2:$Q$59,"&gt;=1",Raw_Data!$Q$2:$Q$59,"&lt;=2",Raw_Data!$A$2:$A$59,"Yes",Raw_Data!$D$2:$D$59,"ห้องยา",Raw_Data!$E$2:$E$59,"สายสนับสนุนทางการแพทย์")/COUNTIFS(Raw_Data!$Q$2:$Q$59,"&gt;=1",Raw_Data!$Q$2:$Q$59,"&lt;=5",Raw_Data!$A$2:$A$59,"Yes",Raw_Data!$D$2:$D$59,"ห้องยา",Raw_Data!$E$2:$E$59,"สายสนับสนุนทางการแพทย์"),"")</f>
        <v>16.666666666666668</v>
      </c>
      <c r="AR14" s="54">
        <f>IFERROR(100*COUNTIFS(Raw_Data!$Q$2:$Q$59,"&gt;=1",Raw_Data!$Q$2:$Q$59,"&lt;=2",Raw_Data!$A$2:$A$59,"Yes",Raw_Data!$D$2:$D$59,"ห้องแลป",Raw_Data!$E$2:$E$59,"สายสนับสนุนทางการแพทย์")/COUNTIFS(Raw_Data!$Q$2:$Q$59,"&gt;=1",Raw_Data!$Q$2:$Q$59,"&lt;=5",Raw_Data!$A$2:$A$59,"Yes",Raw_Data!$D$2:$D$59,"ห้องแลป",Raw_Data!$E$2:$E$59,"สายสนับสนุนทางการแพทย์"),"")</f>
        <v>100</v>
      </c>
      <c r="AS14" s="54">
        <f>IFERROR(100*COUNTIFS(Raw_Data!$Q$2:$Q$59,"&gt;=1",Raw_Data!$Q$2:$Q$59,"&lt;=2",Raw_Data!$A$2:$A$59,"Yes",Raw_Data!$D$2:$D$59,"ห้องเอ็กซเรย์",Raw_Data!$E$2:$E$59,"สายสนับสนุนทางการแพทย์")/COUNTIFS(Raw_Data!$Q$2:$Q$59,"&gt;=1",Raw_Data!$Q$2:$Q$59,"&lt;=5",Raw_Data!$A$2:$A$59,"Yes",Raw_Data!$D$2:$D$59,"ห้องเอ็กซเรย์",Raw_Data!$E$2:$E$59,"สายสนับสนุนทางการแพทย์"),"")</f>
        <v>100</v>
      </c>
      <c r="AT14" s="54">
        <f>IFERROR(100*COUNTIFS(Raw_Data!$Q$2:$Q$59,"&gt;=1",Raw_Data!$Q$2:$Q$59,"&lt;=2",Raw_Data!$A$2:$A$59,"Yes",Raw_Data!$D$2:$D$59,"ERและเปล",Raw_Data!$E$2:$E$59,"สายสนับสนุนทางการแพทย์")/COUNTIFS(Raw_Data!$Q$2:$Q$59,"&gt;=1",Raw_Data!$Q$2:$Q$59,"&lt;=5",Raw_Data!$A$2:$A$59,"Yes",Raw_Data!$D$2:$D$59,"ERและเปล",Raw_Data!$E$2:$E$59,"สายสนับสนุนทางการแพทย์"),"")</f>
        <v>0</v>
      </c>
      <c r="AU14" s="54">
        <f>IFERROR(100*COUNTIFS(Raw_Data!$Q$2:$Q$59,"&gt;=1",Raw_Data!$Q$2:$Q$59,"&lt;=2",Raw_Data!$A$2:$A$59,"Yes",Raw_Data!$D$2:$D$59,"ICU",Raw_Data!$E$2:$E$59,"สายสนับสนุนทางการแพทย์")/COUNTIFS(Raw_Data!$Q$2:$Q$59,"&gt;=1",Raw_Data!$Q$2:$Q$59,"&lt;=5",Raw_Data!$A$2:$A$59,"Yes",Raw_Data!$D$2:$D$59,"ICU",Raw_Data!$E$2:$E$59,"สายสนับสนุนทางการแพทย์"),"")</f>
        <v>0</v>
      </c>
      <c r="AV14" s="54">
        <f>IFERROR(100*COUNTIFS(Raw_Data!$Q$2:$Q$59,"&gt;=1",Raw_Data!$Q$2:$Q$59,"&lt;=2",Raw_Data!$A$2:$A$59,"Yes",Raw_Data!$D$2:$D$59,"IPD",Raw_Data!$E$2:$E$59,"สายสนับสนุนทางการแพทย์")/COUNTIFS(Raw_Data!$Q$2:$Q$59,"&gt;=1",Raw_Data!$Q$2:$Q$59,"&lt;=5",Raw_Data!$A$2:$A$59,"Yes",Raw_Data!$D$2:$D$59,"IPD",Raw_Data!$E$2:$E$59,"สายสนับสนุนทางการแพทย์"),"")</f>
        <v>0</v>
      </c>
      <c r="AW14" s="54">
        <f>IFERROR(100*COUNTIFS(Raw_Data!$Q$2:$Q$59,"&gt;=1",Raw_Data!$Q$2:$Q$59,"&lt;=2",Raw_Data!$A$2:$A$59,"Yes",Raw_Data!$D$2:$D$59,"IT",Raw_Data!$E$2:$E$59,"สายสนับสนุนทางการแพทย์")/COUNTIFS(Raw_Data!$Q$2:$Q$59,"&gt;=1",Raw_Data!$Q$2:$Q$59,"&lt;=5",Raw_Data!$A$2:$A$59,"Yes",Raw_Data!$D$2:$D$59,"IT",Raw_Data!$E$2:$E$59,"สายสนับสนุนทางการแพทย์"),"")</f>
        <v>0</v>
      </c>
    </row>
    <row r="15" spans="1:49" ht="42" customHeight="1">
      <c r="A15" s="50"/>
      <c r="B15" s="51" t="s">
        <v>37</v>
      </c>
      <c r="C15" s="54">
        <f>IFERROR(100*COUNTIFS(Raw_Data!$R$2:$R$59,"&gt;=1",Raw_Data!$R$2:$R$59,"&lt;=2",Raw_Data!$A$2:$A$59,"Yes")/COUNTIFS(Raw_Data!$R$2:$R$59,"&gt;=1",Raw_Data!$R$2:$R$59,"&lt;=5",Raw_Data!$A$2:$A$59,"Yes"),"")</f>
        <v>41.379310344827587</v>
      </c>
      <c r="D15" s="54">
        <f>IFERROR(100*COUNTIFS(Raw_Data!$R$2:$R$59,"&gt;=1",Raw_Data!$R$2:$R$59,"&lt;=2",Raw_Data!$A$2:$A$59,"Yes",Raw_Data!$D$2:$D$59,"การเงิน")/COUNTIFS(Raw_Data!$R$2:$R$59,"&gt;=1",Raw_Data!$R$2:$R$59,"&lt;=5",Raw_Data!$A$2:$A$59,"Yes",Raw_Data!$D$2:$D$59,"การเงิน"),"")</f>
        <v>33.333333333333336</v>
      </c>
      <c r="E15" s="54">
        <f>IFERROR(100*COUNTIFS(Raw_Data!$R$2:$R$59,"&gt;=1",Raw_Data!$R$2:$R$59,"&lt;=2",Raw_Data!$A$2:$A$59,"Yes",Raw_Data!$D$2:$D$59,"เคหรักษ์")/COUNTIFS(Raw_Data!$R$2:$R$59,"&gt;=1",Raw_Data!$R$2:$R$59,"&lt;=5",Raw_Data!$A$2:$A$59,"Yes",Raw_Data!$D$2:$D$59,"เคหรักษ์"),"")</f>
        <v>0</v>
      </c>
      <c r="F15" s="54">
        <f>IFERROR(100*COUNTIFS(Raw_Data!$R$2:$R$59,"&gt;=1",Raw_Data!$R$2:$R$59,"&lt;=2",Raw_Data!$A$2:$A$59,"Yes",Raw_Data!$D$2:$D$59,"จ่ายกลาง")/COUNTIFS(Raw_Data!$R$2:$R$59,"&gt;=1",Raw_Data!$R$2:$R$59,"&lt;=5",Raw_Data!$A$2:$A$59,"Yes",Raw_Data!$D$2:$D$59,"จ่ายกลาง"),"")</f>
        <v>0</v>
      </c>
      <c r="G15" s="54">
        <f>IFERROR(100*COUNTIFS(Raw_Data!$R$2:$R$59,"&gt;=1",Raw_Data!$R$2:$R$59,"&lt;=2",Raw_Data!$A$2:$A$59,"Yes",Raw_Data!$D$2:$D$59,"ช่างและสนาม")/COUNTIFS(Raw_Data!$R$2:$R$59,"&gt;=1",Raw_Data!$R$2:$R$59,"&lt;=5",Raw_Data!$A$2:$A$59,"Yes",Raw_Data!$D$2:$D$59,"ช่างและสนาม"),"")</f>
        <v>50</v>
      </c>
      <c r="H15" s="54">
        <f>IFERROR(100*COUNTIFS(Raw_Data!$R$2:$R$59,"&gt;=1",Raw_Data!$R$2:$R$59,"&lt;=2",Raw_Data!$A$2:$A$59,"Yes",Raw_Data!$D$2:$D$59,"ผู้ป่วยสัมพันธ์")/COUNTIFS(Raw_Data!$R$2:$R$59,"&gt;=1",Raw_Data!$R$2:$R$59,"&lt;=5",Raw_Data!$A$2:$A$59,"Yes",Raw_Data!$D$2:$D$59,"ผู้ป่วยสัมพันธ์"),"")</f>
        <v>50</v>
      </c>
      <c r="I15" s="54">
        <f>IFERROR(100*COUNTIFS(Raw_Data!$R$2:$R$59,"&gt;=1",Raw_Data!$R$2:$R$59,"&lt;=2",Raw_Data!$A$2:$A$59,"Yes",Raw_Data!$D$2:$D$59,"ฝ่ายการพยาบาล")/COUNTIFS(Raw_Data!$R$2:$R$59,"&gt;=1",Raw_Data!$R$2:$R$59,"&lt;=5",Raw_Data!$A$2:$A$59,"Yes",Raw_Data!$D$2:$D$59,"ฝ่ายการพยาบาล"),"")</f>
        <v>50</v>
      </c>
      <c r="J15" s="54">
        <f>IFERROR(100*COUNTIFS(Raw_Data!$R$2:$R$59,"&gt;=1",Raw_Data!$R$2:$R$59,"&lt;=2",Raw_Data!$A$2:$A$59,"Yes",Raw_Data!$D$2:$D$59,"โภชนาการ")/COUNTIFS(Raw_Data!$R$2:$R$59,"&gt;=1",Raw_Data!$R$2:$R$59,"&lt;=5",Raw_Data!$A$2:$A$59,"Yes",Raw_Data!$D$2:$D$59,"โภชนาการ"),"")</f>
        <v>100</v>
      </c>
      <c r="K15" s="54">
        <f>IFERROR(100*COUNTIFS(Raw_Data!$R$2:$R$59,"&gt;=1",Raw_Data!$R$2:$R$59,"&lt;=2",Raw_Data!$A$2:$A$59,"Yes",Raw_Data!$D$2:$D$59,"ยานพาหนะ")/COUNTIFS(Raw_Data!$R$2:$R$59,"&gt;=1",Raw_Data!$R$2:$R$59,"&lt;=5",Raw_Data!$A$2:$A$59,"Yes",Raw_Data!$D$2:$D$59,"ยานพาหนะ"),"")</f>
        <v>0</v>
      </c>
      <c r="L15" s="54">
        <f>IFERROR(100*COUNTIFS(Raw_Data!$R$2:$R$59,"&gt;=1",Raw_Data!$R$2:$R$59,"&lt;=2",Raw_Data!$A$2:$A$59,"Yes",Raw_Data!$D$2:$D$59,"สื่อสารการตลาด")/COUNTIFS(Raw_Data!$R$2:$R$59,"&gt;=1",Raw_Data!$R$2:$R$59,"&lt;=5",Raw_Data!$A$2:$A$59,"Yes",Raw_Data!$D$2:$D$59,"สื่อสารการตลาด"),"")</f>
        <v>100</v>
      </c>
      <c r="M15" s="54">
        <f>IFERROR(100*COUNTIFS(Raw_Data!$R$2:$R$59,"&gt;=1",Raw_Data!$R$2:$R$59,"&lt;=2",Raw_Data!$A$2:$A$59,"Yes",Raw_Data!$D$2:$D$59,"ห้องยา")/COUNTIFS(Raw_Data!$R$2:$R$59,"&gt;=1",Raw_Data!$R$2:$R$59,"&lt;=5",Raw_Data!$A$2:$A$59,"Yes",Raw_Data!$D$2:$D$59,"ห้องยา"),"")</f>
        <v>33.333333333333336</v>
      </c>
      <c r="N15" s="54">
        <f>IFERROR(100*COUNTIFS(Raw_Data!$R$2:$R$59,"&gt;=1",Raw_Data!$R$2:$R$59,"&lt;=2",Raw_Data!$A$2:$A$59,"Yes",Raw_Data!$D$2:$D$59,"ห้องแลป")/COUNTIFS(Raw_Data!$R$2:$R$59,"&gt;=1",Raw_Data!$R$2:$R$59,"&lt;=5",Raw_Data!$A$2:$A$59,"Yes",Raw_Data!$D$2:$D$59,"ห้องแลป"),"")</f>
        <v>50</v>
      </c>
      <c r="O15" s="54">
        <f>IFERROR(100*COUNTIFS(Raw_Data!$R$2:$R$59,"&gt;=1",Raw_Data!$R$2:$R$59,"&lt;=2",Raw_Data!$A$2:$A$59,"Yes",Raw_Data!$D$2:$D$59,"ห้องเอ็กซเรย์")/COUNTIFS(Raw_Data!$R$2:$R$59,"&gt;=1",Raw_Data!$R$2:$R$59,"&lt;=5",Raw_Data!$A$2:$A$59,"Yes",Raw_Data!$D$2:$D$59,"ห้องเอ็กซเรย์"),"")</f>
        <v>66.666666666666671</v>
      </c>
      <c r="P15" s="54">
        <f>IFERROR(100*COUNTIFS(Raw_Data!$R$2:$R$59,"&gt;=1",Raw_Data!$R$2:$R$59,"&lt;=2",Raw_Data!$A$2:$A$59,"Yes",Raw_Data!$D$2:$D$59,"ERและเปล")/COUNTIFS(Raw_Data!$R$2:$R$59,"&gt;=1",Raw_Data!$R$2:$R$59,"&lt;=5",Raw_Data!$A$2:$A$59,"Yes",Raw_Data!$D$2:$D$59,"ERและเปล"),"")</f>
        <v>27.272727272727273</v>
      </c>
      <c r="Q15" s="54">
        <f>IFERROR(100*COUNTIFS(Raw_Data!$R$2:$R$59,"&gt;=1",Raw_Data!$R$2:$R$59,"&lt;=2",Raw_Data!$A$2:$A$59,"Yes",Raw_Data!$D$2:$D$59,"HR")/COUNTIFS(Raw_Data!$R$2:$R$59,"&gt;=1",Raw_Data!$R$2:$R$59,"&lt;=5",Raw_Data!$A$2:$A$59,"Yes",Raw_Data!$D$2:$D$59,"HR"),"")</f>
        <v>0</v>
      </c>
      <c r="R15" s="54">
        <f>IFERROR(100*COUNTIFS(Raw_Data!$R$2:$R$59,"&gt;=1",Raw_Data!$R$2:$R$59,"&lt;=2",Raw_Data!$A$2:$A$59,"Yes",Raw_Data!$D$2:$D$59,"ICU")/COUNTIFS(Raw_Data!$R$2:$R$59,"&gt;=1",Raw_Data!$R$2:$R$59,"&lt;=5",Raw_Data!$A$2:$A$59,"Yes",Raw_Data!$D$2:$D$59,"ICU"),"")</f>
        <v>50</v>
      </c>
      <c r="S15" s="54">
        <f>IFERROR(100*COUNTIFS(Raw_Data!$R$2:$R$59,"&gt;=1",Raw_Data!$R$2:$R$59,"&lt;=2",Raw_Data!$A$2:$A$59,"Yes",Raw_Data!$D$2:$D$59,"IPD")/COUNTIFS(Raw_Data!$R$2:$R$59,"&gt;=1",Raw_Data!$R$2:$R$59,"&lt;=5",Raw_Data!$A$2:$A$59,"Yes",Raw_Data!$D$2:$D$59,"IPD"),"")</f>
        <v>50</v>
      </c>
      <c r="T15" s="54">
        <f>IFERROR(100*COUNTIFS(Raw_Data!$R$2:$R$59,"&gt;=1",Raw_Data!$R$2:$R$59,"&lt;=2",Raw_Data!$A$2:$A$59,"Yes",Raw_Data!$D$2:$D$59,"IT")/COUNTIFS(Raw_Data!$R$2:$R$59,"&gt;=1",Raw_Data!$R$2:$R$59,"&lt;=5",Raw_Data!$A$2:$A$59,"Yes",Raw_Data!$D$2:$D$59,"IT"),"")</f>
        <v>50</v>
      </c>
      <c r="U15" s="54">
        <f>IFERROR(100*COUNTIFS(Raw_Data!$R$2:$R$59,"&gt;=1",Raw_Data!$R$2:$R$59,"&lt;=2",Raw_Data!$A$2:$A$59,"Yes",Raw_Data!$D$2:$D$59,"OR")/COUNTIFS(Raw_Data!$R$2:$R$59,"&gt;=1",Raw_Data!$R$2:$R$59,"&lt;=5",Raw_Data!$A$2:$A$59,"Yes",Raw_Data!$D$2:$D$59,"OR"),"")</f>
        <v>50</v>
      </c>
      <c r="V15" s="54">
        <f>IFERROR(100*COUNTIFS(Raw_Data!$R$2:$R$59,"&gt;=1",Raw_Data!$R$2:$R$59,"&lt;=2",Raw_Data!$A$2:$A$59,"Yes",Raw_Data!$D$2:$D$59,"IPD",Raw_Data!$E$2:$E$59,"ผู้บริหาร")/COUNTIFS(Raw_Data!$R$2:$R$59,"&gt;=1",Raw_Data!$R$2:$R$59,"&lt;=5",Raw_Data!$A$2:$A$59,"Yes",Raw_Data!$D$2:$D$59,"IPD",Raw_Data!$E$2:$E$59,"ผู้บริหาร"),"")</f>
        <v>0</v>
      </c>
      <c r="W15" s="54">
        <f>IFERROR(100*COUNTIFS(Raw_Data!$R$2:$R$59,"&gt;=1",Raw_Data!$R$2:$R$59,"&lt;=2",Raw_Data!$A$2:$A$59,"Yes",Raw_Data!$D$2:$D$59,"ฝ่ายการพยาบาล",Raw_Data!$E$2:$E$59,"สายวิชาชีพสาธารณสุข")/COUNTIFS(Raw_Data!$R$2:$R$59,"&gt;=1",Raw_Data!$R$2:$R$59,"&lt;=5",Raw_Data!$A$2:$A$59,"Yes",Raw_Data!$D$2:$D$59,"ฝ่ายการพยาบาล",Raw_Data!$E$2:$E$59,"สายวิชาชีพสาธารณสุข"),"")</f>
        <v>0</v>
      </c>
      <c r="X15" s="54">
        <f>IFERROR(100*COUNTIFS(Raw_Data!$R$2:$R$59,"&gt;=1",Raw_Data!$R$2:$R$59,"&lt;=2",Raw_Data!$A$2:$A$59,"Yes",Raw_Data!$D$2:$D$59,"ERและเปล",Raw_Data!$E$2:$E$59,"สายวิชาชีพสาธารณสุข")/COUNTIFS(Raw_Data!$R$2:$R$59,"&gt;=1",Raw_Data!$R$2:$R$59,"&lt;=5",Raw_Data!$A$2:$A$59,"Yes",Raw_Data!$D$2:$D$59,"ERและเปล",Raw_Data!$E$2:$E$59,"สายวิชาชีพสาธารณสุข"),"")</f>
        <v>14.285714285714286</v>
      </c>
      <c r="Y15" s="54">
        <f>IFERROR(100*COUNTIFS(Raw_Data!$R$2:$R$59,"&gt;=1",Raw_Data!$R$2:$R$59,"&lt;=2",Raw_Data!$A$2:$A$59,"Yes",Raw_Data!$D$2:$D$59,"ICU",Raw_Data!$E$2:$E$59,"สายวิชาชีพสาธารณสุข")/COUNTIFS(Raw_Data!$R$2:$R$59,"&gt;=1",Raw_Data!$R$2:$R$59,"&lt;=5",Raw_Data!$A$2:$A$59,"Yes",Raw_Data!$D$2:$D$59,"ICU",Raw_Data!$E$2:$E$59,"สายวิชาชีพสาธารณสุข"),"")</f>
        <v>100</v>
      </c>
      <c r="Z15" s="54">
        <f>IFERROR(100*COUNTIFS(Raw_Data!$R$2:$R$59,"&gt;=1",Raw_Data!$R$2:$R$59,"&lt;=2",Raw_Data!$A$2:$A$59,"Yes",Raw_Data!$D$2:$D$59,"IPD",Raw_Data!$E$2:$E$59,"สายวิชาชีพสาธารณสุข")/COUNTIFS(Raw_Data!$R$2:$R$59,"&gt;=1",Raw_Data!$R$2:$R$59,"&lt;=5",Raw_Data!$A$2:$A$59,"Yes",Raw_Data!$D$2:$D$59,"IPD",Raw_Data!$E$2:$E$59,"สายวิชาชีพสาธารณสุข"),"")</f>
        <v>100</v>
      </c>
      <c r="AA15" s="54">
        <f>IFERROR(100*COUNTIFS(Raw_Data!$R$2:$R$59,"&gt;=1",Raw_Data!$R$2:$R$59,"&lt;=2",Raw_Data!$A$2:$A$59,"Yes",Raw_Data!$D$2:$D$59,"OR",Raw_Data!$E$2:$E$59,"สายวิชาชีพสาธารณสุข")/COUNTIFS(Raw_Data!$R$2:$R$59,"&gt;=1",Raw_Data!$R$2:$R$59,"&lt;=5",Raw_Data!$A$2:$A$59,"Yes",Raw_Data!$D$2:$D$59,"OR",Raw_Data!$E$2:$E$59,"สายวิชาชีพสาธารณสุข"),"")</f>
        <v>50</v>
      </c>
      <c r="AB15" s="54">
        <f>IFERROR(100*COUNTIFS(Raw_Data!$R$2:$R$59,"&gt;=1",Raw_Data!$R$2:$R$59,"&lt;=2",Raw_Data!$A$2:$A$59,"Yes",Raw_Data!$D$2:$D$59,"การเงิน",Raw_Data!$E$2:$E$59,"สายสนับสนุนทั่วไป")/COUNTIFS(Raw_Data!$R$2:$R$59,"&gt;=1",Raw_Data!$R$2:$R$59,"&lt;=5",Raw_Data!$A$2:$A$59,"Yes",Raw_Data!$D$2:$D$59,"การเงิน",Raw_Data!$E$2:$E$59,"สายสนับสนุนทั่วไป"),"")</f>
        <v>33.333333333333336</v>
      </c>
      <c r="AC15" s="54">
        <f>IFERROR(100*COUNTIFS(Raw_Data!$R$2:$R$59,"&gt;=1",Raw_Data!$R$2:$R$59,"&lt;=2",Raw_Data!$A$2:$A$59,"Yes",Raw_Data!$D$2:$D$59,"เคหรักษ์",Raw_Data!$E$2:$E$59,"สายสนับสนุนทั่วไป")/COUNTIFS(Raw_Data!$R$2:$R$59,"&gt;=1",Raw_Data!$R$2:$R$59,"&lt;=5",Raw_Data!$A$2:$A$59,"Yes",Raw_Data!$D$2:$D$59,"เคหรักษ์",Raw_Data!$E$2:$E$59,"สายสนับสนุนทั่วไป"),"")</f>
        <v>0</v>
      </c>
      <c r="AD15" s="54">
        <f>IFERROR(100*COUNTIFS(Raw_Data!$R$2:$R$59,"&gt;=1",Raw_Data!$R$2:$R$59,"&lt;=2",Raw_Data!$A$2:$A$59,"Yes",Raw_Data!$D$2:$D$59,"จ่ายกลาง",Raw_Data!$E$2:$E$59,"สายสนับสนุนทั่วไป")/COUNTIFS(Raw_Data!$R$2:$R$59,"&gt;=1",Raw_Data!$R$2:$R$59,"&lt;=5",Raw_Data!$A$2:$A$59,"Yes",Raw_Data!$D$2:$D$59,"จ่ายกลาง",Raw_Data!$E$2:$E$59,"สายสนับสนุนทั่วไป"),"")</f>
        <v>0</v>
      </c>
      <c r="AE15" s="54">
        <f>IFERROR(100*COUNTIFS(Raw_Data!$R$2:$R$59,"&gt;=1",Raw_Data!$R$2:$R$59,"&lt;=2",Raw_Data!$A$2:$A$59,"Yes",Raw_Data!$D$2:$D$59,"ช่างและสนาม",Raw_Data!$E$2:$E$59,"สายสนับสนุนทั่วไป")/COUNTIFS(Raw_Data!$R$2:$R$59,"&gt;=1",Raw_Data!$R$2:$R$59,"&lt;=5",Raw_Data!$A$2:$A$59,"Yes",Raw_Data!$D$2:$D$59,"ช่างและสนาม",Raw_Data!$E$2:$E$59,"สายสนับสนุนทั่วไป"),"")</f>
        <v>50</v>
      </c>
      <c r="AF15" s="54">
        <f>IFERROR(100*COUNTIFS(Raw_Data!$R$2:$R$59,"&gt;=1",Raw_Data!$R$2:$R$59,"&lt;=2",Raw_Data!$A$2:$A$59,"Yes",Raw_Data!$D$2:$D$59,"ผู้ป่วยสัมพันธ์",Raw_Data!$E$2:$E$59,"สายสนับสนุนทั่วไป")/COUNTIFS(Raw_Data!$R$2:$R$59,"&gt;=1",Raw_Data!$R$2:$R$59,"&lt;=5",Raw_Data!$A$2:$A$59,"Yes",Raw_Data!$D$2:$D$59,"ผู้ป่วยสัมพันธ์",Raw_Data!$E$2:$E$59,"สายสนับสนุนทั่วไป"),"")</f>
        <v>0</v>
      </c>
      <c r="AG15" s="54">
        <f>IFERROR(100*COUNTIFS(Raw_Data!$R$2:$R$59,"&gt;=1",Raw_Data!$R$2:$R$59,"&lt;=2",Raw_Data!$A$2:$A$59,"Yes",Raw_Data!$D$2:$D$59,"ยานพาหนะ",Raw_Data!$E$2:$E$59,"สายสนับสนุนทั่วไป")/COUNTIFS(Raw_Data!$R$2:$R$59,"&gt;=1",Raw_Data!$R$2:$R$59,"&lt;=5",Raw_Data!$A$2:$A$59,"Yes",Raw_Data!$D$2:$D$59,"ยานพาหนะ",Raw_Data!$E$2:$E$59,"สายสนับสนุนทั่วไป"),"")</f>
        <v>0</v>
      </c>
      <c r="AH15" s="54">
        <f>IFERROR(100*COUNTIFS(Raw_Data!$R$2:$R$59,"&gt;=1",Raw_Data!$R$2:$R$59,"&lt;=2",Raw_Data!$A$2:$A$59,"Yes",Raw_Data!$D$2:$D$59,"สื่อสารการตลาด",Raw_Data!$E$2:$E$59,"สายสนับสนุนทั่วไป")/COUNTIFS(Raw_Data!$R$2:$R$59,"&gt;=1",Raw_Data!$R$2:$R$59,"&lt;=5",Raw_Data!$A$2:$A$59,"Yes",Raw_Data!$D$2:$D$59,"สื่อสารการตลาด",Raw_Data!$E$2:$E$59,"สายสนับสนุนทั่วไป"),"")</f>
        <v>100</v>
      </c>
      <c r="AI15" s="54">
        <f>IFERROR(100*COUNTIFS(Raw_Data!$R$2:$R$59,"&gt;=1",Raw_Data!$R$2:$R$59,"&lt;=2",Raw_Data!$A$2:$A$59,"Yes",Raw_Data!$D$2:$D$59,"ERและเปล",Raw_Data!$E$2:$E$59,"สายสนับสนุนทั่วไป")/COUNTIFS(Raw_Data!$R$2:$R$59,"&gt;=1",Raw_Data!$R$2:$R$59,"&lt;=5",Raw_Data!$A$2:$A$59,"Yes",Raw_Data!$D$2:$D$59,"ERและเปล",Raw_Data!$E$2:$E$59,"สายสนับสนุนทั่วไป"),"")</f>
        <v>33.333333333333336</v>
      </c>
      <c r="AJ15" s="54">
        <f>IFERROR(100*COUNTIFS(Raw_Data!$R$2:$R$59,"&gt;=1",Raw_Data!$R$2:$R$59,"&lt;=2",Raw_Data!$A$2:$A$59,"Yes",Raw_Data!$D$2:$D$59,"HR",Raw_Data!$E$2:$E$59,"สายสนับสนุนทั่วไป")/COUNTIFS(Raw_Data!$R$2:$R$59,"&gt;=1",Raw_Data!$R$2:$R$59,"&lt;=5",Raw_Data!$A$2:$A$59,"Yes",Raw_Data!$D$2:$D$59,"HR",Raw_Data!$E$2:$E$59,"สายสนับสนุนทั่วไป"),"")</f>
        <v>0</v>
      </c>
      <c r="AK15" s="54">
        <f>IFERROR(100*COUNTIFS(Raw_Data!$R$2:$R$59,"&gt;=1",Raw_Data!$R$2:$R$59,"&lt;=2",Raw_Data!$A$2:$A$59,"Yes",Raw_Data!$D$2:$D$59,"ICU",Raw_Data!$E$2:$E$59,"สายสนับสนุนทั่วไป")/COUNTIFS(Raw_Data!$R$2:$R$59,"&gt;=1",Raw_Data!$R$2:$R$59,"&lt;=5",Raw_Data!$A$2:$A$59,"Yes",Raw_Data!$D$2:$D$59,"ICU",Raw_Data!$E$2:$E$59,"สายสนับสนุนทั่วไป"),"")</f>
        <v>0</v>
      </c>
      <c r="AL15" s="54">
        <f>IFERROR(100*COUNTIFS(Raw_Data!$R$2:$R$59,"&gt;=1",Raw_Data!$R$2:$R$59,"&lt;=2",Raw_Data!$A$2:$A$59,"Yes",Raw_Data!$D$2:$D$59,"IPD",Raw_Data!$E$2:$E$59,"สายสนับสนุนทั่วไป")/COUNTIFS(Raw_Data!$R$2:$R$59,"&gt;=1",Raw_Data!$R$2:$R$59,"&lt;=5",Raw_Data!$A$2:$A$59,"Yes",Raw_Data!$D$2:$D$59,"IPD",Raw_Data!$E$2:$E$59,"สายสนับสนุนทั่วไป"),"")</f>
        <v>0</v>
      </c>
      <c r="AM15" s="54">
        <f>IFERROR(100*COUNTIFS(Raw_Data!$R$2:$R$59,"&gt;=1",Raw_Data!$R$2:$R$59,"&lt;=2",Raw_Data!$A$2:$A$59,"Yes",Raw_Data!$D$2:$D$59,"IT",Raw_Data!$E$2:$E$59,"สายสนับสนุนทั่วไป")/COUNTIFS(Raw_Data!$R$2:$R$59,"&gt;=1",Raw_Data!$R$2:$R$59,"&lt;=5",Raw_Data!$A$2:$A$59,"Yes",Raw_Data!$D$2:$D$59,"IT",Raw_Data!$E$2:$E$59,"สายสนับสนุนทั่วไป"),"")</f>
        <v>100</v>
      </c>
      <c r="AN15" s="54">
        <f>IFERROR(100*COUNTIFS(Raw_Data!$R$2:$R$59,"&gt;=1",Raw_Data!$R$2:$R$59,"&lt;=2",Raw_Data!$A$2:$A$59,"Yes",Raw_Data!$D$2:$D$59,"ผู้ป่วยสัมพันธ์",Raw_Data!$E$2:$E$59,"สายสนับสนุนทางการแพทย์")/COUNTIFS(Raw_Data!$R$2:$R$59,"&gt;=1",Raw_Data!$R$2:$R$59,"&lt;=5",Raw_Data!$A$2:$A$59,"Yes",Raw_Data!$D$2:$D$59,"ผู้ป่วยสัมพันธ์",Raw_Data!$E$2:$E$59,"สายสนับสนุนทางการแพทย์"),"")</f>
        <v>66.666666666666671</v>
      </c>
      <c r="AO15" s="54">
        <f>IFERROR(100*COUNTIFS(Raw_Data!$R$2:$R$59,"&gt;=1",Raw_Data!$R$2:$R$59,"&lt;=2",Raw_Data!$A$2:$A$59,"Yes",Raw_Data!$D$2:$D$59,"ฝ่ายการพยาบาล",Raw_Data!$E$2:$E$59,"สายสนับสนุนทางการแพทย์")/COUNTIFS(Raw_Data!$R$2:$R$59,"&gt;=1",Raw_Data!$R$2:$R$59,"&lt;=5",Raw_Data!$A$2:$A$59,"Yes",Raw_Data!$D$2:$D$59,"ฝ่ายการพยาบาล",Raw_Data!$E$2:$E$59,"สายสนับสนุนทางการแพทย์"),"")</f>
        <v>100</v>
      </c>
      <c r="AP15" s="54">
        <f>IFERROR(100*COUNTIFS(Raw_Data!$R$2:$R$59,"&gt;=1",Raw_Data!$R$2:$R$59,"&lt;=2",Raw_Data!$A$2:$A$59,"Yes",Raw_Data!$D$2:$D$59,"โภชนาการ",Raw_Data!$E$2:$E$59,"สายสนับสนุนทางการแพทย์")/COUNTIFS(Raw_Data!$R$2:$R$59,"&gt;=1",Raw_Data!$R$2:$R$59,"&lt;=5",Raw_Data!$A$2:$A$59,"Yes",Raw_Data!$D$2:$D$59,"โภชนาการ",Raw_Data!$E$2:$E$59,"สายสนับสนุนทางการแพทย์"),"")</f>
        <v>100</v>
      </c>
      <c r="AQ15" s="54">
        <f>IFERROR(100*COUNTIFS(Raw_Data!$R$2:$R$59,"&gt;=1",Raw_Data!$R$2:$R$59,"&lt;=2",Raw_Data!$A$2:$A$59,"Yes",Raw_Data!$D$2:$D$59,"ห้องยา",Raw_Data!$E$2:$E$59,"สายสนับสนุนทางการแพทย์")/COUNTIFS(Raw_Data!$R$2:$R$59,"&gt;=1",Raw_Data!$R$2:$R$59,"&lt;=5",Raw_Data!$A$2:$A$59,"Yes",Raw_Data!$D$2:$D$59,"ห้องยา",Raw_Data!$E$2:$E$59,"สายสนับสนุนทางการแพทย์"),"")</f>
        <v>33.333333333333336</v>
      </c>
      <c r="AR15" s="54">
        <f>IFERROR(100*COUNTIFS(Raw_Data!$R$2:$R$59,"&gt;=1",Raw_Data!$R$2:$R$59,"&lt;=2",Raw_Data!$A$2:$A$59,"Yes",Raw_Data!$D$2:$D$59,"ห้องแลป",Raw_Data!$E$2:$E$59,"สายสนับสนุนทางการแพทย์")/COUNTIFS(Raw_Data!$R$2:$R$59,"&gt;=1",Raw_Data!$R$2:$R$59,"&lt;=5",Raw_Data!$A$2:$A$59,"Yes",Raw_Data!$D$2:$D$59,"ห้องแลป",Raw_Data!$E$2:$E$59,"สายสนับสนุนทางการแพทย์"),"")</f>
        <v>50</v>
      </c>
      <c r="AS15" s="54">
        <f>IFERROR(100*COUNTIFS(Raw_Data!$R$2:$R$59,"&gt;=1",Raw_Data!$R$2:$R$59,"&lt;=2",Raw_Data!$A$2:$A$59,"Yes",Raw_Data!$D$2:$D$59,"ห้องเอ็กซเรย์",Raw_Data!$E$2:$E$59,"สายสนับสนุนทางการแพทย์")/COUNTIFS(Raw_Data!$R$2:$R$59,"&gt;=1",Raw_Data!$R$2:$R$59,"&lt;=5",Raw_Data!$A$2:$A$59,"Yes",Raw_Data!$D$2:$D$59,"ห้องเอ็กซเรย์",Raw_Data!$E$2:$E$59,"สายสนับสนุนทางการแพทย์"),"")</f>
        <v>66.666666666666671</v>
      </c>
      <c r="AT15" s="54">
        <f>IFERROR(100*COUNTIFS(Raw_Data!$R$2:$R$59,"&gt;=1",Raw_Data!$R$2:$R$59,"&lt;=2",Raw_Data!$A$2:$A$59,"Yes",Raw_Data!$D$2:$D$59,"ERและเปล",Raw_Data!$E$2:$E$59,"สายสนับสนุนทางการแพทย์")/COUNTIFS(Raw_Data!$R$2:$R$59,"&gt;=1",Raw_Data!$R$2:$R$59,"&lt;=5",Raw_Data!$A$2:$A$59,"Yes",Raw_Data!$D$2:$D$59,"ERและเปล",Raw_Data!$E$2:$E$59,"สายสนับสนุนทางการแพทย์"),"")</f>
        <v>100</v>
      </c>
      <c r="AU15" s="54">
        <f>IFERROR(100*COUNTIFS(Raw_Data!$R$2:$R$59,"&gt;=1",Raw_Data!$R$2:$R$59,"&lt;=2",Raw_Data!$A$2:$A$59,"Yes",Raw_Data!$D$2:$D$59,"ICU",Raw_Data!$E$2:$E$59,"สายสนับสนุนทางการแพทย์")/COUNTIFS(Raw_Data!$R$2:$R$59,"&gt;=1",Raw_Data!$R$2:$R$59,"&lt;=5",Raw_Data!$A$2:$A$59,"Yes",Raw_Data!$D$2:$D$59,"ICU",Raw_Data!$E$2:$E$59,"สายสนับสนุนทางการแพทย์"),"")</f>
        <v>0</v>
      </c>
      <c r="AV15" s="54">
        <f>IFERROR(100*COUNTIFS(Raw_Data!$R$2:$R$59,"&gt;=1",Raw_Data!$R$2:$R$59,"&lt;=2",Raw_Data!$A$2:$A$59,"Yes",Raw_Data!$D$2:$D$59,"IPD",Raw_Data!$E$2:$E$59,"สายสนับสนุนทางการแพทย์")/COUNTIFS(Raw_Data!$R$2:$R$59,"&gt;=1",Raw_Data!$R$2:$R$59,"&lt;=5",Raw_Data!$A$2:$A$59,"Yes",Raw_Data!$D$2:$D$59,"IPD",Raw_Data!$E$2:$E$59,"สายสนับสนุนทางการแพทย์"),"")</f>
        <v>50</v>
      </c>
      <c r="AW15" s="54">
        <f>IFERROR(100*COUNTIFS(Raw_Data!$R$2:$R$59,"&gt;=1",Raw_Data!$R$2:$R$59,"&lt;=2",Raw_Data!$A$2:$A$59,"Yes",Raw_Data!$D$2:$D$59,"IT",Raw_Data!$E$2:$E$59,"สายสนับสนุนทางการแพทย์")/COUNTIFS(Raw_Data!$R$2:$R$59,"&gt;=1",Raw_Data!$R$2:$R$59,"&lt;=5",Raw_Data!$A$2:$A$59,"Yes",Raw_Data!$D$2:$D$59,"IT",Raw_Data!$E$2:$E$59,"สายสนับสนุนทางการแพทย์"),"")</f>
        <v>0</v>
      </c>
    </row>
    <row r="16" spans="1:49" ht="42" customHeight="1">
      <c r="A16" s="50"/>
      <c r="B16" s="51" t="s">
        <v>40</v>
      </c>
      <c r="C16" s="54">
        <f>IFERROR(100*COUNTIFS(Raw_Data!$S$2:$S$59,"&gt;=4",Raw_Data!$S$2:$S$59,"&lt;=5",Raw_Data!$A$2:$A$59,"Yes")/COUNTIFS(Raw_Data!$S$2:$S$59,"&gt;=1",Raw_Data!$S$2:$S$59,"&lt;=5",Raw_Data!$A$2:$A$59,"Yes"),"")</f>
        <v>39.655172413793103</v>
      </c>
      <c r="D16" s="54">
        <f>IFERROR(100*COUNTIFS(Raw_Data!$S$2:$S$59,"&gt;=4",Raw_Data!$S$2:$S$59,"&lt;=5",Raw_Data!$A$2:$A$59,"Yes",Raw_Data!$D$2:$D$59,"การเงิน")/COUNTIFS(Raw_Data!$S$2:$S$59,"&gt;=1",Raw_Data!$S$2:$S$59,"&lt;=5",Raw_Data!$A$2:$A$59,"Yes",Raw_Data!$D$2:$D$59,"การเงิน"),"")</f>
        <v>33.333333333333336</v>
      </c>
      <c r="E16" s="54">
        <f>IFERROR(100*COUNTIFS(Raw_Data!$S$2:$S$59,"&gt;=4",Raw_Data!$S$2:$S$59,"&lt;=5",Raw_Data!$A$2:$A$59,"Yes",Raw_Data!$D$2:$D$59,"เคหรักษ์")/COUNTIFS(Raw_Data!$S$2:$S$59,"&gt;=1",Raw_Data!$S$2:$S$59,"&lt;=5",Raw_Data!$A$2:$A$59,"Yes",Raw_Data!$D$2:$D$59,"เคหรักษ์"),"")</f>
        <v>0</v>
      </c>
      <c r="F16" s="54">
        <f>IFERROR(100*COUNTIFS(Raw_Data!$S$2:$S$59,"&gt;=4",Raw_Data!$S$2:$S$59,"&lt;=5",Raw_Data!$A$2:$A$59,"Yes",Raw_Data!$D$2:$D$59,"จ่ายกลาง")/COUNTIFS(Raw_Data!$S$2:$S$59,"&gt;=1",Raw_Data!$S$2:$S$59,"&lt;=5",Raw_Data!$A$2:$A$59,"Yes",Raw_Data!$D$2:$D$59,"จ่ายกลาง"),"")</f>
        <v>0</v>
      </c>
      <c r="G16" s="54">
        <f>IFERROR(100*COUNTIFS(Raw_Data!$S$2:$S$59,"&gt;=4",Raw_Data!$S$2:$S$59,"&lt;=5",Raw_Data!$A$2:$A$59,"Yes",Raw_Data!$D$2:$D$59,"ช่างและสนาม")/COUNTIFS(Raw_Data!$S$2:$S$59,"&gt;=1",Raw_Data!$S$2:$S$59,"&lt;=5",Raw_Data!$A$2:$A$59,"Yes",Raw_Data!$D$2:$D$59,"ช่างและสนาม"),"")</f>
        <v>75</v>
      </c>
      <c r="H16" s="54">
        <f>IFERROR(100*COUNTIFS(Raw_Data!$S$2:$S$59,"&gt;=4",Raw_Data!$S$2:$S$59,"&lt;=5",Raw_Data!$A$2:$A$59,"Yes",Raw_Data!$D$2:$D$59,"ผู้ป่วยสัมพันธ์")/COUNTIFS(Raw_Data!$S$2:$S$59,"&gt;=1",Raw_Data!$S$2:$S$59,"&lt;=5",Raw_Data!$A$2:$A$59,"Yes",Raw_Data!$D$2:$D$59,"ผู้ป่วยสัมพันธ์"),"")</f>
        <v>50</v>
      </c>
      <c r="I16" s="54">
        <f>IFERROR(100*COUNTIFS(Raw_Data!$S$2:$S$59,"&gt;=4",Raw_Data!$S$2:$S$59,"&lt;=5",Raw_Data!$A$2:$A$59,"Yes",Raw_Data!$D$2:$D$59,"ฝ่ายการพยาบาล")/COUNTIFS(Raw_Data!$S$2:$S$59,"&gt;=1",Raw_Data!$S$2:$S$59,"&lt;=5",Raw_Data!$A$2:$A$59,"Yes",Raw_Data!$D$2:$D$59,"ฝ่ายการพยาบาล"),"")</f>
        <v>50</v>
      </c>
      <c r="J16" s="54">
        <f>IFERROR(100*COUNTIFS(Raw_Data!$S$2:$S$59,"&gt;=4",Raw_Data!$S$2:$S$59,"&lt;=5",Raw_Data!$A$2:$A$59,"Yes",Raw_Data!$D$2:$D$59,"โภชนาการ")/COUNTIFS(Raw_Data!$S$2:$S$59,"&gt;=1",Raw_Data!$S$2:$S$59,"&lt;=5",Raw_Data!$A$2:$A$59,"Yes",Raw_Data!$D$2:$D$59,"โภชนาการ"),"")</f>
        <v>100</v>
      </c>
      <c r="K16" s="54">
        <f>IFERROR(100*COUNTIFS(Raw_Data!$S$2:$S$59,"&gt;=4",Raw_Data!$S$2:$S$59,"&lt;=5",Raw_Data!$A$2:$A$59,"Yes",Raw_Data!$D$2:$D$59,"ยานพาหนะ")/COUNTIFS(Raw_Data!$S$2:$S$59,"&gt;=1",Raw_Data!$S$2:$S$59,"&lt;=5",Raw_Data!$A$2:$A$59,"Yes",Raw_Data!$D$2:$D$59,"ยานพาหนะ"),"")</f>
        <v>100</v>
      </c>
      <c r="L16" s="54">
        <f>IFERROR(100*COUNTIFS(Raw_Data!$S$2:$S$59,"&gt;=4",Raw_Data!$S$2:$S$59,"&lt;=5",Raw_Data!$A$2:$A$59,"Yes",Raw_Data!$D$2:$D$59,"สื่อสารการตลาด")/COUNTIFS(Raw_Data!$S$2:$S$59,"&gt;=1",Raw_Data!$S$2:$S$59,"&lt;=5",Raw_Data!$A$2:$A$59,"Yes",Raw_Data!$D$2:$D$59,"สื่อสารการตลาด"),"")</f>
        <v>0</v>
      </c>
      <c r="M16" s="54">
        <f>IFERROR(100*COUNTIFS(Raw_Data!$S$2:$S$59,"&gt;=4",Raw_Data!$S$2:$S$59,"&lt;=5",Raw_Data!$A$2:$A$59,"Yes",Raw_Data!$D$2:$D$59,"ห้องยา")/COUNTIFS(Raw_Data!$S$2:$S$59,"&gt;=1",Raw_Data!$S$2:$S$59,"&lt;=5",Raw_Data!$A$2:$A$59,"Yes",Raw_Data!$D$2:$D$59,"ห้องยา"),"")</f>
        <v>33.333333333333336</v>
      </c>
      <c r="N16" s="54">
        <f>IFERROR(100*COUNTIFS(Raw_Data!$S$2:$S$59,"&gt;=4",Raw_Data!$S$2:$S$59,"&lt;=5",Raw_Data!$A$2:$A$59,"Yes",Raw_Data!$D$2:$D$59,"ห้องแลป")/COUNTIFS(Raw_Data!$S$2:$S$59,"&gt;=1",Raw_Data!$S$2:$S$59,"&lt;=5",Raw_Data!$A$2:$A$59,"Yes",Raw_Data!$D$2:$D$59,"ห้องแลป"),"")</f>
        <v>100</v>
      </c>
      <c r="O16" s="54">
        <f>IFERROR(100*COUNTIFS(Raw_Data!$S$2:$S$59,"&gt;=4",Raw_Data!$S$2:$S$59,"&lt;=5",Raw_Data!$A$2:$A$59,"Yes",Raw_Data!$D$2:$D$59,"ห้องเอ็กซเรย์")/COUNTIFS(Raw_Data!$S$2:$S$59,"&gt;=1",Raw_Data!$S$2:$S$59,"&lt;=5",Raw_Data!$A$2:$A$59,"Yes",Raw_Data!$D$2:$D$59,"ห้องเอ็กซเรย์"),"")</f>
        <v>66.666666666666671</v>
      </c>
      <c r="P16" s="54">
        <f>IFERROR(100*COUNTIFS(Raw_Data!$S$2:$S$59,"&gt;=4",Raw_Data!$S$2:$S$59,"&lt;=5",Raw_Data!$A$2:$A$59,"Yes",Raw_Data!$D$2:$D$59,"ERและเปล")/COUNTIFS(Raw_Data!$S$2:$S$59,"&gt;=1",Raw_Data!$S$2:$S$59,"&lt;=5",Raw_Data!$A$2:$A$59,"Yes",Raw_Data!$D$2:$D$59,"ERและเปล"),"")</f>
        <v>9.0909090909090917</v>
      </c>
      <c r="Q16" s="54">
        <f>IFERROR(100*COUNTIFS(Raw_Data!$S$2:$S$59,"&gt;=4",Raw_Data!$S$2:$S$59,"&lt;=5",Raw_Data!$A$2:$A$59,"Yes",Raw_Data!$D$2:$D$59,"HR")/COUNTIFS(Raw_Data!$S$2:$S$59,"&gt;=1",Raw_Data!$S$2:$S$59,"&lt;=5",Raw_Data!$A$2:$A$59,"Yes",Raw_Data!$D$2:$D$59,"HR"),"")</f>
        <v>0</v>
      </c>
      <c r="R16" s="54">
        <f>IFERROR(100*COUNTIFS(Raw_Data!$S$2:$S$59,"&gt;=4",Raw_Data!$S$2:$S$59,"&lt;=5",Raw_Data!$A$2:$A$59,"Yes",Raw_Data!$D$2:$D$59,"ICU")/COUNTIFS(Raw_Data!$S$2:$S$59,"&gt;=1",Raw_Data!$S$2:$S$59,"&lt;=5",Raw_Data!$A$2:$A$59,"Yes",Raw_Data!$D$2:$D$59,"ICU"),"")</f>
        <v>50</v>
      </c>
      <c r="S16" s="54">
        <f>IFERROR(100*COUNTIFS(Raw_Data!$S$2:$S$59,"&gt;=4",Raw_Data!$S$2:$S$59,"&lt;=5",Raw_Data!$A$2:$A$59,"Yes",Raw_Data!$D$2:$D$59,"IPD")/COUNTIFS(Raw_Data!$S$2:$S$59,"&gt;=1",Raw_Data!$S$2:$S$59,"&lt;=5",Raw_Data!$A$2:$A$59,"Yes",Raw_Data!$D$2:$D$59,"IPD"),"")</f>
        <v>66.666666666666671</v>
      </c>
      <c r="T16" s="54">
        <f>IFERROR(100*COUNTIFS(Raw_Data!$S$2:$S$59,"&gt;=4",Raw_Data!$S$2:$S$59,"&lt;=5",Raw_Data!$A$2:$A$59,"Yes",Raw_Data!$D$2:$D$59,"IT")/COUNTIFS(Raw_Data!$S$2:$S$59,"&gt;=1",Raw_Data!$S$2:$S$59,"&lt;=5",Raw_Data!$A$2:$A$59,"Yes",Raw_Data!$D$2:$D$59,"IT"),"")</f>
        <v>50</v>
      </c>
      <c r="U16" s="54">
        <f>IFERROR(100*COUNTIFS(Raw_Data!$S$2:$S$59,"&gt;=4",Raw_Data!$S$2:$S$59,"&lt;=5",Raw_Data!$A$2:$A$59,"Yes",Raw_Data!$D$2:$D$59,"OR")/COUNTIFS(Raw_Data!$S$2:$S$59,"&gt;=1",Raw_Data!$S$2:$S$59,"&lt;=5",Raw_Data!$A$2:$A$59,"Yes",Raw_Data!$D$2:$D$59,"OR"),"")</f>
        <v>0</v>
      </c>
      <c r="V16" s="54">
        <f>IFERROR(100*COUNTIFS(Raw_Data!$S$2:$S$59,"&gt;=4",Raw_Data!$S$2:$S$59,"&lt;=5",Raw_Data!$A$2:$A$59,"Yes",Raw_Data!$D$2:$D$59,"IPD",Raw_Data!$E$2:$E$59,"ผู้บริหาร")/COUNTIFS(Raw_Data!$S$2:$S$59,"&gt;=1",Raw_Data!$S$2:$S$59,"&lt;=5",Raw_Data!$A$2:$A$59,"Yes",Raw_Data!$D$2:$D$59,"IPD",Raw_Data!$E$2:$E$59,"ผู้บริหาร"),"")</f>
        <v>100</v>
      </c>
      <c r="W16" s="54">
        <f>IFERROR(100*COUNTIFS(Raw_Data!$S$2:$S$59,"&gt;=4",Raw_Data!$S$2:$S$59,"&lt;=5",Raw_Data!$A$2:$A$59,"Yes",Raw_Data!$D$2:$D$59,"ฝ่ายการพยาบาล",Raw_Data!$E$2:$E$59,"สายวิชาชีพสาธารณสุข")/COUNTIFS(Raw_Data!$S$2:$S$59,"&gt;=1",Raw_Data!$S$2:$S$59,"&lt;=5",Raw_Data!$A$2:$A$59,"Yes",Raw_Data!$D$2:$D$59,"ฝ่ายการพยาบาล",Raw_Data!$E$2:$E$59,"สายวิชาชีพสาธารณสุข"),"")</f>
        <v>0</v>
      </c>
      <c r="X16" s="54">
        <f>IFERROR(100*COUNTIFS(Raw_Data!$S$2:$S$59,"&gt;=4",Raw_Data!$S$2:$S$59,"&lt;=5",Raw_Data!$A$2:$A$59,"Yes",Raw_Data!$D$2:$D$59,"ERและเปล",Raw_Data!$E$2:$E$59,"สายวิชาชีพสาธารณสุข")/COUNTIFS(Raw_Data!$S$2:$S$59,"&gt;=1",Raw_Data!$S$2:$S$59,"&lt;=5",Raw_Data!$A$2:$A$59,"Yes",Raw_Data!$D$2:$D$59,"ERและเปล",Raw_Data!$E$2:$E$59,"สายวิชาชีพสาธารณสุข"),"")</f>
        <v>0</v>
      </c>
      <c r="Y16" s="54">
        <f>IFERROR(100*COUNTIFS(Raw_Data!$S$2:$S$59,"&gt;=4",Raw_Data!$S$2:$S$59,"&lt;=5",Raw_Data!$A$2:$A$59,"Yes",Raw_Data!$D$2:$D$59,"ICU",Raw_Data!$E$2:$E$59,"สายวิชาชีพสาธารณสุข")/COUNTIFS(Raw_Data!$S$2:$S$59,"&gt;=1",Raw_Data!$S$2:$S$59,"&lt;=5",Raw_Data!$A$2:$A$59,"Yes",Raw_Data!$D$2:$D$59,"ICU",Raw_Data!$E$2:$E$59,"สายวิชาชีพสาธารณสุข"),"")</f>
        <v>50</v>
      </c>
      <c r="Z16" s="54">
        <f>IFERROR(100*COUNTIFS(Raw_Data!$S$2:$S$59,"&gt;=4",Raw_Data!$S$2:$S$59,"&lt;=5",Raw_Data!$A$2:$A$59,"Yes",Raw_Data!$D$2:$D$59,"IPD",Raw_Data!$E$2:$E$59,"สายวิชาชีพสาธารณสุข")/COUNTIFS(Raw_Data!$S$2:$S$59,"&gt;=1",Raw_Data!$S$2:$S$59,"&lt;=5",Raw_Data!$A$2:$A$59,"Yes",Raw_Data!$D$2:$D$59,"IPD",Raw_Data!$E$2:$E$59,"สายวิชาชีพสาธารณสุข"),"")</f>
        <v>100</v>
      </c>
      <c r="AA16" s="54">
        <f>IFERROR(100*COUNTIFS(Raw_Data!$S$2:$S$59,"&gt;=4",Raw_Data!$S$2:$S$59,"&lt;=5",Raw_Data!$A$2:$A$59,"Yes",Raw_Data!$D$2:$D$59,"OR",Raw_Data!$E$2:$E$59,"สายวิชาชีพสาธารณสุข")/COUNTIFS(Raw_Data!$S$2:$S$59,"&gt;=1",Raw_Data!$S$2:$S$59,"&lt;=5",Raw_Data!$A$2:$A$59,"Yes",Raw_Data!$D$2:$D$59,"OR",Raw_Data!$E$2:$E$59,"สายวิชาชีพสาธารณสุข"),"")</f>
        <v>0</v>
      </c>
      <c r="AB16" s="54">
        <f>IFERROR(100*COUNTIFS(Raw_Data!$S$2:$S$59,"&gt;=4",Raw_Data!$S$2:$S$59,"&lt;=5",Raw_Data!$A$2:$A$59,"Yes",Raw_Data!$D$2:$D$59,"การเงิน",Raw_Data!$E$2:$E$59,"สายสนับสนุนทั่วไป")/COUNTIFS(Raw_Data!$S$2:$S$59,"&gt;=1",Raw_Data!$S$2:$S$59,"&lt;=5",Raw_Data!$A$2:$A$59,"Yes",Raw_Data!$D$2:$D$59,"การเงิน",Raw_Data!$E$2:$E$59,"สายสนับสนุนทั่วไป"),"")</f>
        <v>33.333333333333336</v>
      </c>
      <c r="AC16" s="54">
        <f>IFERROR(100*COUNTIFS(Raw_Data!$S$2:$S$59,"&gt;=4",Raw_Data!$S$2:$S$59,"&lt;=5",Raw_Data!$A$2:$A$59,"Yes",Raw_Data!$D$2:$D$59,"เคหรักษ์",Raw_Data!$E$2:$E$59,"สายสนับสนุนทั่วไป")/COUNTIFS(Raw_Data!$S$2:$S$59,"&gt;=1",Raw_Data!$S$2:$S$59,"&lt;=5",Raw_Data!$A$2:$A$59,"Yes",Raw_Data!$D$2:$D$59,"เคหรักษ์",Raw_Data!$E$2:$E$59,"สายสนับสนุนทั่วไป"),"")</f>
        <v>0</v>
      </c>
      <c r="AD16" s="54">
        <f>IFERROR(100*COUNTIFS(Raw_Data!$S$2:$S$59,"&gt;=4",Raw_Data!$S$2:$S$59,"&lt;=5",Raw_Data!$A$2:$A$59,"Yes",Raw_Data!$D$2:$D$59,"จ่ายกลาง",Raw_Data!$E$2:$E$59,"สายสนับสนุนทั่วไป")/COUNTIFS(Raw_Data!$S$2:$S$59,"&gt;=1",Raw_Data!$S$2:$S$59,"&lt;=5",Raw_Data!$A$2:$A$59,"Yes",Raw_Data!$D$2:$D$59,"จ่ายกลาง",Raw_Data!$E$2:$E$59,"สายสนับสนุนทั่วไป"),"")</f>
        <v>0</v>
      </c>
      <c r="AE16" s="54">
        <f>IFERROR(100*COUNTIFS(Raw_Data!$S$2:$S$59,"&gt;=4",Raw_Data!$S$2:$S$59,"&lt;=5",Raw_Data!$A$2:$A$59,"Yes",Raw_Data!$D$2:$D$59,"ช่างและสนาม",Raw_Data!$E$2:$E$59,"สายสนับสนุนทั่วไป")/COUNTIFS(Raw_Data!$S$2:$S$59,"&gt;=1",Raw_Data!$S$2:$S$59,"&lt;=5",Raw_Data!$A$2:$A$59,"Yes",Raw_Data!$D$2:$D$59,"ช่างและสนาม",Raw_Data!$E$2:$E$59,"สายสนับสนุนทั่วไป"),"")</f>
        <v>75</v>
      </c>
      <c r="AF16" s="54">
        <f>IFERROR(100*COUNTIFS(Raw_Data!$S$2:$S$59,"&gt;=4",Raw_Data!$S$2:$S$59,"&lt;=5",Raw_Data!$A$2:$A$59,"Yes",Raw_Data!$D$2:$D$59,"ผู้ป่วยสัมพันธ์",Raw_Data!$E$2:$E$59,"สายสนับสนุนทั่วไป")/COUNTIFS(Raw_Data!$S$2:$S$59,"&gt;=1",Raw_Data!$S$2:$S$59,"&lt;=5",Raw_Data!$A$2:$A$59,"Yes",Raw_Data!$D$2:$D$59,"ผู้ป่วยสัมพันธ์",Raw_Data!$E$2:$E$59,"สายสนับสนุนทั่วไป"),"")</f>
        <v>0</v>
      </c>
      <c r="AG16" s="54">
        <f>IFERROR(100*COUNTIFS(Raw_Data!$S$2:$S$59,"&gt;=4",Raw_Data!$S$2:$S$59,"&lt;=5",Raw_Data!$A$2:$A$59,"Yes",Raw_Data!$D$2:$D$59,"ยานพาหนะ",Raw_Data!$E$2:$E$59,"สายสนับสนุนทั่วไป")/COUNTIFS(Raw_Data!$S$2:$S$59,"&gt;=1",Raw_Data!$S$2:$S$59,"&lt;=5",Raw_Data!$A$2:$A$59,"Yes",Raw_Data!$D$2:$D$59,"ยานพาหนะ",Raw_Data!$E$2:$E$59,"สายสนับสนุนทั่วไป"),"")</f>
        <v>100</v>
      </c>
      <c r="AH16" s="54">
        <f>IFERROR(100*COUNTIFS(Raw_Data!$S$2:$S$59,"&gt;=4",Raw_Data!$S$2:$S$59,"&lt;=5",Raw_Data!$A$2:$A$59,"Yes",Raw_Data!$D$2:$D$59,"สื่อสารการตลาด",Raw_Data!$E$2:$E$59,"สายสนับสนุนทั่วไป")/COUNTIFS(Raw_Data!$S$2:$S$59,"&gt;=1",Raw_Data!$S$2:$S$59,"&lt;=5",Raw_Data!$A$2:$A$59,"Yes",Raw_Data!$D$2:$D$59,"สื่อสารการตลาด",Raw_Data!$E$2:$E$59,"สายสนับสนุนทั่วไป"),"")</f>
        <v>0</v>
      </c>
      <c r="AI16" s="54">
        <f>IFERROR(100*COUNTIFS(Raw_Data!$S$2:$S$59,"&gt;=4",Raw_Data!$S$2:$S$59,"&lt;=5",Raw_Data!$A$2:$A$59,"Yes",Raw_Data!$D$2:$D$59,"ERและเปล",Raw_Data!$E$2:$E$59,"สายสนับสนุนทั่วไป")/COUNTIFS(Raw_Data!$S$2:$S$59,"&gt;=1",Raw_Data!$S$2:$S$59,"&lt;=5",Raw_Data!$A$2:$A$59,"Yes",Raw_Data!$D$2:$D$59,"ERและเปล",Raw_Data!$E$2:$E$59,"สายสนับสนุนทั่วไป"),"")</f>
        <v>0</v>
      </c>
      <c r="AJ16" s="54">
        <f>IFERROR(100*COUNTIFS(Raw_Data!$S$2:$S$59,"&gt;=4",Raw_Data!$S$2:$S$59,"&lt;=5",Raw_Data!$A$2:$A$59,"Yes",Raw_Data!$D$2:$D$59,"HR",Raw_Data!$E$2:$E$59,"สายสนับสนุนทั่วไป")/COUNTIFS(Raw_Data!$S$2:$S$59,"&gt;=1",Raw_Data!$S$2:$S$59,"&lt;=5",Raw_Data!$A$2:$A$59,"Yes",Raw_Data!$D$2:$D$59,"HR",Raw_Data!$E$2:$E$59,"สายสนับสนุนทั่วไป"),"")</f>
        <v>0</v>
      </c>
      <c r="AK16" s="54">
        <f>IFERROR(100*COUNTIFS(Raw_Data!$S$2:$S$59,"&gt;=4",Raw_Data!$S$2:$S$59,"&lt;=5",Raw_Data!$A$2:$A$59,"Yes",Raw_Data!$D$2:$D$59,"ICU",Raw_Data!$E$2:$E$59,"สายสนับสนุนทั่วไป")/COUNTIFS(Raw_Data!$S$2:$S$59,"&gt;=1",Raw_Data!$S$2:$S$59,"&lt;=5",Raw_Data!$A$2:$A$59,"Yes",Raw_Data!$D$2:$D$59,"ICU",Raw_Data!$E$2:$E$59,"สายสนับสนุนทั่วไป"),"")</f>
        <v>0</v>
      </c>
      <c r="AL16" s="54">
        <f>IFERROR(100*COUNTIFS(Raw_Data!$S$2:$S$59,"&gt;=4",Raw_Data!$S$2:$S$59,"&lt;=5",Raw_Data!$A$2:$A$59,"Yes",Raw_Data!$D$2:$D$59,"IPD",Raw_Data!$E$2:$E$59,"สายสนับสนุนทั่วไป")/COUNTIFS(Raw_Data!$S$2:$S$59,"&gt;=1",Raw_Data!$S$2:$S$59,"&lt;=5",Raw_Data!$A$2:$A$59,"Yes",Raw_Data!$D$2:$D$59,"IPD",Raw_Data!$E$2:$E$59,"สายสนับสนุนทั่วไป"),"")</f>
        <v>0</v>
      </c>
      <c r="AM16" s="54">
        <f>IFERROR(100*COUNTIFS(Raw_Data!$S$2:$S$59,"&gt;=4",Raw_Data!$S$2:$S$59,"&lt;=5",Raw_Data!$A$2:$A$59,"Yes",Raw_Data!$D$2:$D$59,"IT",Raw_Data!$E$2:$E$59,"สายสนับสนุนทั่วไป")/COUNTIFS(Raw_Data!$S$2:$S$59,"&gt;=1",Raw_Data!$S$2:$S$59,"&lt;=5",Raw_Data!$A$2:$A$59,"Yes",Raw_Data!$D$2:$D$59,"IT",Raw_Data!$E$2:$E$59,"สายสนับสนุนทั่วไป"),"")</f>
        <v>100</v>
      </c>
      <c r="AN16" s="54">
        <f>IFERROR(100*COUNTIFS(Raw_Data!$S$2:$S$59,"&gt;=4",Raw_Data!$S$2:$S$59,"&lt;=5",Raw_Data!$A$2:$A$59,"Yes",Raw_Data!$D$2:$D$59,"ผู้ป่วยสัมพันธ์",Raw_Data!$E$2:$E$59,"สายสนับสนุนทางการแพทย์")/COUNTIFS(Raw_Data!$S$2:$S$59,"&gt;=1",Raw_Data!$S$2:$S$59,"&lt;=5",Raw_Data!$A$2:$A$59,"Yes",Raw_Data!$D$2:$D$59,"ผู้ป่วยสัมพันธ์",Raw_Data!$E$2:$E$59,"สายสนับสนุนทางการแพทย์"),"")</f>
        <v>66.666666666666671</v>
      </c>
      <c r="AO16" s="54">
        <f>IFERROR(100*COUNTIFS(Raw_Data!$S$2:$S$59,"&gt;=4",Raw_Data!$S$2:$S$59,"&lt;=5",Raw_Data!$A$2:$A$59,"Yes",Raw_Data!$D$2:$D$59,"ฝ่ายการพยาบาล",Raw_Data!$E$2:$E$59,"สายสนับสนุนทางการแพทย์")/COUNTIFS(Raw_Data!$S$2:$S$59,"&gt;=1",Raw_Data!$S$2:$S$59,"&lt;=5",Raw_Data!$A$2:$A$59,"Yes",Raw_Data!$D$2:$D$59,"ฝ่ายการพยาบาล",Raw_Data!$E$2:$E$59,"สายสนับสนุนทางการแพทย์"),"")</f>
        <v>100</v>
      </c>
      <c r="AP16" s="54">
        <f>IFERROR(100*COUNTIFS(Raw_Data!$S$2:$S$59,"&gt;=4",Raw_Data!$S$2:$S$59,"&lt;=5",Raw_Data!$A$2:$A$59,"Yes",Raw_Data!$D$2:$D$59,"โภชนาการ",Raw_Data!$E$2:$E$59,"สายสนับสนุนทางการแพทย์")/COUNTIFS(Raw_Data!$S$2:$S$59,"&gt;=1",Raw_Data!$S$2:$S$59,"&lt;=5",Raw_Data!$A$2:$A$59,"Yes",Raw_Data!$D$2:$D$59,"โภชนาการ",Raw_Data!$E$2:$E$59,"สายสนับสนุนทางการแพทย์"),"")</f>
        <v>100</v>
      </c>
      <c r="AQ16" s="54">
        <f>IFERROR(100*COUNTIFS(Raw_Data!$S$2:$S$59,"&gt;=4",Raw_Data!$S$2:$S$59,"&lt;=5",Raw_Data!$A$2:$A$59,"Yes",Raw_Data!$D$2:$D$59,"ห้องยา",Raw_Data!$E$2:$E$59,"สายสนับสนุนทางการแพทย์")/COUNTIFS(Raw_Data!$S$2:$S$59,"&gt;=1",Raw_Data!$S$2:$S$59,"&lt;=5",Raw_Data!$A$2:$A$59,"Yes",Raw_Data!$D$2:$D$59,"ห้องยา",Raw_Data!$E$2:$E$59,"สายสนับสนุนทางการแพทย์"),"")</f>
        <v>33.333333333333336</v>
      </c>
      <c r="AR16" s="54">
        <f>IFERROR(100*COUNTIFS(Raw_Data!$S$2:$S$59,"&gt;=4",Raw_Data!$S$2:$S$59,"&lt;=5",Raw_Data!$A$2:$A$59,"Yes",Raw_Data!$D$2:$D$59,"ห้องแลป",Raw_Data!$E$2:$E$59,"สายสนับสนุนทางการแพทย์")/COUNTIFS(Raw_Data!$S$2:$S$59,"&gt;=1",Raw_Data!$S$2:$S$59,"&lt;=5",Raw_Data!$A$2:$A$59,"Yes",Raw_Data!$D$2:$D$59,"ห้องแลป",Raw_Data!$E$2:$E$59,"สายสนับสนุนทางการแพทย์"),"")</f>
        <v>100</v>
      </c>
      <c r="AS16" s="54">
        <f>IFERROR(100*COUNTIFS(Raw_Data!$S$2:$S$59,"&gt;=4",Raw_Data!$S$2:$S$59,"&lt;=5",Raw_Data!$A$2:$A$59,"Yes",Raw_Data!$D$2:$D$59,"ห้องเอ็กซเรย์",Raw_Data!$E$2:$E$59,"สายสนับสนุนทางการแพทย์")/COUNTIFS(Raw_Data!$S$2:$S$59,"&gt;=1",Raw_Data!$S$2:$S$59,"&lt;=5",Raw_Data!$A$2:$A$59,"Yes",Raw_Data!$D$2:$D$59,"ห้องเอ็กซเรย์",Raw_Data!$E$2:$E$59,"สายสนับสนุนทางการแพทย์"),"")</f>
        <v>66.666666666666671</v>
      </c>
      <c r="AT16" s="54">
        <f>IFERROR(100*COUNTIFS(Raw_Data!$S$2:$S$59,"&gt;=4",Raw_Data!$S$2:$S$59,"&lt;=5",Raw_Data!$A$2:$A$59,"Yes",Raw_Data!$D$2:$D$59,"ERและเปล",Raw_Data!$E$2:$E$59,"สายสนับสนุนทางการแพทย์")/COUNTIFS(Raw_Data!$S$2:$S$59,"&gt;=1",Raw_Data!$S$2:$S$59,"&lt;=5",Raw_Data!$A$2:$A$59,"Yes",Raw_Data!$D$2:$D$59,"ERและเปล",Raw_Data!$E$2:$E$59,"สายสนับสนุนทางการแพทย์"),"")</f>
        <v>100</v>
      </c>
      <c r="AU16" s="54">
        <f>IFERROR(100*COUNTIFS(Raw_Data!$S$2:$S$59,"&gt;=4",Raw_Data!$S$2:$S$59,"&lt;=5",Raw_Data!$A$2:$A$59,"Yes",Raw_Data!$D$2:$D$59,"ICU",Raw_Data!$E$2:$E$59,"สายสนับสนุนทางการแพทย์")/COUNTIFS(Raw_Data!$S$2:$S$59,"&gt;=1",Raw_Data!$S$2:$S$59,"&lt;=5",Raw_Data!$A$2:$A$59,"Yes",Raw_Data!$D$2:$D$59,"ICU",Raw_Data!$E$2:$E$59,"สายสนับสนุนทางการแพทย์"),"")</f>
        <v>100</v>
      </c>
      <c r="AV16" s="54">
        <f>IFERROR(100*COUNTIFS(Raw_Data!$S$2:$S$59,"&gt;=4",Raw_Data!$S$2:$S$59,"&lt;=5",Raw_Data!$A$2:$A$59,"Yes",Raw_Data!$D$2:$D$59,"IPD",Raw_Data!$E$2:$E$59,"สายสนับสนุนทางการแพทย์")/COUNTIFS(Raw_Data!$S$2:$S$59,"&gt;=1",Raw_Data!$S$2:$S$59,"&lt;=5",Raw_Data!$A$2:$A$59,"Yes",Raw_Data!$D$2:$D$59,"IPD",Raw_Data!$E$2:$E$59,"สายสนับสนุนทางการแพทย์"),"")</f>
        <v>50</v>
      </c>
      <c r="AW16" s="54">
        <f>IFERROR(100*COUNTIFS(Raw_Data!$S$2:$S$59,"&gt;=4",Raw_Data!$S$2:$S$59,"&lt;=5",Raw_Data!$A$2:$A$59,"Yes",Raw_Data!$D$2:$D$59,"IT",Raw_Data!$E$2:$E$59,"สายสนับสนุนทางการแพทย์")/COUNTIFS(Raw_Data!$S$2:$S$59,"&gt;=1",Raw_Data!$S$2:$S$59,"&lt;=5",Raw_Data!$A$2:$A$59,"Yes",Raw_Data!$D$2:$D$59,"IT",Raw_Data!$E$2:$E$59,"สายสนับสนุนทางการแพทย์"),"")</f>
        <v>0</v>
      </c>
    </row>
    <row r="17" spans="1:49" ht="42" customHeight="1">
      <c r="A17" s="50"/>
      <c r="B17" s="51" t="s">
        <v>222</v>
      </c>
      <c r="C17" s="54">
        <f>IFERROR(100*COUNTIFS(Raw_Data!$T$2:$T$59,"&gt;=1",Raw_Data!$T$2:$T$59,"&lt;=2",Raw_Data!$A$2:$A$59,"Yes")/COUNTIFS(Raw_Data!$T$2:$T$59,"&gt;=1",Raw_Data!$T$2:$T$59,"&lt;=5",Raw_Data!$A$2:$A$59,"Yes"),"")</f>
        <v>63.793103448275865</v>
      </c>
      <c r="D17" s="54">
        <f>IFERROR(100*COUNTIFS(Raw_Data!$T$2:$T$59,"&gt;=1",Raw_Data!$T$2:$T$59,"&lt;=2",Raw_Data!$A$2:$A$59,"Yes",Raw_Data!$D$2:$D$59,"การเงิน")/COUNTIFS(Raw_Data!$T$2:$T$59,"&gt;=1",Raw_Data!$T$2:$T$59,"&lt;=5",Raw_Data!$A$2:$A$59,"Yes",Raw_Data!$D$2:$D$59,"การเงิน"),"")</f>
        <v>33.333333333333336</v>
      </c>
      <c r="E17" s="54">
        <f>IFERROR(100*COUNTIFS(Raw_Data!$T$2:$T$59,"&gt;=1",Raw_Data!$T$2:$T$59,"&lt;=2",Raw_Data!$A$2:$A$59,"Yes",Raw_Data!$D$2:$D$59,"เคหรักษ์")/COUNTIFS(Raw_Data!$T$2:$T$59,"&gt;=1",Raw_Data!$T$2:$T$59,"&lt;=5",Raw_Data!$A$2:$A$59,"Yes",Raw_Data!$D$2:$D$59,"เคหรักษ์"),"")</f>
        <v>0</v>
      </c>
      <c r="F17" s="54">
        <f>IFERROR(100*COUNTIFS(Raw_Data!$T$2:$T$59,"&gt;=1",Raw_Data!$T$2:$T$59,"&lt;=2",Raw_Data!$A$2:$A$59,"Yes",Raw_Data!$D$2:$D$59,"จ่ายกลาง")/COUNTIFS(Raw_Data!$T$2:$T$59,"&gt;=1",Raw_Data!$T$2:$T$59,"&lt;=5",Raw_Data!$A$2:$A$59,"Yes",Raw_Data!$D$2:$D$59,"จ่ายกลาง"),"")</f>
        <v>0</v>
      </c>
      <c r="G17" s="54">
        <f>IFERROR(100*COUNTIFS(Raw_Data!$T$2:$T$59,"&gt;=1",Raw_Data!$T$2:$T$59,"&lt;=2",Raw_Data!$A$2:$A$59,"Yes",Raw_Data!$D$2:$D$59,"ช่างและสนาม")/COUNTIFS(Raw_Data!$T$2:$T$59,"&gt;=1",Raw_Data!$T$2:$T$59,"&lt;=5",Raw_Data!$A$2:$A$59,"Yes",Raw_Data!$D$2:$D$59,"ช่างและสนาม"),"")</f>
        <v>50</v>
      </c>
      <c r="H17" s="54">
        <f>IFERROR(100*COUNTIFS(Raw_Data!$T$2:$T$59,"&gt;=1",Raw_Data!$T$2:$T$59,"&lt;=2",Raw_Data!$A$2:$A$59,"Yes",Raw_Data!$D$2:$D$59,"ผู้ป่วยสัมพันธ์")/COUNTIFS(Raw_Data!$T$2:$T$59,"&gt;=1",Raw_Data!$T$2:$T$59,"&lt;=5",Raw_Data!$A$2:$A$59,"Yes",Raw_Data!$D$2:$D$59,"ผู้ป่วยสัมพันธ์"),"")</f>
        <v>75</v>
      </c>
      <c r="I17" s="54">
        <f>IFERROR(100*COUNTIFS(Raw_Data!$T$2:$T$59,"&gt;=1",Raw_Data!$T$2:$T$59,"&lt;=2",Raw_Data!$A$2:$A$59,"Yes",Raw_Data!$D$2:$D$59,"ฝ่ายการพยาบาล")/COUNTIFS(Raw_Data!$T$2:$T$59,"&gt;=1",Raw_Data!$T$2:$T$59,"&lt;=5",Raw_Data!$A$2:$A$59,"Yes",Raw_Data!$D$2:$D$59,"ฝ่ายการพยาบาล"),"")</f>
        <v>50</v>
      </c>
      <c r="J17" s="54">
        <f>IFERROR(100*COUNTIFS(Raw_Data!$T$2:$T$59,"&gt;=1",Raw_Data!$T$2:$T$59,"&lt;=2",Raw_Data!$A$2:$A$59,"Yes",Raw_Data!$D$2:$D$59,"โภชนาการ")/COUNTIFS(Raw_Data!$T$2:$T$59,"&gt;=1",Raw_Data!$T$2:$T$59,"&lt;=5",Raw_Data!$A$2:$A$59,"Yes",Raw_Data!$D$2:$D$59,"โภชนาการ"),"")</f>
        <v>100</v>
      </c>
      <c r="K17" s="54">
        <f>IFERROR(100*COUNTIFS(Raw_Data!$T$2:$T$59,"&gt;=1",Raw_Data!$T$2:$T$59,"&lt;=2",Raw_Data!$A$2:$A$59,"Yes",Raw_Data!$D$2:$D$59,"ยานพาหนะ")/COUNTIFS(Raw_Data!$T$2:$T$59,"&gt;=1",Raw_Data!$T$2:$T$59,"&lt;=5",Raw_Data!$A$2:$A$59,"Yes",Raw_Data!$D$2:$D$59,"ยานพาหนะ"),"")</f>
        <v>100</v>
      </c>
      <c r="L17" s="54">
        <f>IFERROR(100*COUNTIFS(Raw_Data!$T$2:$T$59,"&gt;=1",Raw_Data!$T$2:$T$59,"&lt;=2",Raw_Data!$A$2:$A$59,"Yes",Raw_Data!$D$2:$D$59,"สื่อสารการตลาด")/COUNTIFS(Raw_Data!$T$2:$T$59,"&gt;=1",Raw_Data!$T$2:$T$59,"&lt;=5",Raw_Data!$A$2:$A$59,"Yes",Raw_Data!$D$2:$D$59,"สื่อสารการตลาด"),"")</f>
        <v>100</v>
      </c>
      <c r="M17" s="54">
        <f>IFERROR(100*COUNTIFS(Raw_Data!$T$2:$T$59,"&gt;=1",Raw_Data!$T$2:$T$59,"&lt;=2",Raw_Data!$A$2:$A$59,"Yes",Raw_Data!$D$2:$D$59,"ห้องยา")/COUNTIFS(Raw_Data!$T$2:$T$59,"&gt;=1",Raw_Data!$T$2:$T$59,"&lt;=5",Raw_Data!$A$2:$A$59,"Yes",Raw_Data!$D$2:$D$59,"ห้องยา"),"")</f>
        <v>66.666666666666671</v>
      </c>
      <c r="N17" s="54">
        <f>IFERROR(100*COUNTIFS(Raw_Data!$T$2:$T$59,"&gt;=1",Raw_Data!$T$2:$T$59,"&lt;=2",Raw_Data!$A$2:$A$59,"Yes",Raw_Data!$D$2:$D$59,"ห้องแลป")/COUNTIFS(Raw_Data!$T$2:$T$59,"&gt;=1",Raw_Data!$T$2:$T$59,"&lt;=5",Raw_Data!$A$2:$A$59,"Yes",Raw_Data!$D$2:$D$59,"ห้องแลป"),"")</f>
        <v>100</v>
      </c>
      <c r="O17" s="54">
        <f>IFERROR(100*COUNTIFS(Raw_Data!$T$2:$T$59,"&gt;=1",Raw_Data!$T$2:$T$59,"&lt;=2",Raw_Data!$A$2:$A$59,"Yes",Raw_Data!$D$2:$D$59,"ห้องเอ็กซเรย์")/COUNTIFS(Raw_Data!$T$2:$T$59,"&gt;=1",Raw_Data!$T$2:$T$59,"&lt;=5",Raw_Data!$A$2:$A$59,"Yes",Raw_Data!$D$2:$D$59,"ห้องเอ็กซเรย์"),"")</f>
        <v>100</v>
      </c>
      <c r="P17" s="54">
        <f>IFERROR(100*COUNTIFS(Raw_Data!$T$2:$T$59,"&gt;=1",Raw_Data!$T$2:$T$59,"&lt;=2",Raw_Data!$A$2:$A$59,"Yes",Raw_Data!$D$2:$D$59,"ERและเปล")/COUNTIFS(Raw_Data!$T$2:$T$59,"&gt;=1",Raw_Data!$T$2:$T$59,"&lt;=5",Raw_Data!$A$2:$A$59,"Yes",Raw_Data!$D$2:$D$59,"ERและเปล"),"")</f>
        <v>81.818181818181813</v>
      </c>
      <c r="Q17" s="54">
        <f>IFERROR(100*COUNTIFS(Raw_Data!$T$2:$T$59,"&gt;=1",Raw_Data!$T$2:$T$59,"&lt;=2",Raw_Data!$A$2:$A$59,"Yes",Raw_Data!$D$2:$D$59,"HR")/COUNTIFS(Raw_Data!$T$2:$T$59,"&gt;=1",Raw_Data!$T$2:$T$59,"&lt;=5",Raw_Data!$A$2:$A$59,"Yes",Raw_Data!$D$2:$D$59,"HR"),"")</f>
        <v>100</v>
      </c>
      <c r="R17" s="54">
        <f>IFERROR(100*COUNTIFS(Raw_Data!$T$2:$T$59,"&gt;=1",Raw_Data!$T$2:$T$59,"&lt;=2",Raw_Data!$A$2:$A$59,"Yes",Raw_Data!$D$2:$D$59,"ICU")/COUNTIFS(Raw_Data!$T$2:$T$59,"&gt;=1",Raw_Data!$T$2:$T$59,"&lt;=5",Raw_Data!$A$2:$A$59,"Yes",Raw_Data!$D$2:$D$59,"ICU"),"")</f>
        <v>50</v>
      </c>
      <c r="S17" s="54">
        <f>IFERROR(100*COUNTIFS(Raw_Data!$T$2:$T$59,"&gt;=1",Raw_Data!$T$2:$T$59,"&lt;=2",Raw_Data!$A$2:$A$59,"Yes",Raw_Data!$D$2:$D$59,"IPD")/COUNTIFS(Raw_Data!$T$2:$T$59,"&gt;=1",Raw_Data!$T$2:$T$59,"&lt;=5",Raw_Data!$A$2:$A$59,"Yes",Raw_Data!$D$2:$D$59,"IPD"),"")</f>
        <v>33.333333333333336</v>
      </c>
      <c r="T17" s="54">
        <f>IFERROR(100*COUNTIFS(Raw_Data!$T$2:$T$59,"&gt;=1",Raw_Data!$T$2:$T$59,"&lt;=2",Raw_Data!$A$2:$A$59,"Yes",Raw_Data!$D$2:$D$59,"IT")/COUNTIFS(Raw_Data!$T$2:$T$59,"&gt;=1",Raw_Data!$T$2:$T$59,"&lt;=5",Raw_Data!$A$2:$A$59,"Yes",Raw_Data!$D$2:$D$59,"IT"),"")</f>
        <v>100</v>
      </c>
      <c r="U17" s="54">
        <f>IFERROR(100*COUNTIFS(Raw_Data!$T$2:$T$59,"&gt;=1",Raw_Data!$T$2:$T$59,"&lt;=2",Raw_Data!$A$2:$A$59,"Yes",Raw_Data!$D$2:$D$59,"OR")/COUNTIFS(Raw_Data!$T$2:$T$59,"&gt;=1",Raw_Data!$T$2:$T$59,"&lt;=5",Raw_Data!$A$2:$A$59,"Yes",Raw_Data!$D$2:$D$59,"OR"),"")</f>
        <v>50</v>
      </c>
      <c r="V17" s="54">
        <f>IFERROR(100*COUNTIFS(Raw_Data!$T$2:$T$59,"&gt;=1",Raw_Data!$T$2:$T$59,"&lt;=2",Raw_Data!$A$2:$A$59,"Yes",Raw_Data!$D$2:$D$59,"IPD",Raw_Data!$E$2:$E$59,"ผู้บริหาร")/COUNTIFS(Raw_Data!$T$2:$T$59,"&gt;=1",Raw_Data!$T$2:$T$59,"&lt;=5",Raw_Data!$A$2:$A$59,"Yes",Raw_Data!$D$2:$D$59,"IPD",Raw_Data!$E$2:$E$59,"ผู้บริหาร"),"")</f>
        <v>0</v>
      </c>
      <c r="W17" s="54">
        <f>IFERROR(100*COUNTIFS(Raw_Data!$T$2:$T$59,"&gt;=1",Raw_Data!$T$2:$T$59,"&lt;=2",Raw_Data!$A$2:$A$59,"Yes",Raw_Data!$D$2:$D$59,"ฝ่ายการพยาบาล",Raw_Data!$E$2:$E$59,"สายวิชาชีพสาธารณสุข")/COUNTIFS(Raw_Data!$T$2:$T$59,"&gt;=1",Raw_Data!$T$2:$T$59,"&lt;=5",Raw_Data!$A$2:$A$59,"Yes",Raw_Data!$D$2:$D$59,"ฝ่ายการพยาบาล",Raw_Data!$E$2:$E$59,"สายวิชาชีพสาธารณสุข"),"")</f>
        <v>0</v>
      </c>
      <c r="X17" s="54">
        <f>IFERROR(100*COUNTIFS(Raw_Data!$T$2:$T$59,"&gt;=1",Raw_Data!$T$2:$T$59,"&lt;=2",Raw_Data!$A$2:$A$59,"Yes",Raw_Data!$D$2:$D$59,"ERและเปล",Raw_Data!$E$2:$E$59,"สายวิชาชีพสาธารณสุข")/COUNTIFS(Raw_Data!$T$2:$T$59,"&gt;=1",Raw_Data!$T$2:$T$59,"&lt;=5",Raw_Data!$A$2:$A$59,"Yes",Raw_Data!$D$2:$D$59,"ERและเปล",Raw_Data!$E$2:$E$59,"สายวิชาชีพสาธารณสุข"),"")</f>
        <v>71.428571428571431</v>
      </c>
      <c r="Y17" s="54">
        <f>IFERROR(100*COUNTIFS(Raw_Data!$T$2:$T$59,"&gt;=1",Raw_Data!$T$2:$T$59,"&lt;=2",Raw_Data!$A$2:$A$59,"Yes",Raw_Data!$D$2:$D$59,"ICU",Raw_Data!$E$2:$E$59,"สายวิชาชีพสาธารณสุข")/COUNTIFS(Raw_Data!$T$2:$T$59,"&gt;=1",Raw_Data!$T$2:$T$59,"&lt;=5",Raw_Data!$A$2:$A$59,"Yes",Raw_Data!$D$2:$D$59,"ICU",Raw_Data!$E$2:$E$59,"สายวิชาชีพสาธารณสุข"),"")</f>
        <v>50</v>
      </c>
      <c r="Z17" s="54">
        <f>IFERROR(100*COUNTIFS(Raw_Data!$T$2:$T$59,"&gt;=1",Raw_Data!$T$2:$T$59,"&lt;=2",Raw_Data!$A$2:$A$59,"Yes",Raw_Data!$D$2:$D$59,"IPD",Raw_Data!$E$2:$E$59,"สายวิชาชีพสาธารณสุข")/COUNTIFS(Raw_Data!$T$2:$T$59,"&gt;=1",Raw_Data!$T$2:$T$59,"&lt;=5",Raw_Data!$A$2:$A$59,"Yes",Raw_Data!$D$2:$D$59,"IPD",Raw_Data!$E$2:$E$59,"สายวิชาชีพสาธารณสุข"),"")</f>
        <v>100</v>
      </c>
      <c r="AA17" s="54">
        <f>IFERROR(100*COUNTIFS(Raw_Data!$T$2:$T$59,"&gt;=1",Raw_Data!$T$2:$T$59,"&lt;=2",Raw_Data!$A$2:$A$59,"Yes",Raw_Data!$D$2:$D$59,"OR",Raw_Data!$E$2:$E$59,"สายวิชาชีพสาธารณสุข")/COUNTIFS(Raw_Data!$T$2:$T$59,"&gt;=1",Raw_Data!$T$2:$T$59,"&lt;=5",Raw_Data!$A$2:$A$59,"Yes",Raw_Data!$D$2:$D$59,"OR",Raw_Data!$E$2:$E$59,"สายวิชาชีพสาธารณสุข"),"")</f>
        <v>50</v>
      </c>
      <c r="AB17" s="54">
        <f>IFERROR(100*COUNTIFS(Raw_Data!$T$2:$T$59,"&gt;=1",Raw_Data!$T$2:$T$59,"&lt;=2",Raw_Data!$A$2:$A$59,"Yes",Raw_Data!$D$2:$D$59,"การเงิน",Raw_Data!$E$2:$E$59,"สายสนับสนุนทั่วไป")/COUNTIFS(Raw_Data!$T$2:$T$59,"&gt;=1",Raw_Data!$T$2:$T$59,"&lt;=5",Raw_Data!$A$2:$A$59,"Yes",Raw_Data!$D$2:$D$59,"การเงิน",Raw_Data!$E$2:$E$59,"สายสนับสนุนทั่วไป"),"")</f>
        <v>33.333333333333336</v>
      </c>
      <c r="AC17" s="54">
        <f>IFERROR(100*COUNTIFS(Raw_Data!$T$2:$T$59,"&gt;=1",Raw_Data!$T$2:$T$59,"&lt;=2",Raw_Data!$A$2:$A$59,"Yes",Raw_Data!$D$2:$D$59,"เคหรักษ์",Raw_Data!$E$2:$E$59,"สายสนับสนุนทั่วไป")/COUNTIFS(Raw_Data!$T$2:$T$59,"&gt;=1",Raw_Data!$T$2:$T$59,"&lt;=5",Raw_Data!$A$2:$A$59,"Yes",Raw_Data!$D$2:$D$59,"เคหรักษ์",Raw_Data!$E$2:$E$59,"สายสนับสนุนทั่วไป"),"")</f>
        <v>0</v>
      </c>
      <c r="AD17" s="54">
        <f>IFERROR(100*COUNTIFS(Raw_Data!$T$2:$T$59,"&gt;=1",Raw_Data!$T$2:$T$59,"&lt;=2",Raw_Data!$A$2:$A$59,"Yes",Raw_Data!$D$2:$D$59,"จ่ายกลาง",Raw_Data!$E$2:$E$59,"สายสนับสนุนทั่วไป")/COUNTIFS(Raw_Data!$T$2:$T$59,"&gt;=1",Raw_Data!$T$2:$T$59,"&lt;=5",Raw_Data!$A$2:$A$59,"Yes",Raw_Data!$D$2:$D$59,"จ่ายกลาง",Raw_Data!$E$2:$E$59,"สายสนับสนุนทั่วไป"),"")</f>
        <v>0</v>
      </c>
      <c r="AE17" s="54">
        <f>IFERROR(100*COUNTIFS(Raw_Data!$T$2:$T$59,"&gt;=1",Raw_Data!$T$2:$T$59,"&lt;=2",Raw_Data!$A$2:$A$59,"Yes",Raw_Data!$D$2:$D$59,"ช่างและสนาม",Raw_Data!$E$2:$E$59,"สายสนับสนุนทั่วไป")/COUNTIFS(Raw_Data!$T$2:$T$59,"&gt;=1",Raw_Data!$T$2:$T$59,"&lt;=5",Raw_Data!$A$2:$A$59,"Yes",Raw_Data!$D$2:$D$59,"ช่างและสนาม",Raw_Data!$E$2:$E$59,"สายสนับสนุนทั่วไป"),"")</f>
        <v>50</v>
      </c>
      <c r="AF17" s="54">
        <f>IFERROR(100*COUNTIFS(Raw_Data!$T$2:$T$59,"&gt;=1",Raw_Data!$T$2:$T$59,"&lt;=2",Raw_Data!$A$2:$A$59,"Yes",Raw_Data!$D$2:$D$59,"ผู้ป่วยสัมพันธ์",Raw_Data!$E$2:$E$59,"สายสนับสนุนทั่วไป")/COUNTIFS(Raw_Data!$T$2:$T$59,"&gt;=1",Raw_Data!$T$2:$T$59,"&lt;=5",Raw_Data!$A$2:$A$59,"Yes",Raw_Data!$D$2:$D$59,"ผู้ป่วยสัมพันธ์",Raw_Data!$E$2:$E$59,"สายสนับสนุนทั่วไป"),"")</f>
        <v>0</v>
      </c>
      <c r="AG17" s="54">
        <f>IFERROR(100*COUNTIFS(Raw_Data!$T$2:$T$59,"&gt;=1",Raw_Data!$T$2:$T$59,"&lt;=2",Raw_Data!$A$2:$A$59,"Yes",Raw_Data!$D$2:$D$59,"ยานพาหนะ",Raw_Data!$E$2:$E$59,"สายสนับสนุนทั่วไป")/COUNTIFS(Raw_Data!$T$2:$T$59,"&gt;=1",Raw_Data!$T$2:$T$59,"&lt;=5",Raw_Data!$A$2:$A$59,"Yes",Raw_Data!$D$2:$D$59,"ยานพาหนะ",Raw_Data!$E$2:$E$59,"สายสนับสนุนทั่วไป"),"")</f>
        <v>100</v>
      </c>
      <c r="AH17" s="54">
        <f>IFERROR(100*COUNTIFS(Raw_Data!$T$2:$T$59,"&gt;=1",Raw_Data!$T$2:$T$59,"&lt;=2",Raw_Data!$A$2:$A$59,"Yes",Raw_Data!$D$2:$D$59,"สื่อสารการตลาด",Raw_Data!$E$2:$E$59,"สายสนับสนุนทั่วไป")/COUNTIFS(Raw_Data!$T$2:$T$59,"&gt;=1",Raw_Data!$T$2:$T$59,"&lt;=5",Raw_Data!$A$2:$A$59,"Yes",Raw_Data!$D$2:$D$59,"สื่อสารการตลาด",Raw_Data!$E$2:$E$59,"สายสนับสนุนทั่วไป"),"")</f>
        <v>100</v>
      </c>
      <c r="AI17" s="54">
        <f>IFERROR(100*COUNTIFS(Raw_Data!$T$2:$T$59,"&gt;=1",Raw_Data!$T$2:$T$59,"&lt;=2",Raw_Data!$A$2:$A$59,"Yes",Raw_Data!$D$2:$D$59,"ERและเปล",Raw_Data!$E$2:$E$59,"สายสนับสนุนทั่วไป")/COUNTIFS(Raw_Data!$T$2:$T$59,"&gt;=1",Raw_Data!$T$2:$T$59,"&lt;=5",Raw_Data!$A$2:$A$59,"Yes",Raw_Data!$D$2:$D$59,"ERและเปล",Raw_Data!$E$2:$E$59,"สายสนับสนุนทั่วไป"),"")</f>
        <v>100</v>
      </c>
      <c r="AJ17" s="54">
        <f>IFERROR(100*COUNTIFS(Raw_Data!$T$2:$T$59,"&gt;=1",Raw_Data!$T$2:$T$59,"&lt;=2",Raw_Data!$A$2:$A$59,"Yes",Raw_Data!$D$2:$D$59,"HR",Raw_Data!$E$2:$E$59,"สายสนับสนุนทั่วไป")/COUNTIFS(Raw_Data!$T$2:$T$59,"&gt;=1",Raw_Data!$T$2:$T$59,"&lt;=5",Raw_Data!$A$2:$A$59,"Yes",Raw_Data!$D$2:$D$59,"HR",Raw_Data!$E$2:$E$59,"สายสนับสนุนทั่วไป"),"")</f>
        <v>100</v>
      </c>
      <c r="AK17" s="54">
        <f>IFERROR(100*COUNTIFS(Raw_Data!$T$2:$T$59,"&gt;=1",Raw_Data!$T$2:$T$59,"&lt;=2",Raw_Data!$A$2:$A$59,"Yes",Raw_Data!$D$2:$D$59,"ICU",Raw_Data!$E$2:$E$59,"สายสนับสนุนทั่วไป")/COUNTIFS(Raw_Data!$T$2:$T$59,"&gt;=1",Raw_Data!$T$2:$T$59,"&lt;=5",Raw_Data!$A$2:$A$59,"Yes",Raw_Data!$D$2:$D$59,"ICU",Raw_Data!$E$2:$E$59,"สายสนับสนุนทั่วไป"),"")</f>
        <v>0</v>
      </c>
      <c r="AL17" s="54">
        <f>IFERROR(100*COUNTIFS(Raw_Data!$T$2:$T$59,"&gt;=1",Raw_Data!$T$2:$T$59,"&lt;=2",Raw_Data!$A$2:$A$59,"Yes",Raw_Data!$D$2:$D$59,"IPD",Raw_Data!$E$2:$E$59,"สายสนับสนุนทั่วไป")/COUNTIFS(Raw_Data!$T$2:$T$59,"&gt;=1",Raw_Data!$T$2:$T$59,"&lt;=5",Raw_Data!$A$2:$A$59,"Yes",Raw_Data!$D$2:$D$59,"IPD",Raw_Data!$E$2:$E$59,"สายสนับสนุนทั่วไป"),"")</f>
        <v>0</v>
      </c>
      <c r="AM17" s="54">
        <f>IFERROR(100*COUNTIFS(Raw_Data!$T$2:$T$59,"&gt;=1",Raw_Data!$T$2:$T$59,"&lt;=2",Raw_Data!$A$2:$A$59,"Yes",Raw_Data!$D$2:$D$59,"IT",Raw_Data!$E$2:$E$59,"สายสนับสนุนทั่วไป")/COUNTIFS(Raw_Data!$T$2:$T$59,"&gt;=1",Raw_Data!$T$2:$T$59,"&lt;=5",Raw_Data!$A$2:$A$59,"Yes",Raw_Data!$D$2:$D$59,"IT",Raw_Data!$E$2:$E$59,"สายสนับสนุนทั่วไป"),"")</f>
        <v>100</v>
      </c>
      <c r="AN17" s="54">
        <f>IFERROR(100*COUNTIFS(Raw_Data!$T$2:$T$59,"&gt;=1",Raw_Data!$T$2:$T$59,"&lt;=2",Raw_Data!$A$2:$A$59,"Yes",Raw_Data!$D$2:$D$59,"ผู้ป่วยสัมพันธ์",Raw_Data!$E$2:$E$59,"สายสนับสนุนทางการแพทย์")/COUNTIFS(Raw_Data!$T$2:$T$59,"&gt;=1",Raw_Data!$T$2:$T$59,"&lt;=5",Raw_Data!$A$2:$A$59,"Yes",Raw_Data!$D$2:$D$59,"ผู้ป่วยสัมพันธ์",Raw_Data!$E$2:$E$59,"สายสนับสนุนทางการแพทย์"),"")</f>
        <v>100</v>
      </c>
      <c r="AO17" s="54">
        <f>IFERROR(100*COUNTIFS(Raw_Data!$T$2:$T$59,"&gt;=1",Raw_Data!$T$2:$T$59,"&lt;=2",Raw_Data!$A$2:$A$59,"Yes",Raw_Data!$D$2:$D$59,"ฝ่ายการพยาบาล",Raw_Data!$E$2:$E$59,"สายสนับสนุนทางการแพทย์")/COUNTIFS(Raw_Data!$T$2:$T$59,"&gt;=1",Raw_Data!$T$2:$T$59,"&lt;=5",Raw_Data!$A$2:$A$59,"Yes",Raw_Data!$D$2:$D$59,"ฝ่ายการพยาบาล",Raw_Data!$E$2:$E$59,"สายสนับสนุนทางการแพทย์"),"")</f>
        <v>100</v>
      </c>
      <c r="AP17" s="54">
        <f>IFERROR(100*COUNTIFS(Raw_Data!$T$2:$T$59,"&gt;=1",Raw_Data!$T$2:$T$59,"&lt;=2",Raw_Data!$A$2:$A$59,"Yes",Raw_Data!$D$2:$D$59,"โภชนาการ",Raw_Data!$E$2:$E$59,"สายสนับสนุนทางการแพทย์")/COUNTIFS(Raw_Data!$T$2:$T$59,"&gt;=1",Raw_Data!$T$2:$T$59,"&lt;=5",Raw_Data!$A$2:$A$59,"Yes",Raw_Data!$D$2:$D$59,"โภชนาการ",Raw_Data!$E$2:$E$59,"สายสนับสนุนทางการแพทย์"),"")</f>
        <v>100</v>
      </c>
      <c r="AQ17" s="54">
        <f>IFERROR(100*COUNTIFS(Raw_Data!$T$2:$T$59,"&gt;=1",Raw_Data!$T$2:$T$59,"&lt;=2",Raw_Data!$A$2:$A$59,"Yes",Raw_Data!$D$2:$D$59,"ห้องยา",Raw_Data!$E$2:$E$59,"สายสนับสนุนทางการแพทย์")/COUNTIFS(Raw_Data!$T$2:$T$59,"&gt;=1",Raw_Data!$T$2:$T$59,"&lt;=5",Raw_Data!$A$2:$A$59,"Yes",Raw_Data!$D$2:$D$59,"ห้องยา",Raw_Data!$E$2:$E$59,"สายสนับสนุนทางการแพทย์"),"")</f>
        <v>66.666666666666671</v>
      </c>
      <c r="AR17" s="54">
        <f>IFERROR(100*COUNTIFS(Raw_Data!$T$2:$T$59,"&gt;=1",Raw_Data!$T$2:$T$59,"&lt;=2",Raw_Data!$A$2:$A$59,"Yes",Raw_Data!$D$2:$D$59,"ห้องแลป",Raw_Data!$E$2:$E$59,"สายสนับสนุนทางการแพทย์")/COUNTIFS(Raw_Data!$T$2:$T$59,"&gt;=1",Raw_Data!$T$2:$T$59,"&lt;=5",Raw_Data!$A$2:$A$59,"Yes",Raw_Data!$D$2:$D$59,"ห้องแลป",Raw_Data!$E$2:$E$59,"สายสนับสนุนทางการแพทย์"),"")</f>
        <v>100</v>
      </c>
      <c r="AS17" s="54">
        <f>IFERROR(100*COUNTIFS(Raw_Data!$T$2:$T$59,"&gt;=1",Raw_Data!$T$2:$T$59,"&lt;=2",Raw_Data!$A$2:$A$59,"Yes",Raw_Data!$D$2:$D$59,"ห้องเอ็กซเรย์",Raw_Data!$E$2:$E$59,"สายสนับสนุนทางการแพทย์")/COUNTIFS(Raw_Data!$T$2:$T$59,"&gt;=1",Raw_Data!$T$2:$T$59,"&lt;=5",Raw_Data!$A$2:$A$59,"Yes",Raw_Data!$D$2:$D$59,"ห้องเอ็กซเรย์",Raw_Data!$E$2:$E$59,"สายสนับสนุนทางการแพทย์"),"")</f>
        <v>100</v>
      </c>
      <c r="AT17" s="54">
        <f>IFERROR(100*COUNTIFS(Raw_Data!$T$2:$T$59,"&gt;=1",Raw_Data!$T$2:$T$59,"&lt;=2",Raw_Data!$A$2:$A$59,"Yes",Raw_Data!$D$2:$D$59,"ERและเปล",Raw_Data!$E$2:$E$59,"สายสนับสนุนทางการแพทย์")/COUNTIFS(Raw_Data!$T$2:$T$59,"&gt;=1",Raw_Data!$T$2:$T$59,"&lt;=5",Raw_Data!$A$2:$A$59,"Yes",Raw_Data!$D$2:$D$59,"ERและเปล",Raw_Data!$E$2:$E$59,"สายสนับสนุนทางการแพทย์"),"")</f>
        <v>100</v>
      </c>
      <c r="AU17" s="54">
        <f>IFERROR(100*COUNTIFS(Raw_Data!$T$2:$T$59,"&gt;=1",Raw_Data!$T$2:$T$59,"&lt;=2",Raw_Data!$A$2:$A$59,"Yes",Raw_Data!$D$2:$D$59,"ICU",Raw_Data!$E$2:$E$59,"สายสนับสนุนทางการแพทย์")/COUNTIFS(Raw_Data!$T$2:$T$59,"&gt;=1",Raw_Data!$T$2:$T$59,"&lt;=5",Raw_Data!$A$2:$A$59,"Yes",Raw_Data!$D$2:$D$59,"ICU",Raw_Data!$E$2:$E$59,"สายสนับสนุนทางการแพทย์"),"")</f>
        <v>100</v>
      </c>
      <c r="AV17" s="54">
        <f>IFERROR(100*COUNTIFS(Raw_Data!$T$2:$T$59,"&gt;=1",Raw_Data!$T$2:$T$59,"&lt;=2",Raw_Data!$A$2:$A$59,"Yes",Raw_Data!$D$2:$D$59,"IPD",Raw_Data!$E$2:$E$59,"สายสนับสนุนทางการแพทย์")/COUNTIFS(Raw_Data!$T$2:$T$59,"&gt;=1",Raw_Data!$T$2:$T$59,"&lt;=5",Raw_Data!$A$2:$A$59,"Yes",Raw_Data!$D$2:$D$59,"IPD",Raw_Data!$E$2:$E$59,"สายสนับสนุนทางการแพทย์"),"")</f>
        <v>0</v>
      </c>
      <c r="AW17" s="54">
        <f>IFERROR(100*COUNTIFS(Raw_Data!$T$2:$T$59,"&gt;=1",Raw_Data!$T$2:$T$59,"&lt;=2",Raw_Data!$A$2:$A$59,"Yes",Raw_Data!$D$2:$D$59,"IT",Raw_Data!$E$2:$E$59,"สายสนับสนุนทางการแพทย์")/COUNTIFS(Raw_Data!$T$2:$T$59,"&gt;=1",Raw_Data!$T$2:$T$59,"&lt;=5",Raw_Data!$A$2:$A$59,"Yes",Raw_Data!$D$2:$D$59,"IT",Raw_Data!$E$2:$E$59,"สายสนับสนุนทางการแพทย์"),"")</f>
        <v>100</v>
      </c>
    </row>
    <row r="18" spans="1:49" ht="42" customHeight="1">
      <c r="A18" s="50" t="s">
        <v>16</v>
      </c>
      <c r="B18" s="51" t="s">
        <v>45</v>
      </c>
      <c r="C18" s="54">
        <f>IFERROR(100*COUNTIFS(Raw_Data!$U$2:$U$59,"&gt;=4",Raw_Data!$U$2:$U$59,"&lt;=5",Raw_Data!$A$2:$A$59,"Yes")/COUNTIFS(Raw_Data!$U$2:$U$59,"&gt;=1",Raw_Data!$U$2:$U$59,"&lt;=5",Raw_Data!$A$2:$A$59,"Yes"),"")</f>
        <v>55.172413793103445</v>
      </c>
      <c r="D18" s="54">
        <f>IFERROR(100*COUNTIFS(Raw_Data!$U$2:$U$59,"&gt;=4",Raw_Data!$U$2:$U$59,"&lt;=5",Raw_Data!$A$2:$A$59,"Yes",Raw_Data!$D$2:$D$59,"การเงิน")/COUNTIFS(Raw_Data!$U$2:$U$59,"&gt;=1",Raw_Data!$U$2:$U$59,"&lt;=5",Raw_Data!$A$2:$A$59,"Yes",Raw_Data!$D$2:$D$59,"การเงิน"),"")</f>
        <v>66.666666666666671</v>
      </c>
      <c r="E18" s="54">
        <f>IFERROR(100*COUNTIFS(Raw_Data!$U$2:$U$59,"&gt;=4",Raw_Data!$U$2:$U$59,"&lt;=5",Raw_Data!$A$2:$A$59,"Yes",Raw_Data!$D$2:$D$59,"เคหรักษ์")/COUNTIFS(Raw_Data!$U$2:$U$59,"&gt;=1",Raw_Data!$U$2:$U$59,"&lt;=5",Raw_Data!$A$2:$A$59,"Yes",Raw_Data!$D$2:$D$59,"เคหรักษ์"),"")</f>
        <v>50</v>
      </c>
      <c r="F18" s="54">
        <f>IFERROR(100*COUNTIFS(Raw_Data!$U$2:$U$59,"&gt;=4",Raw_Data!$U$2:$U$59,"&lt;=5",Raw_Data!$A$2:$A$59,"Yes",Raw_Data!$D$2:$D$59,"จ่ายกลาง")/COUNTIFS(Raw_Data!$U$2:$U$59,"&gt;=1",Raw_Data!$U$2:$U$59,"&lt;=5",Raw_Data!$A$2:$A$59,"Yes",Raw_Data!$D$2:$D$59,"จ่ายกลาง"),"")</f>
        <v>100</v>
      </c>
      <c r="G18" s="54">
        <f>IFERROR(100*COUNTIFS(Raw_Data!$U$2:$U$59,"&gt;=4",Raw_Data!$U$2:$U$59,"&lt;=5",Raw_Data!$A$2:$A$59,"Yes",Raw_Data!$D$2:$D$59,"ช่างและสนาม")/COUNTIFS(Raw_Data!$U$2:$U$59,"&gt;=1",Raw_Data!$U$2:$U$59,"&lt;=5",Raw_Data!$A$2:$A$59,"Yes",Raw_Data!$D$2:$D$59,"ช่างและสนาม"),"")</f>
        <v>75</v>
      </c>
      <c r="H18" s="54">
        <f>IFERROR(100*COUNTIFS(Raw_Data!$U$2:$U$59,"&gt;=4",Raw_Data!$U$2:$U$59,"&lt;=5",Raw_Data!$A$2:$A$59,"Yes",Raw_Data!$D$2:$D$59,"ผู้ป่วยสัมพันธ์")/COUNTIFS(Raw_Data!$U$2:$U$59,"&gt;=1",Raw_Data!$U$2:$U$59,"&lt;=5",Raw_Data!$A$2:$A$59,"Yes",Raw_Data!$D$2:$D$59,"ผู้ป่วยสัมพันธ์"),"")</f>
        <v>25</v>
      </c>
      <c r="I18" s="54">
        <f>IFERROR(100*COUNTIFS(Raw_Data!$U$2:$U$59,"&gt;=4",Raw_Data!$U$2:$U$59,"&lt;=5",Raw_Data!$A$2:$A$59,"Yes",Raw_Data!$D$2:$D$59,"ฝ่ายการพยาบาล")/COUNTIFS(Raw_Data!$U$2:$U$59,"&gt;=1",Raw_Data!$U$2:$U$59,"&lt;=5",Raw_Data!$A$2:$A$59,"Yes",Raw_Data!$D$2:$D$59,"ฝ่ายการพยาบาล"),"")</f>
        <v>50</v>
      </c>
      <c r="J18" s="54">
        <f>IFERROR(100*COUNTIFS(Raw_Data!$U$2:$U$59,"&gt;=4",Raw_Data!$U$2:$U$59,"&lt;=5",Raw_Data!$A$2:$A$59,"Yes",Raw_Data!$D$2:$D$59,"โภชนาการ")/COUNTIFS(Raw_Data!$U$2:$U$59,"&gt;=1",Raw_Data!$U$2:$U$59,"&lt;=5",Raw_Data!$A$2:$A$59,"Yes",Raw_Data!$D$2:$D$59,"โภชนาการ"),"")</f>
        <v>100</v>
      </c>
      <c r="K18" s="54">
        <f>IFERROR(100*COUNTIFS(Raw_Data!$U$2:$U$59,"&gt;=4",Raw_Data!$U$2:$U$59,"&lt;=5",Raw_Data!$A$2:$A$59,"Yes",Raw_Data!$D$2:$D$59,"ยานพาหนะ")/COUNTIFS(Raw_Data!$U$2:$U$59,"&gt;=1",Raw_Data!$U$2:$U$59,"&lt;=5",Raw_Data!$A$2:$A$59,"Yes",Raw_Data!$D$2:$D$59,"ยานพาหนะ"),"")</f>
        <v>100</v>
      </c>
      <c r="L18" s="54">
        <f>IFERROR(100*COUNTIFS(Raw_Data!$U$2:$U$59,"&gt;=4",Raw_Data!$U$2:$U$59,"&lt;=5",Raw_Data!$A$2:$A$59,"Yes",Raw_Data!$D$2:$D$59,"สื่อสารการตลาด")/COUNTIFS(Raw_Data!$U$2:$U$59,"&gt;=1",Raw_Data!$U$2:$U$59,"&lt;=5",Raw_Data!$A$2:$A$59,"Yes",Raw_Data!$D$2:$D$59,"สื่อสารการตลาด"),"")</f>
        <v>0</v>
      </c>
      <c r="M18" s="54">
        <f>IFERROR(100*COUNTIFS(Raw_Data!$U$2:$U$59,"&gt;=4",Raw_Data!$U$2:$U$59,"&lt;=5",Raw_Data!$A$2:$A$59,"Yes",Raw_Data!$D$2:$D$59,"ห้องยา")/COUNTIFS(Raw_Data!$U$2:$U$59,"&gt;=1",Raw_Data!$U$2:$U$59,"&lt;=5",Raw_Data!$A$2:$A$59,"Yes",Raw_Data!$D$2:$D$59,"ห้องยา"),"")</f>
        <v>100</v>
      </c>
      <c r="N18" s="54">
        <f>IFERROR(100*COUNTIFS(Raw_Data!$U$2:$U$59,"&gt;=4",Raw_Data!$U$2:$U$59,"&lt;=5",Raw_Data!$A$2:$A$59,"Yes",Raw_Data!$D$2:$D$59,"ห้องแลป")/COUNTIFS(Raw_Data!$U$2:$U$59,"&gt;=1",Raw_Data!$U$2:$U$59,"&lt;=5",Raw_Data!$A$2:$A$59,"Yes",Raw_Data!$D$2:$D$59,"ห้องแลป"),"")</f>
        <v>0</v>
      </c>
      <c r="O18" s="54">
        <f>IFERROR(100*COUNTIFS(Raw_Data!$U$2:$U$59,"&gt;=4",Raw_Data!$U$2:$U$59,"&lt;=5",Raw_Data!$A$2:$A$59,"Yes",Raw_Data!$D$2:$D$59,"ห้องเอ็กซเรย์")/COUNTIFS(Raw_Data!$U$2:$U$59,"&gt;=1",Raw_Data!$U$2:$U$59,"&lt;=5",Raw_Data!$A$2:$A$59,"Yes",Raw_Data!$D$2:$D$59,"ห้องเอ็กซเรย์"),"")</f>
        <v>66.666666666666671</v>
      </c>
      <c r="P18" s="54">
        <f>IFERROR(100*COUNTIFS(Raw_Data!$U$2:$U$59,"&gt;=4",Raw_Data!$U$2:$U$59,"&lt;=5",Raw_Data!$A$2:$A$59,"Yes",Raw_Data!$D$2:$D$59,"ERและเปล")/COUNTIFS(Raw_Data!$U$2:$U$59,"&gt;=1",Raw_Data!$U$2:$U$59,"&lt;=5",Raw_Data!$A$2:$A$59,"Yes",Raw_Data!$D$2:$D$59,"ERและเปล"),"")</f>
        <v>36.363636363636367</v>
      </c>
      <c r="Q18" s="54">
        <f>IFERROR(100*COUNTIFS(Raw_Data!$U$2:$U$59,"&gt;=4",Raw_Data!$U$2:$U$59,"&lt;=5",Raw_Data!$A$2:$A$59,"Yes",Raw_Data!$D$2:$D$59,"HR")/COUNTIFS(Raw_Data!$U$2:$U$59,"&gt;=1",Raw_Data!$U$2:$U$59,"&lt;=5",Raw_Data!$A$2:$A$59,"Yes",Raw_Data!$D$2:$D$59,"HR"),"")</f>
        <v>100</v>
      </c>
      <c r="R18" s="54">
        <f>IFERROR(100*COUNTIFS(Raw_Data!$U$2:$U$59,"&gt;=4",Raw_Data!$U$2:$U$59,"&lt;=5",Raw_Data!$A$2:$A$59,"Yes",Raw_Data!$D$2:$D$59,"ICU")/COUNTIFS(Raw_Data!$U$2:$U$59,"&gt;=1",Raw_Data!$U$2:$U$59,"&lt;=5",Raw_Data!$A$2:$A$59,"Yes",Raw_Data!$D$2:$D$59,"ICU"),"")</f>
        <v>50</v>
      </c>
      <c r="S18" s="54">
        <f>IFERROR(100*COUNTIFS(Raw_Data!$U$2:$U$59,"&gt;=4",Raw_Data!$U$2:$U$59,"&lt;=5",Raw_Data!$A$2:$A$59,"Yes",Raw_Data!$D$2:$D$59,"IPD")/COUNTIFS(Raw_Data!$U$2:$U$59,"&gt;=1",Raw_Data!$U$2:$U$59,"&lt;=5",Raw_Data!$A$2:$A$59,"Yes",Raw_Data!$D$2:$D$59,"IPD"),"")</f>
        <v>50</v>
      </c>
      <c r="T18" s="54">
        <f>IFERROR(100*COUNTIFS(Raw_Data!$U$2:$U$59,"&gt;=4",Raw_Data!$U$2:$U$59,"&lt;=5",Raw_Data!$A$2:$A$59,"Yes",Raw_Data!$D$2:$D$59,"IT")/COUNTIFS(Raw_Data!$U$2:$U$59,"&gt;=1",Raw_Data!$U$2:$U$59,"&lt;=5",Raw_Data!$A$2:$A$59,"Yes",Raw_Data!$D$2:$D$59,"IT"),"")</f>
        <v>100</v>
      </c>
      <c r="U18" s="54">
        <f>IFERROR(100*COUNTIFS(Raw_Data!$U$2:$U$59,"&gt;=4",Raw_Data!$U$2:$U$59,"&lt;=5",Raw_Data!$A$2:$A$59,"Yes",Raw_Data!$D$2:$D$59,"OR")/COUNTIFS(Raw_Data!$U$2:$U$59,"&gt;=1",Raw_Data!$U$2:$U$59,"&lt;=5",Raw_Data!$A$2:$A$59,"Yes",Raw_Data!$D$2:$D$59,"OR"),"")</f>
        <v>25</v>
      </c>
      <c r="V18" s="54">
        <f>IFERROR(100*COUNTIFS(Raw_Data!$U$2:$U$59,"&gt;=4",Raw_Data!$U$2:$U$59,"&lt;=5",Raw_Data!$A$2:$A$59,"Yes",Raw_Data!$D$2:$D$59,"IPD",Raw_Data!$E$2:$E$59,"ผู้บริหาร")/COUNTIFS(Raw_Data!$U$2:$U$59,"&gt;=1",Raw_Data!$U$2:$U$59,"&lt;=5",Raw_Data!$A$2:$A$59,"Yes",Raw_Data!$D$2:$D$59,"IPD",Raw_Data!$E$2:$E$59,"ผู้บริหาร"),"")</f>
        <v>100</v>
      </c>
      <c r="W18" s="54">
        <f>IFERROR(100*COUNTIFS(Raw_Data!$U$2:$U$59,"&gt;=4",Raw_Data!$U$2:$U$59,"&lt;=5",Raw_Data!$A$2:$A$59,"Yes",Raw_Data!$D$2:$D$59,"ฝ่ายการพยาบาล",Raw_Data!$E$2:$E$59,"สายวิชาชีพสาธารณสุข")/COUNTIFS(Raw_Data!$U$2:$U$59,"&gt;=1",Raw_Data!$U$2:$U$59,"&lt;=5",Raw_Data!$A$2:$A$59,"Yes",Raw_Data!$D$2:$D$59,"ฝ่ายการพยาบาล",Raw_Data!$E$2:$E$59,"สายวิชาชีพสาธารณสุข"),"")</f>
        <v>0</v>
      </c>
      <c r="X18" s="54">
        <f>IFERROR(100*COUNTIFS(Raw_Data!$U$2:$U$59,"&gt;=4",Raw_Data!$U$2:$U$59,"&lt;=5",Raw_Data!$A$2:$A$59,"Yes",Raw_Data!$D$2:$D$59,"ERและเปล",Raw_Data!$E$2:$E$59,"สายวิชาชีพสาธารณสุข")/COUNTIFS(Raw_Data!$U$2:$U$59,"&gt;=1",Raw_Data!$U$2:$U$59,"&lt;=5",Raw_Data!$A$2:$A$59,"Yes",Raw_Data!$D$2:$D$59,"ERและเปล",Raw_Data!$E$2:$E$59,"สายวิชาชีพสาธารณสุข"),"")</f>
        <v>28.571428571428573</v>
      </c>
      <c r="Y18" s="54">
        <f>IFERROR(100*COUNTIFS(Raw_Data!$U$2:$U$59,"&gt;=4",Raw_Data!$U$2:$U$59,"&lt;=5",Raw_Data!$A$2:$A$59,"Yes",Raw_Data!$D$2:$D$59,"ICU",Raw_Data!$E$2:$E$59,"สายวิชาชีพสาธารณสุข")/COUNTIFS(Raw_Data!$U$2:$U$59,"&gt;=1",Raw_Data!$U$2:$U$59,"&lt;=5",Raw_Data!$A$2:$A$59,"Yes",Raw_Data!$D$2:$D$59,"ICU",Raw_Data!$E$2:$E$59,"สายวิชาชีพสาธารณสุข"),"")</f>
        <v>50</v>
      </c>
      <c r="Z18" s="54">
        <f>IFERROR(100*COUNTIFS(Raw_Data!$U$2:$U$59,"&gt;=4",Raw_Data!$U$2:$U$59,"&lt;=5",Raw_Data!$A$2:$A$59,"Yes",Raw_Data!$D$2:$D$59,"IPD",Raw_Data!$E$2:$E$59,"สายวิชาชีพสาธารณสุข")/COUNTIFS(Raw_Data!$U$2:$U$59,"&gt;=1",Raw_Data!$U$2:$U$59,"&lt;=5",Raw_Data!$A$2:$A$59,"Yes",Raw_Data!$D$2:$D$59,"IPD",Raw_Data!$E$2:$E$59,"สายวิชาชีพสาธารณสุข"),"")</f>
        <v>100</v>
      </c>
      <c r="AA18" s="54">
        <f>IFERROR(100*COUNTIFS(Raw_Data!$U$2:$U$59,"&gt;=4",Raw_Data!$U$2:$U$59,"&lt;=5",Raw_Data!$A$2:$A$59,"Yes",Raw_Data!$D$2:$D$59,"OR",Raw_Data!$E$2:$E$59,"สายวิชาชีพสาธารณสุข")/COUNTIFS(Raw_Data!$U$2:$U$59,"&gt;=1",Raw_Data!$U$2:$U$59,"&lt;=5",Raw_Data!$A$2:$A$59,"Yes",Raw_Data!$D$2:$D$59,"OR",Raw_Data!$E$2:$E$59,"สายวิชาชีพสาธารณสุข"),"")</f>
        <v>25</v>
      </c>
      <c r="AB18" s="54">
        <f>IFERROR(100*COUNTIFS(Raw_Data!$U$2:$U$59,"&gt;=4",Raw_Data!$U$2:$U$59,"&lt;=5",Raw_Data!$A$2:$A$59,"Yes",Raw_Data!$D$2:$D$59,"การเงิน",Raw_Data!$E$2:$E$59,"สายสนับสนุนทั่วไป")/COUNTIFS(Raw_Data!$U$2:$U$59,"&gt;=1",Raw_Data!$U$2:$U$59,"&lt;=5",Raw_Data!$A$2:$A$59,"Yes",Raw_Data!$D$2:$D$59,"การเงิน",Raw_Data!$E$2:$E$59,"สายสนับสนุนทั่วไป"),"")</f>
        <v>66.666666666666671</v>
      </c>
      <c r="AC18" s="54">
        <f>IFERROR(100*COUNTIFS(Raw_Data!$U$2:$U$59,"&gt;=4",Raw_Data!$U$2:$U$59,"&lt;=5",Raw_Data!$A$2:$A$59,"Yes",Raw_Data!$D$2:$D$59,"เคหรักษ์",Raw_Data!$E$2:$E$59,"สายสนับสนุนทั่วไป")/COUNTIFS(Raw_Data!$U$2:$U$59,"&gt;=1",Raw_Data!$U$2:$U$59,"&lt;=5",Raw_Data!$A$2:$A$59,"Yes",Raw_Data!$D$2:$D$59,"เคหรักษ์",Raw_Data!$E$2:$E$59,"สายสนับสนุนทั่วไป"),"")</f>
        <v>50</v>
      </c>
      <c r="AD18" s="54">
        <f>IFERROR(100*COUNTIFS(Raw_Data!$U$2:$U$59,"&gt;=4",Raw_Data!$U$2:$U$59,"&lt;=5",Raw_Data!$A$2:$A$59,"Yes",Raw_Data!$D$2:$D$59,"จ่ายกลาง",Raw_Data!$E$2:$E$59,"สายสนับสนุนทั่วไป")/COUNTIFS(Raw_Data!$U$2:$U$59,"&gt;=1",Raw_Data!$U$2:$U$59,"&lt;=5",Raw_Data!$A$2:$A$59,"Yes",Raw_Data!$D$2:$D$59,"จ่ายกลาง",Raw_Data!$E$2:$E$59,"สายสนับสนุนทั่วไป"),"")</f>
        <v>100</v>
      </c>
      <c r="AE18" s="54">
        <f>IFERROR(100*COUNTIFS(Raw_Data!$U$2:$U$59,"&gt;=4",Raw_Data!$U$2:$U$59,"&lt;=5",Raw_Data!$A$2:$A$59,"Yes",Raw_Data!$D$2:$D$59,"ช่างและสนาม",Raw_Data!$E$2:$E$59,"สายสนับสนุนทั่วไป")/COUNTIFS(Raw_Data!$U$2:$U$59,"&gt;=1",Raw_Data!$U$2:$U$59,"&lt;=5",Raw_Data!$A$2:$A$59,"Yes",Raw_Data!$D$2:$D$59,"ช่างและสนาม",Raw_Data!$E$2:$E$59,"สายสนับสนุนทั่วไป"),"")</f>
        <v>75</v>
      </c>
      <c r="AF18" s="54">
        <f>IFERROR(100*COUNTIFS(Raw_Data!$U$2:$U$59,"&gt;=4",Raw_Data!$U$2:$U$59,"&lt;=5",Raw_Data!$A$2:$A$59,"Yes",Raw_Data!$D$2:$D$59,"ผู้ป่วยสัมพันธ์",Raw_Data!$E$2:$E$59,"สายสนับสนุนทั่วไป")/COUNTIFS(Raw_Data!$U$2:$U$59,"&gt;=1",Raw_Data!$U$2:$U$59,"&lt;=5",Raw_Data!$A$2:$A$59,"Yes",Raw_Data!$D$2:$D$59,"ผู้ป่วยสัมพันธ์",Raw_Data!$E$2:$E$59,"สายสนับสนุนทั่วไป"),"")</f>
        <v>0</v>
      </c>
      <c r="AG18" s="54">
        <f>IFERROR(100*COUNTIFS(Raw_Data!$U$2:$U$59,"&gt;=4",Raw_Data!$U$2:$U$59,"&lt;=5",Raw_Data!$A$2:$A$59,"Yes",Raw_Data!$D$2:$D$59,"ยานพาหนะ",Raw_Data!$E$2:$E$59,"สายสนับสนุนทั่วไป")/COUNTIFS(Raw_Data!$U$2:$U$59,"&gt;=1",Raw_Data!$U$2:$U$59,"&lt;=5",Raw_Data!$A$2:$A$59,"Yes",Raw_Data!$D$2:$D$59,"ยานพาหนะ",Raw_Data!$E$2:$E$59,"สายสนับสนุนทั่วไป"),"")</f>
        <v>100</v>
      </c>
      <c r="AH18" s="54">
        <f>IFERROR(100*COUNTIFS(Raw_Data!$U$2:$U$59,"&gt;=4",Raw_Data!$U$2:$U$59,"&lt;=5",Raw_Data!$A$2:$A$59,"Yes",Raw_Data!$D$2:$D$59,"สื่อสารการตลาด",Raw_Data!$E$2:$E$59,"สายสนับสนุนทั่วไป")/COUNTIFS(Raw_Data!$U$2:$U$59,"&gt;=1",Raw_Data!$U$2:$U$59,"&lt;=5",Raw_Data!$A$2:$A$59,"Yes",Raw_Data!$D$2:$D$59,"สื่อสารการตลาด",Raw_Data!$E$2:$E$59,"สายสนับสนุนทั่วไป"),"")</f>
        <v>0</v>
      </c>
      <c r="AI18" s="54">
        <f>IFERROR(100*COUNTIFS(Raw_Data!$U$2:$U$59,"&gt;=4",Raw_Data!$U$2:$U$59,"&lt;=5",Raw_Data!$A$2:$A$59,"Yes",Raw_Data!$D$2:$D$59,"ERและเปล",Raw_Data!$E$2:$E$59,"สายสนับสนุนทั่วไป")/COUNTIFS(Raw_Data!$U$2:$U$59,"&gt;=1",Raw_Data!$U$2:$U$59,"&lt;=5",Raw_Data!$A$2:$A$59,"Yes",Raw_Data!$D$2:$D$59,"ERและเปล",Raw_Data!$E$2:$E$59,"สายสนับสนุนทั่วไป"),"")</f>
        <v>66.666666666666671</v>
      </c>
      <c r="AJ18" s="54">
        <f>IFERROR(100*COUNTIFS(Raw_Data!$U$2:$U$59,"&gt;=4",Raw_Data!$U$2:$U$59,"&lt;=5",Raw_Data!$A$2:$A$59,"Yes",Raw_Data!$D$2:$D$59,"HR",Raw_Data!$E$2:$E$59,"สายสนับสนุนทั่วไป")/COUNTIFS(Raw_Data!$U$2:$U$59,"&gt;=1",Raw_Data!$U$2:$U$59,"&lt;=5",Raw_Data!$A$2:$A$59,"Yes",Raw_Data!$D$2:$D$59,"HR",Raw_Data!$E$2:$E$59,"สายสนับสนุนทั่วไป"),"")</f>
        <v>100</v>
      </c>
      <c r="AK18" s="54">
        <f>IFERROR(100*COUNTIFS(Raw_Data!$U$2:$U$59,"&gt;=4",Raw_Data!$U$2:$U$59,"&lt;=5",Raw_Data!$A$2:$A$59,"Yes",Raw_Data!$D$2:$D$59,"ICU",Raw_Data!$E$2:$E$59,"สายสนับสนุนทั่วไป")/COUNTIFS(Raw_Data!$U$2:$U$59,"&gt;=1",Raw_Data!$U$2:$U$59,"&lt;=5",Raw_Data!$A$2:$A$59,"Yes",Raw_Data!$D$2:$D$59,"ICU",Raw_Data!$E$2:$E$59,"สายสนับสนุนทั่วไป"),"")</f>
        <v>0</v>
      </c>
      <c r="AL18" s="54">
        <f>IFERROR(100*COUNTIFS(Raw_Data!$U$2:$U$59,"&gt;=4",Raw_Data!$U$2:$U$59,"&lt;=5",Raw_Data!$A$2:$A$59,"Yes",Raw_Data!$D$2:$D$59,"IPD",Raw_Data!$E$2:$E$59,"สายสนับสนุนทั่วไป")/COUNTIFS(Raw_Data!$U$2:$U$59,"&gt;=1",Raw_Data!$U$2:$U$59,"&lt;=5",Raw_Data!$A$2:$A$59,"Yes",Raw_Data!$D$2:$D$59,"IPD",Raw_Data!$E$2:$E$59,"สายสนับสนุนทั่วไป"),"")</f>
        <v>0</v>
      </c>
      <c r="AM18" s="54">
        <f>IFERROR(100*COUNTIFS(Raw_Data!$U$2:$U$59,"&gt;=4",Raw_Data!$U$2:$U$59,"&lt;=5",Raw_Data!$A$2:$A$59,"Yes",Raw_Data!$D$2:$D$59,"IT",Raw_Data!$E$2:$E$59,"สายสนับสนุนทั่วไป")/COUNTIFS(Raw_Data!$U$2:$U$59,"&gt;=1",Raw_Data!$U$2:$U$59,"&lt;=5",Raw_Data!$A$2:$A$59,"Yes",Raw_Data!$D$2:$D$59,"IT",Raw_Data!$E$2:$E$59,"สายสนับสนุนทั่วไป"),"")</f>
        <v>100</v>
      </c>
      <c r="AN18" s="54">
        <f>IFERROR(100*COUNTIFS(Raw_Data!$U$2:$U$59,"&gt;=4",Raw_Data!$U$2:$U$59,"&lt;=5",Raw_Data!$A$2:$A$59,"Yes",Raw_Data!$D$2:$D$59,"ผู้ป่วยสัมพันธ์",Raw_Data!$E$2:$E$59,"สายสนับสนุนทางการแพทย์")/COUNTIFS(Raw_Data!$U$2:$U$59,"&gt;=1",Raw_Data!$U$2:$U$59,"&lt;=5",Raw_Data!$A$2:$A$59,"Yes",Raw_Data!$D$2:$D$59,"ผู้ป่วยสัมพันธ์",Raw_Data!$E$2:$E$59,"สายสนับสนุนทางการแพทย์"),"")</f>
        <v>33.333333333333336</v>
      </c>
      <c r="AO18" s="54">
        <f>IFERROR(100*COUNTIFS(Raw_Data!$U$2:$U$59,"&gt;=4",Raw_Data!$U$2:$U$59,"&lt;=5",Raw_Data!$A$2:$A$59,"Yes",Raw_Data!$D$2:$D$59,"ฝ่ายการพยาบาล",Raw_Data!$E$2:$E$59,"สายสนับสนุนทางการแพทย์")/COUNTIFS(Raw_Data!$U$2:$U$59,"&gt;=1",Raw_Data!$U$2:$U$59,"&lt;=5",Raw_Data!$A$2:$A$59,"Yes",Raw_Data!$D$2:$D$59,"ฝ่ายการพยาบาล",Raw_Data!$E$2:$E$59,"สายสนับสนุนทางการแพทย์"),"")</f>
        <v>100</v>
      </c>
      <c r="AP18" s="54">
        <f>IFERROR(100*COUNTIFS(Raw_Data!$U$2:$U$59,"&gt;=4",Raw_Data!$U$2:$U$59,"&lt;=5",Raw_Data!$A$2:$A$59,"Yes",Raw_Data!$D$2:$D$59,"โภชนาการ",Raw_Data!$E$2:$E$59,"สายสนับสนุนทางการแพทย์")/COUNTIFS(Raw_Data!$U$2:$U$59,"&gt;=1",Raw_Data!$U$2:$U$59,"&lt;=5",Raw_Data!$A$2:$A$59,"Yes",Raw_Data!$D$2:$D$59,"โภชนาการ",Raw_Data!$E$2:$E$59,"สายสนับสนุนทางการแพทย์"),"")</f>
        <v>100</v>
      </c>
      <c r="AQ18" s="54">
        <f>IFERROR(100*COUNTIFS(Raw_Data!$U$2:$U$59,"&gt;=4",Raw_Data!$U$2:$U$59,"&lt;=5",Raw_Data!$A$2:$A$59,"Yes",Raw_Data!$D$2:$D$59,"ห้องยา",Raw_Data!$E$2:$E$59,"สายสนับสนุนทางการแพทย์")/COUNTIFS(Raw_Data!$U$2:$U$59,"&gt;=1",Raw_Data!$U$2:$U$59,"&lt;=5",Raw_Data!$A$2:$A$59,"Yes",Raw_Data!$D$2:$D$59,"ห้องยา",Raw_Data!$E$2:$E$59,"สายสนับสนุนทางการแพทย์"),"")</f>
        <v>100</v>
      </c>
      <c r="AR18" s="54">
        <f>IFERROR(100*COUNTIFS(Raw_Data!$U$2:$U$59,"&gt;=4",Raw_Data!$U$2:$U$59,"&lt;=5",Raw_Data!$A$2:$A$59,"Yes",Raw_Data!$D$2:$D$59,"ห้องแลป",Raw_Data!$E$2:$E$59,"สายสนับสนุนทางการแพทย์")/COUNTIFS(Raw_Data!$U$2:$U$59,"&gt;=1",Raw_Data!$U$2:$U$59,"&lt;=5",Raw_Data!$A$2:$A$59,"Yes",Raw_Data!$D$2:$D$59,"ห้องแลป",Raw_Data!$E$2:$E$59,"สายสนับสนุนทางการแพทย์"),"")</f>
        <v>0</v>
      </c>
      <c r="AS18" s="54">
        <f>IFERROR(100*COUNTIFS(Raw_Data!$U$2:$U$59,"&gt;=4",Raw_Data!$U$2:$U$59,"&lt;=5",Raw_Data!$A$2:$A$59,"Yes",Raw_Data!$D$2:$D$59,"ห้องเอ็กซเรย์",Raw_Data!$E$2:$E$59,"สายสนับสนุนทางการแพทย์")/COUNTIFS(Raw_Data!$U$2:$U$59,"&gt;=1",Raw_Data!$U$2:$U$59,"&lt;=5",Raw_Data!$A$2:$A$59,"Yes",Raw_Data!$D$2:$D$59,"ห้องเอ็กซเรย์",Raw_Data!$E$2:$E$59,"สายสนับสนุนทางการแพทย์"),"")</f>
        <v>66.666666666666671</v>
      </c>
      <c r="AT18" s="54">
        <f>IFERROR(100*COUNTIFS(Raw_Data!$U$2:$U$59,"&gt;=4",Raw_Data!$U$2:$U$59,"&lt;=5",Raw_Data!$A$2:$A$59,"Yes",Raw_Data!$D$2:$D$59,"ERและเปล",Raw_Data!$E$2:$E$59,"สายสนับสนุนทางการแพทย์")/COUNTIFS(Raw_Data!$U$2:$U$59,"&gt;=1",Raw_Data!$U$2:$U$59,"&lt;=5",Raw_Data!$A$2:$A$59,"Yes",Raw_Data!$D$2:$D$59,"ERและเปล",Raw_Data!$E$2:$E$59,"สายสนับสนุนทางการแพทย์"),"")</f>
        <v>0</v>
      </c>
      <c r="AU18" s="54">
        <f>IFERROR(100*COUNTIFS(Raw_Data!$U$2:$U$59,"&gt;=4",Raw_Data!$U$2:$U$59,"&lt;=5",Raw_Data!$A$2:$A$59,"Yes",Raw_Data!$D$2:$D$59,"ICU",Raw_Data!$E$2:$E$59,"สายสนับสนุนทางการแพทย์")/COUNTIFS(Raw_Data!$U$2:$U$59,"&gt;=1",Raw_Data!$U$2:$U$59,"&lt;=5",Raw_Data!$A$2:$A$59,"Yes",Raw_Data!$D$2:$D$59,"ICU",Raw_Data!$E$2:$E$59,"สายสนับสนุนทางการแพทย์"),"")</f>
        <v>100</v>
      </c>
      <c r="AV18" s="54">
        <f>IFERROR(100*COUNTIFS(Raw_Data!$U$2:$U$59,"&gt;=4",Raw_Data!$U$2:$U$59,"&lt;=5",Raw_Data!$A$2:$A$59,"Yes",Raw_Data!$D$2:$D$59,"IPD",Raw_Data!$E$2:$E$59,"สายสนับสนุนทางการแพทย์")/COUNTIFS(Raw_Data!$U$2:$U$59,"&gt;=1",Raw_Data!$U$2:$U$59,"&lt;=5",Raw_Data!$A$2:$A$59,"Yes",Raw_Data!$D$2:$D$59,"IPD",Raw_Data!$E$2:$E$59,"สายสนับสนุนทางการแพทย์"),"")</f>
        <v>0</v>
      </c>
      <c r="AW18" s="54">
        <f>IFERROR(100*COUNTIFS(Raw_Data!$U$2:$U$59,"&gt;=4",Raw_Data!$U$2:$U$59,"&lt;=5",Raw_Data!$A$2:$A$59,"Yes",Raw_Data!$D$2:$D$59,"IT",Raw_Data!$E$2:$E$59,"สายสนับสนุนทางการแพทย์")/COUNTIFS(Raw_Data!$U$2:$U$59,"&gt;=1",Raw_Data!$U$2:$U$59,"&lt;=5",Raw_Data!$A$2:$A$59,"Yes",Raw_Data!$D$2:$D$59,"IT",Raw_Data!$E$2:$E$59,"สายสนับสนุนทางการแพทย์"),"")</f>
        <v>100</v>
      </c>
    </row>
    <row r="19" spans="1:49" ht="42" customHeight="1">
      <c r="A19" s="50"/>
      <c r="B19" s="51" t="s">
        <v>46</v>
      </c>
      <c r="C19" s="54">
        <f>IFERROR(100*COUNTIFS(Raw_Data!$V$2:$V$59,"&gt;=1",Raw_Data!$V$2:$V$59,"&lt;=2",Raw_Data!$A$2:$A$59,"Yes")/COUNTIFS(Raw_Data!$V$2:$V$59,"&gt;=1",Raw_Data!$V$2:$V$59,"&lt;=5",Raw_Data!$A$2:$A$59,"Yes"),"")</f>
        <v>37.931034482758619</v>
      </c>
      <c r="D19" s="54">
        <f>IFERROR(100*COUNTIFS(Raw_Data!$V$2:$V$59,"&gt;=1",Raw_Data!$V$2:$V$59,"&lt;=2",Raw_Data!$A$2:$A$59,"Yes",Raw_Data!$D$2:$D$59,"การเงิน")/COUNTIFS(Raw_Data!$V$2:$V$59,"&gt;=1",Raw_Data!$V$2:$V$59,"&lt;=5",Raw_Data!$A$2:$A$59,"Yes",Raw_Data!$D$2:$D$59,"การเงิน"),"")</f>
        <v>33.333333333333336</v>
      </c>
      <c r="E19" s="54">
        <f>IFERROR(100*COUNTIFS(Raw_Data!$V$2:$V$59,"&gt;=1",Raw_Data!$V$2:$V$59,"&lt;=2",Raw_Data!$A$2:$A$59,"Yes",Raw_Data!$D$2:$D$59,"เคหรักษ์")/COUNTIFS(Raw_Data!$V$2:$V$59,"&gt;=1",Raw_Data!$V$2:$V$59,"&lt;=5",Raw_Data!$A$2:$A$59,"Yes",Raw_Data!$D$2:$D$59,"เคหรักษ์"),"")</f>
        <v>0</v>
      </c>
      <c r="F19" s="54">
        <f>IFERROR(100*COUNTIFS(Raw_Data!$V$2:$V$59,"&gt;=1",Raw_Data!$V$2:$V$59,"&lt;=2",Raw_Data!$A$2:$A$59,"Yes",Raw_Data!$D$2:$D$59,"จ่ายกลาง")/COUNTIFS(Raw_Data!$V$2:$V$59,"&gt;=1",Raw_Data!$V$2:$V$59,"&lt;=5",Raw_Data!$A$2:$A$59,"Yes",Raw_Data!$D$2:$D$59,"จ่ายกลาง"),"")</f>
        <v>0</v>
      </c>
      <c r="G19" s="54">
        <f>IFERROR(100*COUNTIFS(Raw_Data!$V$2:$V$59,"&gt;=1",Raw_Data!$V$2:$V$59,"&lt;=2",Raw_Data!$A$2:$A$59,"Yes",Raw_Data!$D$2:$D$59,"ช่างและสนาม")/COUNTIFS(Raw_Data!$V$2:$V$59,"&gt;=1",Raw_Data!$V$2:$V$59,"&lt;=5",Raw_Data!$A$2:$A$59,"Yes",Raw_Data!$D$2:$D$59,"ช่างและสนาม"),"")</f>
        <v>50</v>
      </c>
      <c r="H19" s="54">
        <f>IFERROR(100*COUNTIFS(Raw_Data!$V$2:$V$59,"&gt;=1",Raw_Data!$V$2:$V$59,"&lt;=2",Raw_Data!$A$2:$A$59,"Yes",Raw_Data!$D$2:$D$59,"ผู้ป่วยสัมพันธ์")/COUNTIFS(Raw_Data!$V$2:$V$59,"&gt;=1",Raw_Data!$V$2:$V$59,"&lt;=5",Raw_Data!$A$2:$A$59,"Yes",Raw_Data!$D$2:$D$59,"ผู้ป่วยสัมพันธ์"),"")</f>
        <v>75</v>
      </c>
      <c r="I19" s="54">
        <f>IFERROR(100*COUNTIFS(Raw_Data!$V$2:$V$59,"&gt;=1",Raw_Data!$V$2:$V$59,"&lt;=2",Raw_Data!$A$2:$A$59,"Yes",Raw_Data!$D$2:$D$59,"ฝ่ายการพยาบาล")/COUNTIFS(Raw_Data!$V$2:$V$59,"&gt;=1",Raw_Data!$V$2:$V$59,"&lt;=5",Raw_Data!$A$2:$A$59,"Yes",Raw_Data!$D$2:$D$59,"ฝ่ายการพยาบาล"),"")</f>
        <v>100</v>
      </c>
      <c r="J19" s="54">
        <f>IFERROR(100*COUNTIFS(Raw_Data!$V$2:$V$59,"&gt;=1",Raw_Data!$V$2:$V$59,"&lt;=2",Raw_Data!$A$2:$A$59,"Yes",Raw_Data!$D$2:$D$59,"โภชนาการ")/COUNTIFS(Raw_Data!$V$2:$V$59,"&gt;=1",Raw_Data!$V$2:$V$59,"&lt;=5",Raw_Data!$A$2:$A$59,"Yes",Raw_Data!$D$2:$D$59,"โภชนาการ"),"")</f>
        <v>100</v>
      </c>
      <c r="K19" s="54">
        <f>IFERROR(100*COUNTIFS(Raw_Data!$V$2:$V$59,"&gt;=1",Raw_Data!$V$2:$V$59,"&lt;=2",Raw_Data!$A$2:$A$59,"Yes",Raw_Data!$D$2:$D$59,"ยานพาหนะ")/COUNTIFS(Raw_Data!$V$2:$V$59,"&gt;=1",Raw_Data!$V$2:$V$59,"&lt;=5",Raw_Data!$A$2:$A$59,"Yes",Raw_Data!$D$2:$D$59,"ยานพาหนะ"),"")</f>
        <v>0</v>
      </c>
      <c r="L19" s="54">
        <f>IFERROR(100*COUNTIFS(Raw_Data!$V$2:$V$59,"&gt;=1",Raw_Data!$V$2:$V$59,"&lt;=2",Raw_Data!$A$2:$A$59,"Yes",Raw_Data!$D$2:$D$59,"สื่อสารการตลาด")/COUNTIFS(Raw_Data!$V$2:$V$59,"&gt;=1",Raw_Data!$V$2:$V$59,"&lt;=5",Raw_Data!$A$2:$A$59,"Yes",Raw_Data!$D$2:$D$59,"สื่อสารการตลาด"),"")</f>
        <v>0</v>
      </c>
      <c r="M19" s="54">
        <f>IFERROR(100*COUNTIFS(Raw_Data!$V$2:$V$59,"&gt;=1",Raw_Data!$V$2:$V$59,"&lt;=2",Raw_Data!$A$2:$A$59,"Yes",Raw_Data!$D$2:$D$59,"ห้องยา")/COUNTIFS(Raw_Data!$V$2:$V$59,"&gt;=1",Raw_Data!$V$2:$V$59,"&lt;=5",Raw_Data!$A$2:$A$59,"Yes",Raw_Data!$D$2:$D$59,"ห้องยา"),"")</f>
        <v>33.333333333333336</v>
      </c>
      <c r="N19" s="54">
        <f>IFERROR(100*COUNTIFS(Raw_Data!$V$2:$V$59,"&gt;=1",Raw_Data!$V$2:$V$59,"&lt;=2",Raw_Data!$A$2:$A$59,"Yes",Raw_Data!$D$2:$D$59,"ห้องแลป")/COUNTIFS(Raw_Data!$V$2:$V$59,"&gt;=1",Raw_Data!$V$2:$V$59,"&lt;=5",Raw_Data!$A$2:$A$59,"Yes",Raw_Data!$D$2:$D$59,"ห้องแลป"),"")</f>
        <v>50</v>
      </c>
      <c r="O19" s="54">
        <f>IFERROR(100*COUNTIFS(Raw_Data!$V$2:$V$59,"&gt;=1",Raw_Data!$V$2:$V$59,"&lt;=2",Raw_Data!$A$2:$A$59,"Yes",Raw_Data!$D$2:$D$59,"ห้องเอ็กซเรย์")/COUNTIFS(Raw_Data!$V$2:$V$59,"&gt;=1",Raw_Data!$V$2:$V$59,"&lt;=5",Raw_Data!$A$2:$A$59,"Yes",Raw_Data!$D$2:$D$59,"ห้องเอ็กซเรย์"),"")</f>
        <v>66.666666666666671</v>
      </c>
      <c r="P19" s="54">
        <f>IFERROR(100*COUNTIFS(Raw_Data!$V$2:$V$59,"&gt;=1",Raw_Data!$V$2:$V$59,"&lt;=2",Raw_Data!$A$2:$A$59,"Yes",Raw_Data!$D$2:$D$59,"ERและเปล")/COUNTIFS(Raw_Data!$V$2:$V$59,"&gt;=1",Raw_Data!$V$2:$V$59,"&lt;=5",Raw_Data!$A$2:$A$59,"Yes",Raw_Data!$D$2:$D$59,"ERและเปล"),"")</f>
        <v>27.272727272727273</v>
      </c>
      <c r="Q19" s="54">
        <f>IFERROR(100*COUNTIFS(Raw_Data!$V$2:$V$59,"&gt;=1",Raw_Data!$V$2:$V$59,"&lt;=2",Raw_Data!$A$2:$A$59,"Yes",Raw_Data!$D$2:$D$59,"HR")/COUNTIFS(Raw_Data!$V$2:$V$59,"&gt;=1",Raw_Data!$V$2:$V$59,"&lt;=5",Raw_Data!$A$2:$A$59,"Yes",Raw_Data!$D$2:$D$59,"HR"),"")</f>
        <v>100</v>
      </c>
      <c r="R19" s="54">
        <f>IFERROR(100*COUNTIFS(Raw_Data!$V$2:$V$59,"&gt;=1",Raw_Data!$V$2:$V$59,"&lt;=2",Raw_Data!$A$2:$A$59,"Yes",Raw_Data!$D$2:$D$59,"ICU")/COUNTIFS(Raw_Data!$V$2:$V$59,"&gt;=1",Raw_Data!$V$2:$V$59,"&lt;=5",Raw_Data!$A$2:$A$59,"Yes",Raw_Data!$D$2:$D$59,"ICU"),"")</f>
        <v>0</v>
      </c>
      <c r="S19" s="54">
        <f>IFERROR(100*COUNTIFS(Raw_Data!$V$2:$V$59,"&gt;=1",Raw_Data!$V$2:$V$59,"&lt;=2",Raw_Data!$A$2:$A$59,"Yes",Raw_Data!$D$2:$D$59,"IPD")/COUNTIFS(Raw_Data!$V$2:$V$59,"&gt;=1",Raw_Data!$V$2:$V$59,"&lt;=5",Raw_Data!$A$2:$A$59,"Yes",Raw_Data!$D$2:$D$59,"IPD"),"")</f>
        <v>50</v>
      </c>
      <c r="T19" s="54">
        <f>IFERROR(100*COUNTIFS(Raw_Data!$V$2:$V$59,"&gt;=1",Raw_Data!$V$2:$V$59,"&lt;=2",Raw_Data!$A$2:$A$59,"Yes",Raw_Data!$D$2:$D$59,"IT")/COUNTIFS(Raw_Data!$V$2:$V$59,"&gt;=1",Raw_Data!$V$2:$V$59,"&lt;=5",Raw_Data!$A$2:$A$59,"Yes",Raw_Data!$D$2:$D$59,"IT"),"")</f>
        <v>50</v>
      </c>
      <c r="U19" s="54">
        <f>IFERROR(100*COUNTIFS(Raw_Data!$V$2:$V$59,"&gt;=1",Raw_Data!$V$2:$V$59,"&lt;=2",Raw_Data!$A$2:$A$59,"Yes",Raw_Data!$D$2:$D$59,"OR")/COUNTIFS(Raw_Data!$V$2:$V$59,"&gt;=1",Raw_Data!$V$2:$V$59,"&lt;=5",Raw_Data!$A$2:$A$59,"Yes",Raw_Data!$D$2:$D$59,"OR"),"")</f>
        <v>0</v>
      </c>
      <c r="V19" s="54">
        <f>IFERROR(100*COUNTIFS(Raw_Data!$V$2:$V$59,"&gt;=1",Raw_Data!$V$2:$V$59,"&lt;=2",Raw_Data!$A$2:$A$59,"Yes",Raw_Data!$D$2:$D$59,"IPD",Raw_Data!$E$2:$E$59,"ผู้บริหาร")/COUNTIFS(Raw_Data!$V$2:$V$59,"&gt;=1",Raw_Data!$V$2:$V$59,"&lt;=5",Raw_Data!$A$2:$A$59,"Yes",Raw_Data!$D$2:$D$59,"IPD",Raw_Data!$E$2:$E$59,"ผู้บริหาร"),"")</f>
        <v>100</v>
      </c>
      <c r="W19" s="54">
        <f>IFERROR(100*COUNTIFS(Raw_Data!$V$2:$V$59,"&gt;=1",Raw_Data!$V$2:$V$59,"&lt;=2",Raw_Data!$A$2:$A$59,"Yes",Raw_Data!$D$2:$D$59,"ฝ่ายการพยาบาล",Raw_Data!$E$2:$E$59,"สายวิชาชีพสาธารณสุข")/COUNTIFS(Raw_Data!$V$2:$V$59,"&gt;=1",Raw_Data!$V$2:$V$59,"&lt;=5",Raw_Data!$A$2:$A$59,"Yes",Raw_Data!$D$2:$D$59,"ฝ่ายการพยาบาล",Raw_Data!$E$2:$E$59,"สายวิชาชีพสาธารณสุข"),"")</f>
        <v>100</v>
      </c>
      <c r="X19" s="54">
        <f>IFERROR(100*COUNTIFS(Raw_Data!$V$2:$V$59,"&gt;=1",Raw_Data!$V$2:$V$59,"&lt;=2",Raw_Data!$A$2:$A$59,"Yes",Raw_Data!$D$2:$D$59,"ERและเปล",Raw_Data!$E$2:$E$59,"สายวิชาชีพสาธารณสุข")/COUNTIFS(Raw_Data!$V$2:$V$59,"&gt;=1",Raw_Data!$V$2:$V$59,"&lt;=5",Raw_Data!$A$2:$A$59,"Yes",Raw_Data!$D$2:$D$59,"ERและเปล",Raw_Data!$E$2:$E$59,"สายวิชาชีพสาธารณสุข"),"")</f>
        <v>28.571428571428573</v>
      </c>
      <c r="Y19" s="54">
        <f>IFERROR(100*COUNTIFS(Raw_Data!$V$2:$V$59,"&gt;=1",Raw_Data!$V$2:$V$59,"&lt;=2",Raw_Data!$A$2:$A$59,"Yes",Raw_Data!$D$2:$D$59,"ICU",Raw_Data!$E$2:$E$59,"สายวิชาชีพสาธารณสุข")/COUNTIFS(Raw_Data!$V$2:$V$59,"&gt;=1",Raw_Data!$V$2:$V$59,"&lt;=5",Raw_Data!$A$2:$A$59,"Yes",Raw_Data!$D$2:$D$59,"ICU",Raw_Data!$E$2:$E$59,"สายวิชาชีพสาธารณสุข"),"")</f>
        <v>0</v>
      </c>
      <c r="Z19" s="54">
        <f>IFERROR(100*COUNTIFS(Raw_Data!$V$2:$V$59,"&gt;=1",Raw_Data!$V$2:$V$59,"&lt;=2",Raw_Data!$A$2:$A$59,"Yes",Raw_Data!$D$2:$D$59,"IPD",Raw_Data!$E$2:$E$59,"สายวิชาชีพสาธารณสุข")/COUNTIFS(Raw_Data!$V$2:$V$59,"&gt;=1",Raw_Data!$V$2:$V$59,"&lt;=5",Raw_Data!$A$2:$A$59,"Yes",Raw_Data!$D$2:$D$59,"IPD",Raw_Data!$E$2:$E$59,"สายวิชาชีพสาธารณสุข"),"")</f>
        <v>100</v>
      </c>
      <c r="AA19" s="54">
        <f>IFERROR(100*COUNTIFS(Raw_Data!$V$2:$V$59,"&gt;=1",Raw_Data!$V$2:$V$59,"&lt;=2",Raw_Data!$A$2:$A$59,"Yes",Raw_Data!$D$2:$D$59,"OR",Raw_Data!$E$2:$E$59,"สายวิชาชีพสาธารณสุข")/COUNTIFS(Raw_Data!$V$2:$V$59,"&gt;=1",Raw_Data!$V$2:$V$59,"&lt;=5",Raw_Data!$A$2:$A$59,"Yes",Raw_Data!$D$2:$D$59,"OR",Raw_Data!$E$2:$E$59,"สายวิชาชีพสาธารณสุข"),"")</f>
        <v>0</v>
      </c>
      <c r="AB19" s="54">
        <f>IFERROR(100*COUNTIFS(Raw_Data!$V$2:$V$59,"&gt;=1",Raw_Data!$V$2:$V$59,"&lt;=2",Raw_Data!$A$2:$A$59,"Yes",Raw_Data!$D$2:$D$59,"การเงิน",Raw_Data!$E$2:$E$59,"สายสนับสนุนทั่วไป")/COUNTIFS(Raw_Data!$V$2:$V$59,"&gt;=1",Raw_Data!$V$2:$V$59,"&lt;=5",Raw_Data!$A$2:$A$59,"Yes",Raw_Data!$D$2:$D$59,"การเงิน",Raw_Data!$E$2:$E$59,"สายสนับสนุนทั่วไป"),"")</f>
        <v>33.333333333333336</v>
      </c>
      <c r="AC19" s="54">
        <f>IFERROR(100*COUNTIFS(Raw_Data!$V$2:$V$59,"&gt;=1",Raw_Data!$V$2:$V$59,"&lt;=2",Raw_Data!$A$2:$A$59,"Yes",Raw_Data!$D$2:$D$59,"เคหรักษ์",Raw_Data!$E$2:$E$59,"สายสนับสนุนทั่วไป")/COUNTIFS(Raw_Data!$V$2:$V$59,"&gt;=1",Raw_Data!$V$2:$V$59,"&lt;=5",Raw_Data!$A$2:$A$59,"Yes",Raw_Data!$D$2:$D$59,"เคหรักษ์",Raw_Data!$E$2:$E$59,"สายสนับสนุนทั่วไป"),"")</f>
        <v>0</v>
      </c>
      <c r="AD19" s="54">
        <f>IFERROR(100*COUNTIFS(Raw_Data!$V$2:$V$59,"&gt;=1",Raw_Data!$V$2:$V$59,"&lt;=2",Raw_Data!$A$2:$A$59,"Yes",Raw_Data!$D$2:$D$59,"จ่ายกลาง",Raw_Data!$E$2:$E$59,"สายสนับสนุนทั่วไป")/COUNTIFS(Raw_Data!$V$2:$V$59,"&gt;=1",Raw_Data!$V$2:$V$59,"&lt;=5",Raw_Data!$A$2:$A$59,"Yes",Raw_Data!$D$2:$D$59,"จ่ายกลาง",Raw_Data!$E$2:$E$59,"สายสนับสนุนทั่วไป"),"")</f>
        <v>0</v>
      </c>
      <c r="AE19" s="54">
        <f>IFERROR(100*COUNTIFS(Raw_Data!$V$2:$V$59,"&gt;=1",Raw_Data!$V$2:$V$59,"&lt;=2",Raw_Data!$A$2:$A$59,"Yes",Raw_Data!$D$2:$D$59,"ช่างและสนาม",Raw_Data!$E$2:$E$59,"สายสนับสนุนทั่วไป")/COUNTIFS(Raw_Data!$V$2:$V$59,"&gt;=1",Raw_Data!$V$2:$V$59,"&lt;=5",Raw_Data!$A$2:$A$59,"Yes",Raw_Data!$D$2:$D$59,"ช่างและสนาม",Raw_Data!$E$2:$E$59,"สายสนับสนุนทั่วไป"),"")</f>
        <v>50</v>
      </c>
      <c r="AF19" s="54">
        <f>IFERROR(100*COUNTIFS(Raw_Data!$V$2:$V$59,"&gt;=1",Raw_Data!$V$2:$V$59,"&lt;=2",Raw_Data!$A$2:$A$59,"Yes",Raw_Data!$D$2:$D$59,"ผู้ป่วยสัมพันธ์",Raw_Data!$E$2:$E$59,"สายสนับสนุนทั่วไป")/COUNTIFS(Raw_Data!$V$2:$V$59,"&gt;=1",Raw_Data!$V$2:$V$59,"&lt;=5",Raw_Data!$A$2:$A$59,"Yes",Raw_Data!$D$2:$D$59,"ผู้ป่วยสัมพันธ์",Raw_Data!$E$2:$E$59,"สายสนับสนุนทั่วไป"),"")</f>
        <v>0</v>
      </c>
      <c r="AG19" s="54">
        <f>IFERROR(100*COUNTIFS(Raw_Data!$V$2:$V$59,"&gt;=1",Raw_Data!$V$2:$V$59,"&lt;=2",Raw_Data!$A$2:$A$59,"Yes",Raw_Data!$D$2:$D$59,"ยานพาหนะ",Raw_Data!$E$2:$E$59,"สายสนับสนุนทั่วไป")/COUNTIFS(Raw_Data!$V$2:$V$59,"&gt;=1",Raw_Data!$V$2:$V$59,"&lt;=5",Raw_Data!$A$2:$A$59,"Yes",Raw_Data!$D$2:$D$59,"ยานพาหนะ",Raw_Data!$E$2:$E$59,"สายสนับสนุนทั่วไป"),"")</f>
        <v>0</v>
      </c>
      <c r="AH19" s="54">
        <f>IFERROR(100*COUNTIFS(Raw_Data!$V$2:$V$59,"&gt;=1",Raw_Data!$V$2:$V$59,"&lt;=2",Raw_Data!$A$2:$A$59,"Yes",Raw_Data!$D$2:$D$59,"สื่อสารการตลาด",Raw_Data!$E$2:$E$59,"สายสนับสนุนทั่วไป")/COUNTIFS(Raw_Data!$V$2:$V$59,"&gt;=1",Raw_Data!$V$2:$V$59,"&lt;=5",Raw_Data!$A$2:$A$59,"Yes",Raw_Data!$D$2:$D$59,"สื่อสารการตลาด",Raw_Data!$E$2:$E$59,"สายสนับสนุนทั่วไป"),"")</f>
        <v>0</v>
      </c>
      <c r="AI19" s="54">
        <f>IFERROR(100*COUNTIFS(Raw_Data!$V$2:$V$59,"&gt;=1",Raw_Data!$V$2:$V$59,"&lt;=2",Raw_Data!$A$2:$A$59,"Yes",Raw_Data!$D$2:$D$59,"ERและเปล",Raw_Data!$E$2:$E$59,"สายสนับสนุนทั่วไป")/COUNTIFS(Raw_Data!$V$2:$V$59,"&gt;=1",Raw_Data!$V$2:$V$59,"&lt;=5",Raw_Data!$A$2:$A$59,"Yes",Raw_Data!$D$2:$D$59,"ERและเปล",Raw_Data!$E$2:$E$59,"สายสนับสนุนทั่วไป"),"")</f>
        <v>33.333333333333336</v>
      </c>
      <c r="AJ19" s="54">
        <f>IFERROR(100*COUNTIFS(Raw_Data!$V$2:$V$59,"&gt;=1",Raw_Data!$V$2:$V$59,"&lt;=2",Raw_Data!$A$2:$A$59,"Yes",Raw_Data!$D$2:$D$59,"HR",Raw_Data!$E$2:$E$59,"สายสนับสนุนทั่วไป")/COUNTIFS(Raw_Data!$V$2:$V$59,"&gt;=1",Raw_Data!$V$2:$V$59,"&lt;=5",Raw_Data!$A$2:$A$59,"Yes",Raw_Data!$D$2:$D$59,"HR",Raw_Data!$E$2:$E$59,"สายสนับสนุนทั่วไป"),"")</f>
        <v>100</v>
      </c>
      <c r="AK19" s="54">
        <f>IFERROR(100*COUNTIFS(Raw_Data!$V$2:$V$59,"&gt;=1",Raw_Data!$V$2:$V$59,"&lt;=2",Raw_Data!$A$2:$A$59,"Yes",Raw_Data!$D$2:$D$59,"ICU",Raw_Data!$E$2:$E$59,"สายสนับสนุนทั่วไป")/COUNTIFS(Raw_Data!$V$2:$V$59,"&gt;=1",Raw_Data!$V$2:$V$59,"&lt;=5",Raw_Data!$A$2:$A$59,"Yes",Raw_Data!$D$2:$D$59,"ICU",Raw_Data!$E$2:$E$59,"สายสนับสนุนทั่วไป"),"")</f>
        <v>0</v>
      </c>
      <c r="AL19" s="54">
        <f>IFERROR(100*COUNTIFS(Raw_Data!$V$2:$V$59,"&gt;=1",Raw_Data!$V$2:$V$59,"&lt;=2",Raw_Data!$A$2:$A$59,"Yes",Raw_Data!$D$2:$D$59,"IPD",Raw_Data!$E$2:$E$59,"สายสนับสนุนทั่วไป")/COUNTIFS(Raw_Data!$V$2:$V$59,"&gt;=1",Raw_Data!$V$2:$V$59,"&lt;=5",Raw_Data!$A$2:$A$59,"Yes",Raw_Data!$D$2:$D$59,"IPD",Raw_Data!$E$2:$E$59,"สายสนับสนุนทั่วไป"),"")</f>
        <v>0</v>
      </c>
      <c r="AM19" s="54">
        <f>IFERROR(100*COUNTIFS(Raw_Data!$V$2:$V$59,"&gt;=1",Raw_Data!$V$2:$V$59,"&lt;=2",Raw_Data!$A$2:$A$59,"Yes",Raw_Data!$D$2:$D$59,"IT",Raw_Data!$E$2:$E$59,"สายสนับสนุนทั่วไป")/COUNTIFS(Raw_Data!$V$2:$V$59,"&gt;=1",Raw_Data!$V$2:$V$59,"&lt;=5",Raw_Data!$A$2:$A$59,"Yes",Raw_Data!$D$2:$D$59,"IT",Raw_Data!$E$2:$E$59,"สายสนับสนุนทั่วไป"),"")</f>
        <v>100</v>
      </c>
      <c r="AN19" s="54">
        <f>IFERROR(100*COUNTIFS(Raw_Data!$V$2:$V$59,"&gt;=1",Raw_Data!$V$2:$V$59,"&lt;=2",Raw_Data!$A$2:$A$59,"Yes",Raw_Data!$D$2:$D$59,"ผู้ป่วยสัมพันธ์",Raw_Data!$E$2:$E$59,"สายสนับสนุนทางการแพทย์")/COUNTIFS(Raw_Data!$V$2:$V$59,"&gt;=1",Raw_Data!$V$2:$V$59,"&lt;=5",Raw_Data!$A$2:$A$59,"Yes",Raw_Data!$D$2:$D$59,"ผู้ป่วยสัมพันธ์",Raw_Data!$E$2:$E$59,"สายสนับสนุนทางการแพทย์"),"")</f>
        <v>100</v>
      </c>
      <c r="AO19" s="54">
        <f>IFERROR(100*COUNTIFS(Raw_Data!$V$2:$V$59,"&gt;=1",Raw_Data!$V$2:$V$59,"&lt;=2",Raw_Data!$A$2:$A$59,"Yes",Raw_Data!$D$2:$D$59,"ฝ่ายการพยาบาล",Raw_Data!$E$2:$E$59,"สายสนับสนุนทางการแพทย์")/COUNTIFS(Raw_Data!$V$2:$V$59,"&gt;=1",Raw_Data!$V$2:$V$59,"&lt;=5",Raw_Data!$A$2:$A$59,"Yes",Raw_Data!$D$2:$D$59,"ฝ่ายการพยาบาล",Raw_Data!$E$2:$E$59,"สายสนับสนุนทางการแพทย์"),"")</f>
        <v>100</v>
      </c>
      <c r="AP19" s="54">
        <f>IFERROR(100*COUNTIFS(Raw_Data!$V$2:$V$59,"&gt;=1",Raw_Data!$V$2:$V$59,"&lt;=2",Raw_Data!$A$2:$A$59,"Yes",Raw_Data!$D$2:$D$59,"โภชนาการ",Raw_Data!$E$2:$E$59,"สายสนับสนุนทางการแพทย์")/COUNTIFS(Raw_Data!$V$2:$V$59,"&gt;=1",Raw_Data!$V$2:$V$59,"&lt;=5",Raw_Data!$A$2:$A$59,"Yes",Raw_Data!$D$2:$D$59,"โภชนาการ",Raw_Data!$E$2:$E$59,"สายสนับสนุนทางการแพทย์"),"")</f>
        <v>100</v>
      </c>
      <c r="AQ19" s="54">
        <f>IFERROR(100*COUNTIFS(Raw_Data!$V$2:$V$59,"&gt;=1",Raw_Data!$V$2:$V$59,"&lt;=2",Raw_Data!$A$2:$A$59,"Yes",Raw_Data!$D$2:$D$59,"ห้องยา",Raw_Data!$E$2:$E$59,"สายสนับสนุนทางการแพทย์")/COUNTIFS(Raw_Data!$V$2:$V$59,"&gt;=1",Raw_Data!$V$2:$V$59,"&lt;=5",Raw_Data!$A$2:$A$59,"Yes",Raw_Data!$D$2:$D$59,"ห้องยา",Raw_Data!$E$2:$E$59,"สายสนับสนุนทางการแพทย์"),"")</f>
        <v>33.333333333333336</v>
      </c>
      <c r="AR19" s="54">
        <f>IFERROR(100*COUNTIFS(Raw_Data!$V$2:$V$59,"&gt;=1",Raw_Data!$V$2:$V$59,"&lt;=2",Raw_Data!$A$2:$A$59,"Yes",Raw_Data!$D$2:$D$59,"ห้องแลป",Raw_Data!$E$2:$E$59,"สายสนับสนุนทางการแพทย์")/COUNTIFS(Raw_Data!$V$2:$V$59,"&gt;=1",Raw_Data!$V$2:$V$59,"&lt;=5",Raw_Data!$A$2:$A$59,"Yes",Raw_Data!$D$2:$D$59,"ห้องแลป",Raw_Data!$E$2:$E$59,"สายสนับสนุนทางการแพทย์"),"")</f>
        <v>50</v>
      </c>
      <c r="AS19" s="54">
        <f>IFERROR(100*COUNTIFS(Raw_Data!$V$2:$V$59,"&gt;=1",Raw_Data!$V$2:$V$59,"&lt;=2",Raw_Data!$A$2:$A$59,"Yes",Raw_Data!$D$2:$D$59,"ห้องเอ็กซเรย์",Raw_Data!$E$2:$E$59,"สายสนับสนุนทางการแพทย์")/COUNTIFS(Raw_Data!$V$2:$V$59,"&gt;=1",Raw_Data!$V$2:$V$59,"&lt;=5",Raw_Data!$A$2:$A$59,"Yes",Raw_Data!$D$2:$D$59,"ห้องเอ็กซเรย์",Raw_Data!$E$2:$E$59,"สายสนับสนุนทางการแพทย์"),"")</f>
        <v>66.666666666666671</v>
      </c>
      <c r="AT19" s="54">
        <f>IFERROR(100*COUNTIFS(Raw_Data!$V$2:$V$59,"&gt;=1",Raw_Data!$V$2:$V$59,"&lt;=2",Raw_Data!$A$2:$A$59,"Yes",Raw_Data!$D$2:$D$59,"ERและเปล",Raw_Data!$E$2:$E$59,"สายสนับสนุนทางการแพทย์")/COUNTIFS(Raw_Data!$V$2:$V$59,"&gt;=1",Raw_Data!$V$2:$V$59,"&lt;=5",Raw_Data!$A$2:$A$59,"Yes",Raw_Data!$D$2:$D$59,"ERและเปล",Raw_Data!$E$2:$E$59,"สายสนับสนุนทางการแพทย์"),"")</f>
        <v>0</v>
      </c>
      <c r="AU19" s="54">
        <f>IFERROR(100*COUNTIFS(Raw_Data!$V$2:$V$59,"&gt;=1",Raw_Data!$V$2:$V$59,"&lt;=2",Raw_Data!$A$2:$A$59,"Yes",Raw_Data!$D$2:$D$59,"ICU",Raw_Data!$E$2:$E$59,"สายสนับสนุนทางการแพทย์")/COUNTIFS(Raw_Data!$V$2:$V$59,"&gt;=1",Raw_Data!$V$2:$V$59,"&lt;=5",Raw_Data!$A$2:$A$59,"Yes",Raw_Data!$D$2:$D$59,"ICU",Raw_Data!$E$2:$E$59,"สายสนับสนุนทางการแพทย์"),"")</f>
        <v>0</v>
      </c>
      <c r="AV19" s="54">
        <f>IFERROR(100*COUNTIFS(Raw_Data!$V$2:$V$59,"&gt;=1",Raw_Data!$V$2:$V$59,"&lt;=2",Raw_Data!$A$2:$A$59,"Yes",Raw_Data!$D$2:$D$59,"IPD",Raw_Data!$E$2:$E$59,"สายสนับสนุนทางการแพทย์")/COUNTIFS(Raw_Data!$V$2:$V$59,"&gt;=1",Raw_Data!$V$2:$V$59,"&lt;=5",Raw_Data!$A$2:$A$59,"Yes",Raw_Data!$D$2:$D$59,"IPD",Raw_Data!$E$2:$E$59,"สายสนับสนุนทางการแพทย์"),"")</f>
        <v>0</v>
      </c>
      <c r="AW19" s="54">
        <f>IFERROR(100*COUNTIFS(Raw_Data!$V$2:$V$59,"&gt;=1",Raw_Data!$V$2:$V$59,"&lt;=2",Raw_Data!$A$2:$A$59,"Yes",Raw_Data!$D$2:$D$59,"IT",Raw_Data!$E$2:$E$59,"สายสนับสนุนทางการแพทย์")/COUNTIFS(Raw_Data!$V$2:$V$59,"&gt;=1",Raw_Data!$V$2:$V$59,"&lt;=5",Raw_Data!$A$2:$A$59,"Yes",Raw_Data!$D$2:$D$59,"IT",Raw_Data!$E$2:$E$59,"สายสนับสนุนทางการแพทย์"),"")</f>
        <v>0</v>
      </c>
    </row>
    <row r="20" spans="1:49" ht="42" customHeight="1">
      <c r="A20" s="50"/>
      <c r="B20" s="51" t="s">
        <v>47</v>
      </c>
      <c r="C20" s="54">
        <f>IFERROR(100*COUNTIFS(Raw_Data!$W$2:$W$59,"&gt;=4",Raw_Data!$W$2:$W$59,"&lt;=5",Raw_Data!$A$2:$A$59,"Yes")/COUNTIFS(Raw_Data!$W$2:$W$59,"&gt;=1",Raw_Data!$W$2:$W$59,"&lt;=5",Raw_Data!$A$2:$A$59,"Yes"),"")</f>
        <v>63.793103448275865</v>
      </c>
      <c r="D20" s="54">
        <f>IFERROR(100*COUNTIFS(Raw_Data!$W$2:$W$59,"&gt;=4",Raw_Data!$W$2:$W$59,"&lt;=5",Raw_Data!$A$2:$A$59,"Yes",Raw_Data!$D$2:$D$59,"การเงิน")/COUNTIFS(Raw_Data!$W$2:$W$59,"&gt;=1",Raw_Data!$W$2:$W$59,"&lt;=5",Raw_Data!$A$2:$A$59,"Yes",Raw_Data!$D$2:$D$59,"การเงิน"),"")</f>
        <v>66.666666666666671</v>
      </c>
      <c r="E20" s="54">
        <f>IFERROR(100*COUNTIFS(Raw_Data!$W$2:$W$59,"&gt;=4",Raw_Data!$W$2:$W$59,"&lt;=5",Raw_Data!$A$2:$A$59,"Yes",Raw_Data!$D$2:$D$59,"เคหรักษ์")/COUNTIFS(Raw_Data!$W$2:$W$59,"&gt;=1",Raw_Data!$W$2:$W$59,"&lt;=5",Raw_Data!$A$2:$A$59,"Yes",Raw_Data!$D$2:$D$59,"เคหรักษ์"),"")</f>
        <v>0</v>
      </c>
      <c r="F20" s="54">
        <f>IFERROR(100*COUNTIFS(Raw_Data!$W$2:$W$59,"&gt;=4",Raw_Data!$W$2:$W$59,"&lt;=5",Raw_Data!$A$2:$A$59,"Yes",Raw_Data!$D$2:$D$59,"จ่ายกลาง")/COUNTIFS(Raw_Data!$W$2:$W$59,"&gt;=1",Raw_Data!$W$2:$W$59,"&lt;=5",Raw_Data!$A$2:$A$59,"Yes",Raw_Data!$D$2:$D$59,"จ่ายกลาง"),"")</f>
        <v>100</v>
      </c>
      <c r="G20" s="54">
        <f>IFERROR(100*COUNTIFS(Raw_Data!$W$2:$W$59,"&gt;=4",Raw_Data!$W$2:$W$59,"&lt;=5",Raw_Data!$A$2:$A$59,"Yes",Raw_Data!$D$2:$D$59,"ช่างและสนาม")/COUNTIFS(Raw_Data!$W$2:$W$59,"&gt;=1",Raw_Data!$W$2:$W$59,"&lt;=5",Raw_Data!$A$2:$A$59,"Yes",Raw_Data!$D$2:$D$59,"ช่างและสนาม"),"")</f>
        <v>75</v>
      </c>
      <c r="H20" s="54">
        <f>IFERROR(100*COUNTIFS(Raw_Data!$W$2:$W$59,"&gt;=4",Raw_Data!$W$2:$W$59,"&lt;=5",Raw_Data!$A$2:$A$59,"Yes",Raw_Data!$D$2:$D$59,"ผู้ป่วยสัมพันธ์")/COUNTIFS(Raw_Data!$W$2:$W$59,"&gt;=1",Raw_Data!$W$2:$W$59,"&lt;=5",Raw_Data!$A$2:$A$59,"Yes",Raw_Data!$D$2:$D$59,"ผู้ป่วยสัมพันธ์"),"")</f>
        <v>25</v>
      </c>
      <c r="I20" s="54">
        <f>IFERROR(100*COUNTIFS(Raw_Data!$W$2:$W$59,"&gt;=4",Raw_Data!$W$2:$W$59,"&lt;=5",Raw_Data!$A$2:$A$59,"Yes",Raw_Data!$D$2:$D$59,"ฝ่ายการพยาบาล")/COUNTIFS(Raw_Data!$W$2:$W$59,"&gt;=1",Raw_Data!$W$2:$W$59,"&lt;=5",Raw_Data!$A$2:$A$59,"Yes",Raw_Data!$D$2:$D$59,"ฝ่ายการพยาบาล"),"")</f>
        <v>50</v>
      </c>
      <c r="J20" s="54">
        <f>IFERROR(100*COUNTIFS(Raw_Data!$W$2:$W$59,"&gt;=4",Raw_Data!$W$2:$W$59,"&lt;=5",Raw_Data!$A$2:$A$59,"Yes",Raw_Data!$D$2:$D$59,"โภชนาการ")/COUNTIFS(Raw_Data!$W$2:$W$59,"&gt;=1",Raw_Data!$W$2:$W$59,"&lt;=5",Raw_Data!$A$2:$A$59,"Yes",Raw_Data!$D$2:$D$59,"โภชนาการ"),"")</f>
        <v>100</v>
      </c>
      <c r="K20" s="54">
        <f>IFERROR(100*COUNTIFS(Raw_Data!$W$2:$W$59,"&gt;=4",Raw_Data!$W$2:$W$59,"&lt;=5",Raw_Data!$A$2:$A$59,"Yes",Raw_Data!$D$2:$D$59,"ยานพาหนะ")/COUNTIFS(Raw_Data!$W$2:$W$59,"&gt;=1",Raw_Data!$W$2:$W$59,"&lt;=5",Raw_Data!$A$2:$A$59,"Yes",Raw_Data!$D$2:$D$59,"ยานพาหนะ"),"")</f>
        <v>100</v>
      </c>
      <c r="L20" s="54">
        <f>IFERROR(100*COUNTIFS(Raw_Data!$W$2:$W$59,"&gt;=4",Raw_Data!$W$2:$W$59,"&lt;=5",Raw_Data!$A$2:$A$59,"Yes",Raw_Data!$D$2:$D$59,"สื่อสารการตลาด")/COUNTIFS(Raw_Data!$W$2:$W$59,"&gt;=1",Raw_Data!$W$2:$W$59,"&lt;=5",Raw_Data!$A$2:$A$59,"Yes",Raw_Data!$D$2:$D$59,"สื่อสารการตลาด"),"")</f>
        <v>100</v>
      </c>
      <c r="M20" s="54">
        <f>IFERROR(100*COUNTIFS(Raw_Data!$W$2:$W$59,"&gt;=4",Raw_Data!$W$2:$W$59,"&lt;=5",Raw_Data!$A$2:$A$59,"Yes",Raw_Data!$D$2:$D$59,"ห้องยา")/COUNTIFS(Raw_Data!$W$2:$W$59,"&gt;=1",Raw_Data!$W$2:$W$59,"&lt;=5",Raw_Data!$A$2:$A$59,"Yes",Raw_Data!$D$2:$D$59,"ห้องยา"),"")</f>
        <v>100</v>
      </c>
      <c r="N20" s="54">
        <f>IFERROR(100*COUNTIFS(Raw_Data!$W$2:$W$59,"&gt;=4",Raw_Data!$W$2:$W$59,"&lt;=5",Raw_Data!$A$2:$A$59,"Yes",Raw_Data!$D$2:$D$59,"ห้องแลป")/COUNTIFS(Raw_Data!$W$2:$W$59,"&gt;=1",Raw_Data!$W$2:$W$59,"&lt;=5",Raw_Data!$A$2:$A$59,"Yes",Raw_Data!$D$2:$D$59,"ห้องแลป"),"")</f>
        <v>0</v>
      </c>
      <c r="O20" s="54">
        <f>IFERROR(100*COUNTIFS(Raw_Data!$W$2:$W$59,"&gt;=4",Raw_Data!$W$2:$W$59,"&lt;=5",Raw_Data!$A$2:$A$59,"Yes",Raw_Data!$D$2:$D$59,"ห้องเอ็กซเรย์")/COUNTIFS(Raw_Data!$W$2:$W$59,"&gt;=1",Raw_Data!$W$2:$W$59,"&lt;=5",Raw_Data!$A$2:$A$59,"Yes",Raw_Data!$D$2:$D$59,"ห้องเอ็กซเรย์"),"")</f>
        <v>100</v>
      </c>
      <c r="P20" s="54">
        <f>IFERROR(100*COUNTIFS(Raw_Data!$W$2:$W$59,"&gt;=4",Raw_Data!$W$2:$W$59,"&lt;=5",Raw_Data!$A$2:$A$59,"Yes",Raw_Data!$D$2:$D$59,"ERและเปล")/COUNTIFS(Raw_Data!$W$2:$W$59,"&gt;=1",Raw_Data!$W$2:$W$59,"&lt;=5",Raw_Data!$A$2:$A$59,"Yes",Raw_Data!$D$2:$D$59,"ERและเปล"),"")</f>
        <v>54.545454545454547</v>
      </c>
      <c r="Q20" s="54">
        <f>IFERROR(100*COUNTIFS(Raw_Data!$W$2:$W$59,"&gt;=4",Raw_Data!$W$2:$W$59,"&lt;=5",Raw_Data!$A$2:$A$59,"Yes",Raw_Data!$D$2:$D$59,"HR")/COUNTIFS(Raw_Data!$W$2:$W$59,"&gt;=1",Raw_Data!$W$2:$W$59,"&lt;=5",Raw_Data!$A$2:$A$59,"Yes",Raw_Data!$D$2:$D$59,"HR"),"")</f>
        <v>100</v>
      </c>
      <c r="R20" s="54">
        <f>IFERROR(100*COUNTIFS(Raw_Data!$W$2:$W$59,"&gt;=4",Raw_Data!$W$2:$W$59,"&lt;=5",Raw_Data!$A$2:$A$59,"Yes",Raw_Data!$D$2:$D$59,"ICU")/COUNTIFS(Raw_Data!$W$2:$W$59,"&gt;=1",Raw_Data!$W$2:$W$59,"&lt;=5",Raw_Data!$A$2:$A$59,"Yes",Raw_Data!$D$2:$D$59,"ICU"),"")</f>
        <v>50</v>
      </c>
      <c r="S20" s="54">
        <f>IFERROR(100*COUNTIFS(Raw_Data!$W$2:$W$59,"&gt;=4",Raw_Data!$W$2:$W$59,"&lt;=5",Raw_Data!$A$2:$A$59,"Yes",Raw_Data!$D$2:$D$59,"IPD")/COUNTIFS(Raw_Data!$W$2:$W$59,"&gt;=1",Raw_Data!$W$2:$W$59,"&lt;=5",Raw_Data!$A$2:$A$59,"Yes",Raw_Data!$D$2:$D$59,"IPD"),"")</f>
        <v>66.666666666666671</v>
      </c>
      <c r="T20" s="54">
        <f>IFERROR(100*COUNTIFS(Raw_Data!$W$2:$W$59,"&gt;=4",Raw_Data!$W$2:$W$59,"&lt;=5",Raw_Data!$A$2:$A$59,"Yes",Raw_Data!$D$2:$D$59,"IT")/COUNTIFS(Raw_Data!$W$2:$W$59,"&gt;=1",Raw_Data!$W$2:$W$59,"&lt;=5",Raw_Data!$A$2:$A$59,"Yes",Raw_Data!$D$2:$D$59,"IT"),"")</f>
        <v>100</v>
      </c>
      <c r="U20" s="54">
        <f>IFERROR(100*COUNTIFS(Raw_Data!$W$2:$W$59,"&gt;=4",Raw_Data!$W$2:$W$59,"&lt;=5",Raw_Data!$A$2:$A$59,"Yes",Raw_Data!$D$2:$D$59,"OR")/COUNTIFS(Raw_Data!$W$2:$W$59,"&gt;=1",Raw_Data!$W$2:$W$59,"&lt;=5",Raw_Data!$A$2:$A$59,"Yes",Raw_Data!$D$2:$D$59,"OR"),"")</f>
        <v>50</v>
      </c>
      <c r="V20" s="54">
        <f>IFERROR(100*COUNTIFS(Raw_Data!$W$2:$W$59,"&gt;=4",Raw_Data!$W$2:$W$59,"&lt;=5",Raw_Data!$A$2:$A$59,"Yes",Raw_Data!$D$2:$D$59,"IPD",Raw_Data!$E$2:$E$59,"ผู้บริหาร")/COUNTIFS(Raw_Data!$W$2:$W$59,"&gt;=1",Raw_Data!$W$2:$W$59,"&lt;=5",Raw_Data!$A$2:$A$59,"Yes",Raw_Data!$D$2:$D$59,"IPD",Raw_Data!$E$2:$E$59,"ผู้บริหาร"),"")</f>
        <v>100</v>
      </c>
      <c r="W20" s="54">
        <f>IFERROR(100*COUNTIFS(Raw_Data!$W$2:$W$59,"&gt;=4",Raw_Data!$W$2:$W$59,"&lt;=5",Raw_Data!$A$2:$A$59,"Yes",Raw_Data!$D$2:$D$59,"ฝ่ายการพยาบาล",Raw_Data!$E$2:$E$59,"สายวิชาชีพสาธารณสุข")/COUNTIFS(Raw_Data!$W$2:$W$59,"&gt;=1",Raw_Data!$W$2:$W$59,"&lt;=5",Raw_Data!$A$2:$A$59,"Yes",Raw_Data!$D$2:$D$59,"ฝ่ายการพยาบาล",Raw_Data!$E$2:$E$59,"สายวิชาชีพสาธารณสุข"),"")</f>
        <v>0</v>
      </c>
      <c r="X20" s="54">
        <f>IFERROR(100*COUNTIFS(Raw_Data!$W$2:$W$59,"&gt;=4",Raw_Data!$W$2:$W$59,"&lt;=5",Raw_Data!$A$2:$A$59,"Yes",Raw_Data!$D$2:$D$59,"ERและเปล",Raw_Data!$E$2:$E$59,"สายวิชาชีพสาธารณสุข")/COUNTIFS(Raw_Data!$W$2:$W$59,"&gt;=1",Raw_Data!$W$2:$W$59,"&lt;=5",Raw_Data!$A$2:$A$59,"Yes",Raw_Data!$D$2:$D$59,"ERและเปล",Raw_Data!$E$2:$E$59,"สายวิชาชีพสาธารณสุข"),"")</f>
        <v>57.142857142857146</v>
      </c>
      <c r="Y20" s="54">
        <f>IFERROR(100*COUNTIFS(Raw_Data!$W$2:$W$59,"&gt;=4",Raw_Data!$W$2:$W$59,"&lt;=5",Raw_Data!$A$2:$A$59,"Yes",Raw_Data!$D$2:$D$59,"ICU",Raw_Data!$E$2:$E$59,"สายวิชาชีพสาธารณสุข")/COUNTIFS(Raw_Data!$W$2:$W$59,"&gt;=1",Raw_Data!$W$2:$W$59,"&lt;=5",Raw_Data!$A$2:$A$59,"Yes",Raw_Data!$D$2:$D$59,"ICU",Raw_Data!$E$2:$E$59,"สายวิชาชีพสาธารณสุข"),"")</f>
        <v>50</v>
      </c>
      <c r="Z20" s="54">
        <f>IFERROR(100*COUNTIFS(Raw_Data!$W$2:$W$59,"&gt;=4",Raw_Data!$W$2:$W$59,"&lt;=5",Raw_Data!$A$2:$A$59,"Yes",Raw_Data!$D$2:$D$59,"IPD",Raw_Data!$E$2:$E$59,"สายวิชาชีพสาธารณสุข")/COUNTIFS(Raw_Data!$W$2:$W$59,"&gt;=1",Raw_Data!$W$2:$W$59,"&lt;=5",Raw_Data!$A$2:$A$59,"Yes",Raw_Data!$D$2:$D$59,"IPD",Raw_Data!$E$2:$E$59,"สายวิชาชีพสาธารณสุข"),"")</f>
        <v>100</v>
      </c>
      <c r="AA20" s="54">
        <f>IFERROR(100*COUNTIFS(Raw_Data!$W$2:$W$59,"&gt;=4",Raw_Data!$W$2:$W$59,"&lt;=5",Raw_Data!$A$2:$A$59,"Yes",Raw_Data!$D$2:$D$59,"OR",Raw_Data!$E$2:$E$59,"สายวิชาชีพสาธารณสุข")/COUNTIFS(Raw_Data!$W$2:$W$59,"&gt;=1",Raw_Data!$W$2:$W$59,"&lt;=5",Raw_Data!$A$2:$A$59,"Yes",Raw_Data!$D$2:$D$59,"OR",Raw_Data!$E$2:$E$59,"สายวิชาชีพสาธารณสุข"),"")</f>
        <v>50</v>
      </c>
      <c r="AB20" s="54">
        <f>IFERROR(100*COUNTIFS(Raw_Data!$W$2:$W$59,"&gt;=4",Raw_Data!$W$2:$W$59,"&lt;=5",Raw_Data!$A$2:$A$59,"Yes",Raw_Data!$D$2:$D$59,"การเงิน",Raw_Data!$E$2:$E$59,"สายสนับสนุนทั่วไป")/COUNTIFS(Raw_Data!$W$2:$W$59,"&gt;=1",Raw_Data!$W$2:$W$59,"&lt;=5",Raw_Data!$A$2:$A$59,"Yes",Raw_Data!$D$2:$D$59,"การเงิน",Raw_Data!$E$2:$E$59,"สายสนับสนุนทั่วไป"),"")</f>
        <v>66.666666666666671</v>
      </c>
      <c r="AC20" s="54">
        <f>IFERROR(100*COUNTIFS(Raw_Data!$W$2:$W$59,"&gt;=4",Raw_Data!$W$2:$W$59,"&lt;=5",Raw_Data!$A$2:$A$59,"Yes",Raw_Data!$D$2:$D$59,"เคหรักษ์",Raw_Data!$E$2:$E$59,"สายสนับสนุนทั่วไป")/COUNTIFS(Raw_Data!$W$2:$W$59,"&gt;=1",Raw_Data!$W$2:$W$59,"&lt;=5",Raw_Data!$A$2:$A$59,"Yes",Raw_Data!$D$2:$D$59,"เคหรักษ์",Raw_Data!$E$2:$E$59,"สายสนับสนุนทั่วไป"),"")</f>
        <v>0</v>
      </c>
      <c r="AD20" s="54">
        <f>IFERROR(100*COUNTIFS(Raw_Data!$W$2:$W$59,"&gt;=4",Raw_Data!$W$2:$W$59,"&lt;=5",Raw_Data!$A$2:$A$59,"Yes",Raw_Data!$D$2:$D$59,"จ่ายกลาง",Raw_Data!$E$2:$E$59,"สายสนับสนุนทั่วไป")/COUNTIFS(Raw_Data!$W$2:$W$59,"&gt;=1",Raw_Data!$W$2:$W$59,"&lt;=5",Raw_Data!$A$2:$A$59,"Yes",Raw_Data!$D$2:$D$59,"จ่ายกลาง",Raw_Data!$E$2:$E$59,"สายสนับสนุนทั่วไป"),"")</f>
        <v>100</v>
      </c>
      <c r="AE20" s="54">
        <f>IFERROR(100*COUNTIFS(Raw_Data!$W$2:$W$59,"&gt;=4",Raw_Data!$W$2:$W$59,"&lt;=5",Raw_Data!$A$2:$A$59,"Yes",Raw_Data!$D$2:$D$59,"ช่างและสนาม",Raw_Data!$E$2:$E$59,"สายสนับสนุนทั่วไป")/COUNTIFS(Raw_Data!$W$2:$W$59,"&gt;=1",Raw_Data!$W$2:$W$59,"&lt;=5",Raw_Data!$A$2:$A$59,"Yes",Raw_Data!$D$2:$D$59,"ช่างและสนาม",Raw_Data!$E$2:$E$59,"สายสนับสนุนทั่วไป"),"")</f>
        <v>75</v>
      </c>
      <c r="AF20" s="54">
        <f>IFERROR(100*COUNTIFS(Raw_Data!$W$2:$W$59,"&gt;=4",Raw_Data!$W$2:$W$59,"&lt;=5",Raw_Data!$A$2:$A$59,"Yes",Raw_Data!$D$2:$D$59,"ผู้ป่วยสัมพันธ์",Raw_Data!$E$2:$E$59,"สายสนับสนุนทั่วไป")/COUNTIFS(Raw_Data!$W$2:$W$59,"&gt;=1",Raw_Data!$W$2:$W$59,"&lt;=5",Raw_Data!$A$2:$A$59,"Yes",Raw_Data!$D$2:$D$59,"ผู้ป่วยสัมพันธ์",Raw_Data!$E$2:$E$59,"สายสนับสนุนทั่วไป"),"")</f>
        <v>0</v>
      </c>
      <c r="AG20" s="54">
        <f>IFERROR(100*COUNTIFS(Raw_Data!$W$2:$W$59,"&gt;=4",Raw_Data!$W$2:$W$59,"&lt;=5",Raw_Data!$A$2:$A$59,"Yes",Raw_Data!$D$2:$D$59,"ยานพาหนะ",Raw_Data!$E$2:$E$59,"สายสนับสนุนทั่วไป")/COUNTIFS(Raw_Data!$W$2:$W$59,"&gt;=1",Raw_Data!$W$2:$W$59,"&lt;=5",Raw_Data!$A$2:$A$59,"Yes",Raw_Data!$D$2:$D$59,"ยานพาหนะ",Raw_Data!$E$2:$E$59,"สายสนับสนุนทั่วไป"),"")</f>
        <v>100</v>
      </c>
      <c r="AH20" s="54">
        <f>IFERROR(100*COUNTIFS(Raw_Data!$W$2:$W$59,"&gt;=4",Raw_Data!$W$2:$W$59,"&lt;=5",Raw_Data!$A$2:$A$59,"Yes",Raw_Data!$D$2:$D$59,"สื่อสารการตลาด",Raw_Data!$E$2:$E$59,"สายสนับสนุนทั่วไป")/COUNTIFS(Raw_Data!$W$2:$W$59,"&gt;=1",Raw_Data!$W$2:$W$59,"&lt;=5",Raw_Data!$A$2:$A$59,"Yes",Raw_Data!$D$2:$D$59,"สื่อสารการตลาด",Raw_Data!$E$2:$E$59,"สายสนับสนุนทั่วไป"),"")</f>
        <v>100</v>
      </c>
      <c r="AI20" s="54">
        <f>IFERROR(100*COUNTIFS(Raw_Data!$W$2:$W$59,"&gt;=4",Raw_Data!$W$2:$W$59,"&lt;=5",Raw_Data!$A$2:$A$59,"Yes",Raw_Data!$D$2:$D$59,"ERและเปล",Raw_Data!$E$2:$E$59,"สายสนับสนุนทั่วไป")/COUNTIFS(Raw_Data!$W$2:$W$59,"&gt;=1",Raw_Data!$W$2:$W$59,"&lt;=5",Raw_Data!$A$2:$A$59,"Yes",Raw_Data!$D$2:$D$59,"ERและเปล",Raw_Data!$E$2:$E$59,"สายสนับสนุนทั่วไป"),"")</f>
        <v>33.333333333333336</v>
      </c>
      <c r="AJ20" s="54">
        <f>IFERROR(100*COUNTIFS(Raw_Data!$W$2:$W$59,"&gt;=4",Raw_Data!$W$2:$W$59,"&lt;=5",Raw_Data!$A$2:$A$59,"Yes",Raw_Data!$D$2:$D$59,"HR",Raw_Data!$E$2:$E$59,"สายสนับสนุนทั่วไป")/COUNTIFS(Raw_Data!$W$2:$W$59,"&gt;=1",Raw_Data!$W$2:$W$59,"&lt;=5",Raw_Data!$A$2:$A$59,"Yes",Raw_Data!$D$2:$D$59,"HR",Raw_Data!$E$2:$E$59,"สายสนับสนุนทั่วไป"),"")</f>
        <v>100</v>
      </c>
      <c r="AK20" s="54">
        <f>IFERROR(100*COUNTIFS(Raw_Data!$W$2:$W$59,"&gt;=4",Raw_Data!$W$2:$W$59,"&lt;=5",Raw_Data!$A$2:$A$59,"Yes",Raw_Data!$D$2:$D$59,"ICU",Raw_Data!$E$2:$E$59,"สายสนับสนุนทั่วไป")/COUNTIFS(Raw_Data!$W$2:$W$59,"&gt;=1",Raw_Data!$W$2:$W$59,"&lt;=5",Raw_Data!$A$2:$A$59,"Yes",Raw_Data!$D$2:$D$59,"ICU",Raw_Data!$E$2:$E$59,"สายสนับสนุนทั่วไป"),"")</f>
        <v>0</v>
      </c>
      <c r="AL20" s="54">
        <f>IFERROR(100*COUNTIFS(Raw_Data!$W$2:$W$59,"&gt;=4",Raw_Data!$W$2:$W$59,"&lt;=5",Raw_Data!$A$2:$A$59,"Yes",Raw_Data!$D$2:$D$59,"IPD",Raw_Data!$E$2:$E$59,"สายสนับสนุนทั่วไป")/COUNTIFS(Raw_Data!$W$2:$W$59,"&gt;=1",Raw_Data!$W$2:$W$59,"&lt;=5",Raw_Data!$A$2:$A$59,"Yes",Raw_Data!$D$2:$D$59,"IPD",Raw_Data!$E$2:$E$59,"สายสนับสนุนทั่วไป"),"")</f>
        <v>0</v>
      </c>
      <c r="AM20" s="54">
        <f>IFERROR(100*COUNTIFS(Raw_Data!$W$2:$W$59,"&gt;=4",Raw_Data!$W$2:$W$59,"&lt;=5",Raw_Data!$A$2:$A$59,"Yes",Raw_Data!$D$2:$D$59,"IT",Raw_Data!$E$2:$E$59,"สายสนับสนุนทั่วไป")/COUNTIFS(Raw_Data!$W$2:$W$59,"&gt;=1",Raw_Data!$W$2:$W$59,"&lt;=5",Raw_Data!$A$2:$A$59,"Yes",Raw_Data!$D$2:$D$59,"IT",Raw_Data!$E$2:$E$59,"สายสนับสนุนทั่วไป"),"")</f>
        <v>100</v>
      </c>
      <c r="AN20" s="54">
        <f>IFERROR(100*COUNTIFS(Raw_Data!$W$2:$W$59,"&gt;=4",Raw_Data!$W$2:$W$59,"&lt;=5",Raw_Data!$A$2:$A$59,"Yes",Raw_Data!$D$2:$D$59,"ผู้ป่วยสัมพันธ์",Raw_Data!$E$2:$E$59,"สายสนับสนุนทางการแพทย์")/COUNTIFS(Raw_Data!$W$2:$W$59,"&gt;=1",Raw_Data!$W$2:$W$59,"&lt;=5",Raw_Data!$A$2:$A$59,"Yes",Raw_Data!$D$2:$D$59,"ผู้ป่วยสัมพันธ์",Raw_Data!$E$2:$E$59,"สายสนับสนุนทางการแพทย์"),"")</f>
        <v>33.333333333333336</v>
      </c>
      <c r="AO20" s="54">
        <f>IFERROR(100*COUNTIFS(Raw_Data!$W$2:$W$59,"&gt;=4",Raw_Data!$W$2:$W$59,"&lt;=5",Raw_Data!$A$2:$A$59,"Yes",Raw_Data!$D$2:$D$59,"ฝ่ายการพยาบาล",Raw_Data!$E$2:$E$59,"สายสนับสนุนทางการแพทย์")/COUNTIFS(Raw_Data!$W$2:$W$59,"&gt;=1",Raw_Data!$W$2:$W$59,"&lt;=5",Raw_Data!$A$2:$A$59,"Yes",Raw_Data!$D$2:$D$59,"ฝ่ายการพยาบาล",Raw_Data!$E$2:$E$59,"สายสนับสนุนทางการแพทย์"),"")</f>
        <v>100</v>
      </c>
      <c r="AP20" s="54">
        <f>IFERROR(100*COUNTIFS(Raw_Data!$W$2:$W$59,"&gt;=4",Raw_Data!$W$2:$W$59,"&lt;=5",Raw_Data!$A$2:$A$59,"Yes",Raw_Data!$D$2:$D$59,"โภชนาการ",Raw_Data!$E$2:$E$59,"สายสนับสนุนทางการแพทย์")/COUNTIFS(Raw_Data!$W$2:$W$59,"&gt;=1",Raw_Data!$W$2:$W$59,"&lt;=5",Raw_Data!$A$2:$A$59,"Yes",Raw_Data!$D$2:$D$59,"โภชนาการ",Raw_Data!$E$2:$E$59,"สายสนับสนุนทางการแพทย์"),"")</f>
        <v>100</v>
      </c>
      <c r="AQ20" s="54">
        <f>IFERROR(100*COUNTIFS(Raw_Data!$W$2:$W$59,"&gt;=4",Raw_Data!$W$2:$W$59,"&lt;=5",Raw_Data!$A$2:$A$59,"Yes",Raw_Data!$D$2:$D$59,"ห้องยา",Raw_Data!$E$2:$E$59,"สายสนับสนุนทางการแพทย์")/COUNTIFS(Raw_Data!$W$2:$W$59,"&gt;=1",Raw_Data!$W$2:$W$59,"&lt;=5",Raw_Data!$A$2:$A$59,"Yes",Raw_Data!$D$2:$D$59,"ห้องยา",Raw_Data!$E$2:$E$59,"สายสนับสนุนทางการแพทย์"),"")</f>
        <v>100</v>
      </c>
      <c r="AR20" s="54">
        <f>IFERROR(100*COUNTIFS(Raw_Data!$W$2:$W$59,"&gt;=4",Raw_Data!$W$2:$W$59,"&lt;=5",Raw_Data!$A$2:$A$59,"Yes",Raw_Data!$D$2:$D$59,"ห้องแลป",Raw_Data!$E$2:$E$59,"สายสนับสนุนทางการแพทย์")/COUNTIFS(Raw_Data!$W$2:$W$59,"&gt;=1",Raw_Data!$W$2:$W$59,"&lt;=5",Raw_Data!$A$2:$A$59,"Yes",Raw_Data!$D$2:$D$59,"ห้องแลป",Raw_Data!$E$2:$E$59,"สายสนับสนุนทางการแพทย์"),"")</f>
        <v>0</v>
      </c>
      <c r="AS20" s="54">
        <f>IFERROR(100*COUNTIFS(Raw_Data!$W$2:$W$59,"&gt;=4",Raw_Data!$W$2:$W$59,"&lt;=5",Raw_Data!$A$2:$A$59,"Yes",Raw_Data!$D$2:$D$59,"ห้องเอ็กซเรย์",Raw_Data!$E$2:$E$59,"สายสนับสนุนทางการแพทย์")/COUNTIFS(Raw_Data!$W$2:$W$59,"&gt;=1",Raw_Data!$W$2:$W$59,"&lt;=5",Raw_Data!$A$2:$A$59,"Yes",Raw_Data!$D$2:$D$59,"ห้องเอ็กซเรย์",Raw_Data!$E$2:$E$59,"สายสนับสนุนทางการแพทย์"),"")</f>
        <v>100</v>
      </c>
      <c r="AT20" s="54">
        <f>IFERROR(100*COUNTIFS(Raw_Data!$W$2:$W$59,"&gt;=4",Raw_Data!$W$2:$W$59,"&lt;=5",Raw_Data!$A$2:$A$59,"Yes",Raw_Data!$D$2:$D$59,"ERและเปล",Raw_Data!$E$2:$E$59,"สายสนับสนุนทางการแพทย์")/COUNTIFS(Raw_Data!$W$2:$W$59,"&gt;=1",Raw_Data!$W$2:$W$59,"&lt;=5",Raw_Data!$A$2:$A$59,"Yes",Raw_Data!$D$2:$D$59,"ERและเปล",Raw_Data!$E$2:$E$59,"สายสนับสนุนทางการแพทย์"),"")</f>
        <v>100</v>
      </c>
      <c r="AU20" s="54">
        <f>IFERROR(100*COUNTIFS(Raw_Data!$W$2:$W$59,"&gt;=4",Raw_Data!$W$2:$W$59,"&lt;=5",Raw_Data!$A$2:$A$59,"Yes",Raw_Data!$D$2:$D$59,"ICU",Raw_Data!$E$2:$E$59,"สายสนับสนุนทางการแพทย์")/COUNTIFS(Raw_Data!$W$2:$W$59,"&gt;=1",Raw_Data!$W$2:$W$59,"&lt;=5",Raw_Data!$A$2:$A$59,"Yes",Raw_Data!$D$2:$D$59,"ICU",Raw_Data!$E$2:$E$59,"สายสนับสนุนทางการแพทย์"),"")</f>
        <v>100</v>
      </c>
      <c r="AV20" s="54">
        <f>IFERROR(100*COUNTIFS(Raw_Data!$W$2:$W$59,"&gt;=4",Raw_Data!$W$2:$W$59,"&lt;=5",Raw_Data!$A$2:$A$59,"Yes",Raw_Data!$D$2:$D$59,"IPD",Raw_Data!$E$2:$E$59,"สายสนับสนุนทางการแพทย์")/COUNTIFS(Raw_Data!$W$2:$W$59,"&gt;=1",Raw_Data!$W$2:$W$59,"&lt;=5",Raw_Data!$A$2:$A$59,"Yes",Raw_Data!$D$2:$D$59,"IPD",Raw_Data!$E$2:$E$59,"สายสนับสนุนทางการแพทย์"),"")</f>
        <v>50</v>
      </c>
      <c r="AW20" s="54">
        <f>IFERROR(100*COUNTIFS(Raw_Data!$W$2:$W$59,"&gt;=4",Raw_Data!$W$2:$W$59,"&lt;=5",Raw_Data!$A$2:$A$59,"Yes",Raw_Data!$D$2:$D$59,"IT",Raw_Data!$E$2:$E$59,"สายสนับสนุนทางการแพทย์")/COUNTIFS(Raw_Data!$W$2:$W$59,"&gt;=1",Raw_Data!$W$2:$W$59,"&lt;=5",Raw_Data!$A$2:$A$59,"Yes",Raw_Data!$D$2:$D$59,"IT",Raw_Data!$E$2:$E$59,"สายสนับสนุนทางการแพทย์"),"")</f>
        <v>100</v>
      </c>
    </row>
    <row r="21" spans="1:49" ht="42" customHeight="1">
      <c r="A21" s="50" t="s">
        <v>18</v>
      </c>
      <c r="B21" s="51" t="s">
        <v>48</v>
      </c>
      <c r="C21" s="54">
        <f>IFERROR(100*COUNTIFS(Raw_Data!$X$2:$X$59,"&gt;=4",Raw_Data!$X$2:$X$59,"&lt;=5",Raw_Data!$A$2:$A$59,"Yes")/COUNTIFS(Raw_Data!$X$2:$X$59,"&gt;=1",Raw_Data!$X$2:$X$59,"&lt;=5",Raw_Data!$A$2:$A$59,"Yes"),"")</f>
        <v>53.448275862068968</v>
      </c>
      <c r="D21" s="54">
        <f>IFERROR(100*COUNTIFS(Raw_Data!$X$2:$X$59,"&gt;=4",Raw_Data!$X$2:$X$59,"&lt;=5",Raw_Data!$A$2:$A$59,"Yes",Raw_Data!$D$2:$D$59,"การเงิน")/COUNTIFS(Raw_Data!$X$2:$X$59,"&gt;=1",Raw_Data!$X$2:$X$59,"&lt;=5",Raw_Data!$A$2:$A$59,"Yes",Raw_Data!$D$2:$D$59,"การเงิน"),"")</f>
        <v>0</v>
      </c>
      <c r="E21" s="54">
        <f>IFERROR(100*COUNTIFS(Raw_Data!$X$2:$X$59,"&gt;=4",Raw_Data!$X$2:$X$59,"&lt;=5",Raw_Data!$A$2:$A$59,"Yes",Raw_Data!$D$2:$D$59,"เคหรักษ์")/COUNTIFS(Raw_Data!$X$2:$X$59,"&gt;=1",Raw_Data!$X$2:$X$59,"&lt;=5",Raw_Data!$A$2:$A$59,"Yes",Raw_Data!$D$2:$D$59,"เคหรักษ์"),"")</f>
        <v>50</v>
      </c>
      <c r="F21" s="54">
        <f>IFERROR(100*COUNTIFS(Raw_Data!$X$2:$X$59,"&gt;=4",Raw_Data!$X$2:$X$59,"&lt;=5",Raw_Data!$A$2:$A$59,"Yes",Raw_Data!$D$2:$D$59,"จ่ายกลาง")/COUNTIFS(Raw_Data!$X$2:$X$59,"&gt;=1",Raw_Data!$X$2:$X$59,"&lt;=5",Raw_Data!$A$2:$A$59,"Yes",Raw_Data!$D$2:$D$59,"จ่ายกลาง"),"")</f>
        <v>100</v>
      </c>
      <c r="G21" s="54">
        <f>IFERROR(100*COUNTIFS(Raw_Data!$X$2:$X$59,"&gt;=4",Raw_Data!$X$2:$X$59,"&lt;=5",Raw_Data!$A$2:$A$59,"Yes",Raw_Data!$D$2:$D$59,"ช่างและสนาม")/COUNTIFS(Raw_Data!$X$2:$X$59,"&gt;=1",Raw_Data!$X$2:$X$59,"&lt;=5",Raw_Data!$A$2:$A$59,"Yes",Raw_Data!$D$2:$D$59,"ช่างและสนาม"),"")</f>
        <v>25</v>
      </c>
      <c r="H21" s="54">
        <f>IFERROR(100*COUNTIFS(Raw_Data!$X$2:$X$59,"&gt;=4",Raw_Data!$X$2:$X$59,"&lt;=5",Raw_Data!$A$2:$A$59,"Yes",Raw_Data!$D$2:$D$59,"ผู้ป่วยสัมพันธ์")/COUNTIFS(Raw_Data!$X$2:$X$59,"&gt;=1",Raw_Data!$X$2:$X$59,"&lt;=5",Raw_Data!$A$2:$A$59,"Yes",Raw_Data!$D$2:$D$59,"ผู้ป่วยสัมพันธ์"),"")</f>
        <v>100</v>
      </c>
      <c r="I21" s="54">
        <f>IFERROR(100*COUNTIFS(Raw_Data!$X$2:$X$59,"&gt;=4",Raw_Data!$X$2:$X$59,"&lt;=5",Raw_Data!$A$2:$A$59,"Yes",Raw_Data!$D$2:$D$59,"ฝ่ายการพยาบาล")/COUNTIFS(Raw_Data!$X$2:$X$59,"&gt;=1",Raw_Data!$X$2:$X$59,"&lt;=5",Raw_Data!$A$2:$A$59,"Yes",Raw_Data!$D$2:$D$59,"ฝ่ายการพยาบาล"),"")</f>
        <v>100</v>
      </c>
      <c r="J21" s="54">
        <f>IFERROR(100*COUNTIFS(Raw_Data!$X$2:$X$59,"&gt;=4",Raw_Data!$X$2:$X$59,"&lt;=5",Raw_Data!$A$2:$A$59,"Yes",Raw_Data!$D$2:$D$59,"โภชนาการ")/COUNTIFS(Raw_Data!$X$2:$X$59,"&gt;=1",Raw_Data!$X$2:$X$59,"&lt;=5",Raw_Data!$A$2:$A$59,"Yes",Raw_Data!$D$2:$D$59,"โภชนาการ"),"")</f>
        <v>100</v>
      </c>
      <c r="K21" s="54">
        <f>IFERROR(100*COUNTIFS(Raw_Data!$X$2:$X$59,"&gt;=4",Raw_Data!$X$2:$X$59,"&lt;=5",Raw_Data!$A$2:$A$59,"Yes",Raw_Data!$D$2:$D$59,"ยานพาหนะ")/COUNTIFS(Raw_Data!$X$2:$X$59,"&gt;=1",Raw_Data!$X$2:$X$59,"&lt;=5",Raw_Data!$A$2:$A$59,"Yes",Raw_Data!$D$2:$D$59,"ยานพาหนะ"),"")</f>
        <v>100</v>
      </c>
      <c r="L21" s="54">
        <f>IFERROR(100*COUNTIFS(Raw_Data!$X$2:$X$59,"&gt;=4",Raw_Data!$X$2:$X$59,"&lt;=5",Raw_Data!$A$2:$A$59,"Yes",Raw_Data!$D$2:$D$59,"สื่อสารการตลาด")/COUNTIFS(Raw_Data!$X$2:$X$59,"&gt;=1",Raw_Data!$X$2:$X$59,"&lt;=5",Raw_Data!$A$2:$A$59,"Yes",Raw_Data!$D$2:$D$59,"สื่อสารการตลาด"),"")</f>
        <v>0</v>
      </c>
      <c r="M21" s="54">
        <f>IFERROR(100*COUNTIFS(Raw_Data!$X$2:$X$59,"&gt;=4",Raw_Data!$X$2:$X$59,"&lt;=5",Raw_Data!$A$2:$A$59,"Yes",Raw_Data!$D$2:$D$59,"ห้องยา")/COUNTIFS(Raw_Data!$X$2:$X$59,"&gt;=1",Raw_Data!$X$2:$X$59,"&lt;=5",Raw_Data!$A$2:$A$59,"Yes",Raw_Data!$D$2:$D$59,"ห้องยา"),"")</f>
        <v>66.666666666666671</v>
      </c>
      <c r="N21" s="54">
        <f>IFERROR(100*COUNTIFS(Raw_Data!$X$2:$X$59,"&gt;=4",Raw_Data!$X$2:$X$59,"&lt;=5",Raw_Data!$A$2:$A$59,"Yes",Raw_Data!$D$2:$D$59,"ห้องแลป")/COUNTIFS(Raw_Data!$X$2:$X$59,"&gt;=1",Raw_Data!$X$2:$X$59,"&lt;=5",Raw_Data!$A$2:$A$59,"Yes",Raw_Data!$D$2:$D$59,"ห้องแลป"),"")</f>
        <v>0</v>
      </c>
      <c r="O21" s="54">
        <f>IFERROR(100*COUNTIFS(Raw_Data!$X$2:$X$59,"&gt;=4",Raw_Data!$X$2:$X$59,"&lt;=5",Raw_Data!$A$2:$A$59,"Yes",Raw_Data!$D$2:$D$59,"ห้องเอ็กซเรย์")/COUNTIFS(Raw_Data!$X$2:$X$59,"&gt;=1",Raw_Data!$X$2:$X$59,"&lt;=5",Raw_Data!$A$2:$A$59,"Yes",Raw_Data!$D$2:$D$59,"ห้องเอ็กซเรย์"),"")</f>
        <v>66.666666666666671</v>
      </c>
      <c r="P21" s="54">
        <f>IFERROR(100*COUNTIFS(Raw_Data!$X$2:$X$59,"&gt;=4",Raw_Data!$X$2:$X$59,"&lt;=5",Raw_Data!$A$2:$A$59,"Yes",Raw_Data!$D$2:$D$59,"ERและเปล")/COUNTIFS(Raw_Data!$X$2:$X$59,"&gt;=1",Raw_Data!$X$2:$X$59,"&lt;=5",Raw_Data!$A$2:$A$59,"Yes",Raw_Data!$D$2:$D$59,"ERและเปล"),"")</f>
        <v>36.363636363636367</v>
      </c>
      <c r="Q21" s="54">
        <f>IFERROR(100*COUNTIFS(Raw_Data!$X$2:$X$59,"&gt;=4",Raw_Data!$X$2:$X$59,"&lt;=5",Raw_Data!$A$2:$A$59,"Yes",Raw_Data!$D$2:$D$59,"HR")/COUNTIFS(Raw_Data!$X$2:$X$59,"&gt;=1",Raw_Data!$X$2:$X$59,"&lt;=5",Raw_Data!$A$2:$A$59,"Yes",Raw_Data!$D$2:$D$59,"HR"),"")</f>
        <v>100</v>
      </c>
      <c r="R21" s="54">
        <f>IFERROR(100*COUNTIFS(Raw_Data!$X$2:$X$59,"&gt;=4",Raw_Data!$X$2:$X$59,"&lt;=5",Raw_Data!$A$2:$A$59,"Yes",Raw_Data!$D$2:$D$59,"ICU")/COUNTIFS(Raw_Data!$X$2:$X$59,"&gt;=1",Raw_Data!$X$2:$X$59,"&lt;=5",Raw_Data!$A$2:$A$59,"Yes",Raw_Data!$D$2:$D$59,"ICU"),"")</f>
        <v>25</v>
      </c>
      <c r="S21" s="54">
        <f>IFERROR(100*COUNTIFS(Raw_Data!$X$2:$X$59,"&gt;=4",Raw_Data!$X$2:$X$59,"&lt;=5",Raw_Data!$A$2:$A$59,"Yes",Raw_Data!$D$2:$D$59,"IPD")/COUNTIFS(Raw_Data!$X$2:$X$59,"&gt;=1",Raw_Data!$X$2:$X$59,"&lt;=5",Raw_Data!$A$2:$A$59,"Yes",Raw_Data!$D$2:$D$59,"IPD"),"")</f>
        <v>66.666666666666671</v>
      </c>
      <c r="T21" s="54">
        <f>IFERROR(100*COUNTIFS(Raw_Data!$X$2:$X$59,"&gt;=4",Raw_Data!$X$2:$X$59,"&lt;=5",Raw_Data!$A$2:$A$59,"Yes",Raw_Data!$D$2:$D$59,"IT")/COUNTIFS(Raw_Data!$X$2:$X$59,"&gt;=1",Raw_Data!$X$2:$X$59,"&lt;=5",Raw_Data!$A$2:$A$59,"Yes",Raw_Data!$D$2:$D$59,"IT"),"")</f>
        <v>50</v>
      </c>
      <c r="U21" s="54">
        <f>IFERROR(100*COUNTIFS(Raw_Data!$X$2:$X$59,"&gt;=4",Raw_Data!$X$2:$X$59,"&lt;=5",Raw_Data!$A$2:$A$59,"Yes",Raw_Data!$D$2:$D$59,"OR")/COUNTIFS(Raw_Data!$X$2:$X$59,"&gt;=1",Raw_Data!$X$2:$X$59,"&lt;=5",Raw_Data!$A$2:$A$59,"Yes",Raw_Data!$D$2:$D$59,"OR"),"")</f>
        <v>75</v>
      </c>
      <c r="V21" s="54">
        <f>IFERROR(100*COUNTIFS(Raw_Data!$X$2:$X$59,"&gt;=4",Raw_Data!$X$2:$X$59,"&lt;=5",Raw_Data!$A$2:$A$59,"Yes",Raw_Data!$D$2:$D$59,"IPD",Raw_Data!$E$2:$E$59,"ผู้บริหาร")/COUNTIFS(Raw_Data!$X$2:$X$59,"&gt;=1",Raw_Data!$X$2:$X$59,"&lt;=5",Raw_Data!$A$2:$A$59,"Yes",Raw_Data!$D$2:$D$59,"IPD",Raw_Data!$E$2:$E$59,"ผู้บริหาร"),"")</f>
        <v>100</v>
      </c>
      <c r="W21" s="54">
        <f>IFERROR(100*COUNTIFS(Raw_Data!$X$2:$X$59,"&gt;=4",Raw_Data!$X$2:$X$59,"&lt;=5",Raw_Data!$A$2:$A$59,"Yes",Raw_Data!$D$2:$D$59,"ฝ่ายการพยาบาล",Raw_Data!$E$2:$E$59,"สายวิชาชีพสาธารณสุข")/COUNTIFS(Raw_Data!$X$2:$X$59,"&gt;=1",Raw_Data!$X$2:$X$59,"&lt;=5",Raw_Data!$A$2:$A$59,"Yes",Raw_Data!$D$2:$D$59,"ฝ่ายการพยาบาล",Raw_Data!$E$2:$E$59,"สายวิชาชีพสาธารณสุข"),"")</f>
        <v>100</v>
      </c>
      <c r="X21" s="54">
        <f>IFERROR(100*COUNTIFS(Raw_Data!$X$2:$X$59,"&gt;=4",Raw_Data!$X$2:$X$59,"&lt;=5",Raw_Data!$A$2:$A$59,"Yes",Raw_Data!$D$2:$D$59,"ERและเปล",Raw_Data!$E$2:$E$59,"สายวิชาชีพสาธารณสุข")/COUNTIFS(Raw_Data!$X$2:$X$59,"&gt;=1",Raw_Data!$X$2:$X$59,"&lt;=5",Raw_Data!$A$2:$A$59,"Yes",Raw_Data!$D$2:$D$59,"ERและเปล",Raw_Data!$E$2:$E$59,"สายวิชาชีพสาธารณสุข"),"")</f>
        <v>42.857142857142854</v>
      </c>
      <c r="Y21" s="54">
        <f>IFERROR(100*COUNTIFS(Raw_Data!$X$2:$X$59,"&gt;=4",Raw_Data!$X$2:$X$59,"&lt;=5",Raw_Data!$A$2:$A$59,"Yes",Raw_Data!$D$2:$D$59,"ICU",Raw_Data!$E$2:$E$59,"สายวิชาชีพสาธารณสุข")/COUNTIFS(Raw_Data!$X$2:$X$59,"&gt;=1",Raw_Data!$X$2:$X$59,"&lt;=5",Raw_Data!$A$2:$A$59,"Yes",Raw_Data!$D$2:$D$59,"ICU",Raw_Data!$E$2:$E$59,"สายวิชาชีพสาธารณสุข"),"")</f>
        <v>0</v>
      </c>
      <c r="Z21" s="54">
        <f>IFERROR(100*COUNTIFS(Raw_Data!$X$2:$X$59,"&gt;=4",Raw_Data!$X$2:$X$59,"&lt;=5",Raw_Data!$A$2:$A$59,"Yes",Raw_Data!$D$2:$D$59,"IPD",Raw_Data!$E$2:$E$59,"สายวิชาชีพสาธารณสุข")/COUNTIFS(Raw_Data!$X$2:$X$59,"&gt;=1",Raw_Data!$X$2:$X$59,"&lt;=5",Raw_Data!$A$2:$A$59,"Yes",Raw_Data!$D$2:$D$59,"IPD",Raw_Data!$E$2:$E$59,"สายวิชาชีพสาธารณสุข"),"")</f>
        <v>50</v>
      </c>
      <c r="AA21" s="54">
        <f>IFERROR(100*COUNTIFS(Raw_Data!$X$2:$X$59,"&gt;=4",Raw_Data!$X$2:$X$59,"&lt;=5",Raw_Data!$A$2:$A$59,"Yes",Raw_Data!$D$2:$D$59,"OR",Raw_Data!$E$2:$E$59,"สายวิชาชีพสาธารณสุข")/COUNTIFS(Raw_Data!$X$2:$X$59,"&gt;=1",Raw_Data!$X$2:$X$59,"&lt;=5",Raw_Data!$A$2:$A$59,"Yes",Raw_Data!$D$2:$D$59,"OR",Raw_Data!$E$2:$E$59,"สายวิชาชีพสาธารณสุข"),"")</f>
        <v>75</v>
      </c>
      <c r="AB21" s="54">
        <f>IFERROR(100*COUNTIFS(Raw_Data!$X$2:$X$59,"&gt;=4",Raw_Data!$X$2:$X$59,"&lt;=5",Raw_Data!$A$2:$A$59,"Yes",Raw_Data!$D$2:$D$59,"การเงิน",Raw_Data!$E$2:$E$59,"สายสนับสนุนทั่วไป")/COUNTIFS(Raw_Data!$X$2:$X$59,"&gt;=1",Raw_Data!$X$2:$X$59,"&lt;=5",Raw_Data!$A$2:$A$59,"Yes",Raw_Data!$D$2:$D$59,"การเงิน",Raw_Data!$E$2:$E$59,"สายสนับสนุนทั่วไป"),"")</f>
        <v>0</v>
      </c>
      <c r="AC21" s="54">
        <f>IFERROR(100*COUNTIFS(Raw_Data!$X$2:$X$59,"&gt;=4",Raw_Data!$X$2:$X$59,"&lt;=5",Raw_Data!$A$2:$A$59,"Yes",Raw_Data!$D$2:$D$59,"เคหรักษ์",Raw_Data!$E$2:$E$59,"สายสนับสนุนทั่วไป")/COUNTIFS(Raw_Data!$X$2:$X$59,"&gt;=1",Raw_Data!$X$2:$X$59,"&lt;=5",Raw_Data!$A$2:$A$59,"Yes",Raw_Data!$D$2:$D$59,"เคหรักษ์",Raw_Data!$E$2:$E$59,"สายสนับสนุนทั่วไป"),"")</f>
        <v>50</v>
      </c>
      <c r="AD21" s="54">
        <f>IFERROR(100*COUNTIFS(Raw_Data!$X$2:$X$59,"&gt;=4",Raw_Data!$X$2:$X$59,"&lt;=5",Raw_Data!$A$2:$A$59,"Yes",Raw_Data!$D$2:$D$59,"จ่ายกลาง",Raw_Data!$E$2:$E$59,"สายสนับสนุนทั่วไป")/COUNTIFS(Raw_Data!$X$2:$X$59,"&gt;=1",Raw_Data!$X$2:$X$59,"&lt;=5",Raw_Data!$A$2:$A$59,"Yes",Raw_Data!$D$2:$D$59,"จ่ายกลาง",Raw_Data!$E$2:$E$59,"สายสนับสนุนทั่วไป"),"")</f>
        <v>100</v>
      </c>
      <c r="AE21" s="54">
        <f>IFERROR(100*COUNTIFS(Raw_Data!$X$2:$X$59,"&gt;=4",Raw_Data!$X$2:$X$59,"&lt;=5",Raw_Data!$A$2:$A$59,"Yes",Raw_Data!$D$2:$D$59,"ช่างและสนาม",Raw_Data!$E$2:$E$59,"สายสนับสนุนทั่วไป")/COUNTIFS(Raw_Data!$X$2:$X$59,"&gt;=1",Raw_Data!$X$2:$X$59,"&lt;=5",Raw_Data!$A$2:$A$59,"Yes",Raw_Data!$D$2:$D$59,"ช่างและสนาม",Raw_Data!$E$2:$E$59,"สายสนับสนุนทั่วไป"),"")</f>
        <v>25</v>
      </c>
      <c r="AF21" s="54">
        <f>IFERROR(100*COUNTIFS(Raw_Data!$X$2:$X$59,"&gt;=4",Raw_Data!$X$2:$X$59,"&lt;=5",Raw_Data!$A$2:$A$59,"Yes",Raw_Data!$D$2:$D$59,"ผู้ป่วยสัมพันธ์",Raw_Data!$E$2:$E$59,"สายสนับสนุนทั่วไป")/COUNTIFS(Raw_Data!$X$2:$X$59,"&gt;=1",Raw_Data!$X$2:$X$59,"&lt;=5",Raw_Data!$A$2:$A$59,"Yes",Raw_Data!$D$2:$D$59,"ผู้ป่วยสัมพันธ์",Raw_Data!$E$2:$E$59,"สายสนับสนุนทั่วไป"),"")</f>
        <v>100</v>
      </c>
      <c r="AG21" s="54">
        <f>IFERROR(100*COUNTIFS(Raw_Data!$X$2:$X$59,"&gt;=4",Raw_Data!$X$2:$X$59,"&lt;=5",Raw_Data!$A$2:$A$59,"Yes",Raw_Data!$D$2:$D$59,"ยานพาหนะ",Raw_Data!$E$2:$E$59,"สายสนับสนุนทั่วไป")/COUNTIFS(Raw_Data!$X$2:$X$59,"&gt;=1",Raw_Data!$X$2:$X$59,"&lt;=5",Raw_Data!$A$2:$A$59,"Yes",Raw_Data!$D$2:$D$59,"ยานพาหนะ",Raw_Data!$E$2:$E$59,"สายสนับสนุนทั่วไป"),"")</f>
        <v>100</v>
      </c>
      <c r="AH21" s="54">
        <f>IFERROR(100*COUNTIFS(Raw_Data!$X$2:$X$59,"&gt;=4",Raw_Data!$X$2:$X$59,"&lt;=5",Raw_Data!$A$2:$A$59,"Yes",Raw_Data!$D$2:$D$59,"สื่อสารการตลาด",Raw_Data!$E$2:$E$59,"สายสนับสนุนทั่วไป")/COUNTIFS(Raw_Data!$X$2:$X$59,"&gt;=1",Raw_Data!$X$2:$X$59,"&lt;=5",Raw_Data!$A$2:$A$59,"Yes",Raw_Data!$D$2:$D$59,"สื่อสารการตลาด",Raw_Data!$E$2:$E$59,"สายสนับสนุนทั่วไป"),"")</f>
        <v>0</v>
      </c>
      <c r="AI21" s="54">
        <f>IFERROR(100*COUNTIFS(Raw_Data!$X$2:$X$59,"&gt;=4",Raw_Data!$X$2:$X$59,"&lt;=5",Raw_Data!$A$2:$A$59,"Yes",Raw_Data!$D$2:$D$59,"ERและเปล",Raw_Data!$E$2:$E$59,"สายสนับสนุนทั่วไป")/COUNTIFS(Raw_Data!$X$2:$X$59,"&gt;=1",Raw_Data!$X$2:$X$59,"&lt;=5",Raw_Data!$A$2:$A$59,"Yes",Raw_Data!$D$2:$D$59,"ERและเปล",Raw_Data!$E$2:$E$59,"สายสนับสนุนทั่วไป"),"")</f>
        <v>33.333333333333336</v>
      </c>
      <c r="AJ21" s="54">
        <f>IFERROR(100*COUNTIFS(Raw_Data!$X$2:$X$59,"&gt;=4",Raw_Data!$X$2:$X$59,"&lt;=5",Raw_Data!$A$2:$A$59,"Yes",Raw_Data!$D$2:$D$59,"HR",Raw_Data!$E$2:$E$59,"สายสนับสนุนทั่วไป")/COUNTIFS(Raw_Data!$X$2:$X$59,"&gt;=1",Raw_Data!$X$2:$X$59,"&lt;=5",Raw_Data!$A$2:$A$59,"Yes",Raw_Data!$D$2:$D$59,"HR",Raw_Data!$E$2:$E$59,"สายสนับสนุนทั่วไป"),"")</f>
        <v>100</v>
      </c>
      <c r="AK21" s="54">
        <f>IFERROR(100*COUNTIFS(Raw_Data!$X$2:$X$59,"&gt;=4",Raw_Data!$X$2:$X$59,"&lt;=5",Raw_Data!$A$2:$A$59,"Yes",Raw_Data!$D$2:$D$59,"ICU",Raw_Data!$E$2:$E$59,"สายสนับสนุนทั่วไป")/COUNTIFS(Raw_Data!$X$2:$X$59,"&gt;=1",Raw_Data!$X$2:$X$59,"&lt;=5",Raw_Data!$A$2:$A$59,"Yes",Raw_Data!$D$2:$D$59,"ICU",Raw_Data!$E$2:$E$59,"สายสนับสนุนทั่วไป"),"")</f>
        <v>0</v>
      </c>
      <c r="AL21" s="54">
        <f>IFERROR(100*COUNTIFS(Raw_Data!$X$2:$X$59,"&gt;=4",Raw_Data!$X$2:$X$59,"&lt;=5",Raw_Data!$A$2:$A$59,"Yes",Raw_Data!$D$2:$D$59,"IPD",Raw_Data!$E$2:$E$59,"สายสนับสนุนทั่วไป")/COUNTIFS(Raw_Data!$X$2:$X$59,"&gt;=1",Raw_Data!$X$2:$X$59,"&lt;=5",Raw_Data!$A$2:$A$59,"Yes",Raw_Data!$D$2:$D$59,"IPD",Raw_Data!$E$2:$E$59,"สายสนับสนุนทั่วไป"),"")</f>
        <v>0</v>
      </c>
      <c r="AM21" s="54">
        <f>IFERROR(100*COUNTIFS(Raw_Data!$X$2:$X$59,"&gt;=4",Raw_Data!$X$2:$X$59,"&lt;=5",Raw_Data!$A$2:$A$59,"Yes",Raw_Data!$D$2:$D$59,"IT",Raw_Data!$E$2:$E$59,"สายสนับสนุนทั่วไป")/COUNTIFS(Raw_Data!$X$2:$X$59,"&gt;=1",Raw_Data!$X$2:$X$59,"&lt;=5",Raw_Data!$A$2:$A$59,"Yes",Raw_Data!$D$2:$D$59,"IT",Raw_Data!$E$2:$E$59,"สายสนับสนุนทั่วไป"),"")</f>
        <v>0</v>
      </c>
      <c r="AN21" s="54">
        <f>IFERROR(100*COUNTIFS(Raw_Data!$X$2:$X$59,"&gt;=4",Raw_Data!$X$2:$X$59,"&lt;=5",Raw_Data!$A$2:$A$59,"Yes",Raw_Data!$D$2:$D$59,"ผู้ป่วยสัมพันธ์",Raw_Data!$E$2:$E$59,"สายสนับสนุนทางการแพทย์")/COUNTIFS(Raw_Data!$X$2:$X$59,"&gt;=1",Raw_Data!$X$2:$X$59,"&lt;=5",Raw_Data!$A$2:$A$59,"Yes",Raw_Data!$D$2:$D$59,"ผู้ป่วยสัมพันธ์",Raw_Data!$E$2:$E$59,"สายสนับสนุนทางการแพทย์"),"")</f>
        <v>100</v>
      </c>
      <c r="AO21" s="54">
        <f>IFERROR(100*COUNTIFS(Raw_Data!$X$2:$X$59,"&gt;=4",Raw_Data!$X$2:$X$59,"&lt;=5",Raw_Data!$A$2:$A$59,"Yes",Raw_Data!$D$2:$D$59,"ฝ่ายการพยาบาล",Raw_Data!$E$2:$E$59,"สายสนับสนุนทางการแพทย์")/COUNTIFS(Raw_Data!$X$2:$X$59,"&gt;=1",Raw_Data!$X$2:$X$59,"&lt;=5",Raw_Data!$A$2:$A$59,"Yes",Raw_Data!$D$2:$D$59,"ฝ่ายการพยาบาล",Raw_Data!$E$2:$E$59,"สายสนับสนุนทางการแพทย์"),"")</f>
        <v>100</v>
      </c>
      <c r="AP21" s="54">
        <f>IFERROR(100*COUNTIFS(Raw_Data!$X$2:$X$59,"&gt;=4",Raw_Data!$X$2:$X$59,"&lt;=5",Raw_Data!$A$2:$A$59,"Yes",Raw_Data!$D$2:$D$59,"โภชนาการ",Raw_Data!$E$2:$E$59,"สายสนับสนุนทางการแพทย์")/COUNTIFS(Raw_Data!$X$2:$X$59,"&gt;=1",Raw_Data!$X$2:$X$59,"&lt;=5",Raw_Data!$A$2:$A$59,"Yes",Raw_Data!$D$2:$D$59,"โภชนาการ",Raw_Data!$E$2:$E$59,"สายสนับสนุนทางการแพทย์"),"")</f>
        <v>100</v>
      </c>
      <c r="AQ21" s="54">
        <f>IFERROR(100*COUNTIFS(Raw_Data!$X$2:$X$59,"&gt;=4",Raw_Data!$X$2:$X$59,"&lt;=5",Raw_Data!$A$2:$A$59,"Yes",Raw_Data!$D$2:$D$59,"ห้องยา",Raw_Data!$E$2:$E$59,"สายสนับสนุนทางการแพทย์")/COUNTIFS(Raw_Data!$X$2:$X$59,"&gt;=1",Raw_Data!$X$2:$X$59,"&lt;=5",Raw_Data!$A$2:$A$59,"Yes",Raw_Data!$D$2:$D$59,"ห้องยา",Raw_Data!$E$2:$E$59,"สายสนับสนุนทางการแพทย์"),"")</f>
        <v>66.666666666666671</v>
      </c>
      <c r="AR21" s="54">
        <f>IFERROR(100*COUNTIFS(Raw_Data!$X$2:$X$59,"&gt;=4",Raw_Data!$X$2:$X$59,"&lt;=5",Raw_Data!$A$2:$A$59,"Yes",Raw_Data!$D$2:$D$59,"ห้องแลป",Raw_Data!$E$2:$E$59,"สายสนับสนุนทางการแพทย์")/COUNTIFS(Raw_Data!$X$2:$X$59,"&gt;=1",Raw_Data!$X$2:$X$59,"&lt;=5",Raw_Data!$A$2:$A$59,"Yes",Raw_Data!$D$2:$D$59,"ห้องแลป",Raw_Data!$E$2:$E$59,"สายสนับสนุนทางการแพทย์"),"")</f>
        <v>0</v>
      </c>
      <c r="AS21" s="54">
        <f>IFERROR(100*COUNTIFS(Raw_Data!$X$2:$X$59,"&gt;=4",Raw_Data!$X$2:$X$59,"&lt;=5",Raw_Data!$A$2:$A$59,"Yes",Raw_Data!$D$2:$D$59,"ห้องเอ็กซเรย์",Raw_Data!$E$2:$E$59,"สายสนับสนุนทางการแพทย์")/COUNTIFS(Raw_Data!$X$2:$X$59,"&gt;=1",Raw_Data!$X$2:$X$59,"&lt;=5",Raw_Data!$A$2:$A$59,"Yes",Raw_Data!$D$2:$D$59,"ห้องเอ็กซเรย์",Raw_Data!$E$2:$E$59,"สายสนับสนุนทางการแพทย์"),"")</f>
        <v>66.666666666666671</v>
      </c>
      <c r="AT21" s="54">
        <f>IFERROR(100*COUNTIFS(Raw_Data!$X$2:$X$59,"&gt;=4",Raw_Data!$X$2:$X$59,"&lt;=5",Raw_Data!$A$2:$A$59,"Yes",Raw_Data!$D$2:$D$59,"ERและเปล",Raw_Data!$E$2:$E$59,"สายสนับสนุนทางการแพทย์")/COUNTIFS(Raw_Data!$X$2:$X$59,"&gt;=1",Raw_Data!$X$2:$X$59,"&lt;=5",Raw_Data!$A$2:$A$59,"Yes",Raw_Data!$D$2:$D$59,"ERและเปล",Raw_Data!$E$2:$E$59,"สายสนับสนุนทางการแพทย์"),"")</f>
        <v>0</v>
      </c>
      <c r="AU21" s="54">
        <f>IFERROR(100*COUNTIFS(Raw_Data!$X$2:$X$59,"&gt;=4",Raw_Data!$X$2:$X$59,"&lt;=5",Raw_Data!$A$2:$A$59,"Yes",Raw_Data!$D$2:$D$59,"ICU",Raw_Data!$E$2:$E$59,"สายสนับสนุนทางการแพทย์")/COUNTIFS(Raw_Data!$X$2:$X$59,"&gt;=1",Raw_Data!$X$2:$X$59,"&lt;=5",Raw_Data!$A$2:$A$59,"Yes",Raw_Data!$D$2:$D$59,"ICU",Raw_Data!$E$2:$E$59,"สายสนับสนุนทางการแพทย์"),"")</f>
        <v>100</v>
      </c>
      <c r="AV21" s="54">
        <f>IFERROR(100*COUNTIFS(Raw_Data!$X$2:$X$59,"&gt;=4",Raw_Data!$X$2:$X$59,"&lt;=5",Raw_Data!$A$2:$A$59,"Yes",Raw_Data!$D$2:$D$59,"IPD",Raw_Data!$E$2:$E$59,"สายสนับสนุนทางการแพทย์")/COUNTIFS(Raw_Data!$X$2:$X$59,"&gt;=1",Raw_Data!$X$2:$X$59,"&lt;=5",Raw_Data!$A$2:$A$59,"Yes",Raw_Data!$D$2:$D$59,"IPD",Raw_Data!$E$2:$E$59,"สายสนับสนุนทางการแพทย์"),"")</f>
        <v>100</v>
      </c>
      <c r="AW21" s="54">
        <f>IFERROR(100*COUNTIFS(Raw_Data!$X$2:$X$59,"&gt;=4",Raw_Data!$X$2:$X$59,"&lt;=5",Raw_Data!$A$2:$A$59,"Yes",Raw_Data!$D$2:$D$59,"IT",Raw_Data!$E$2:$E$59,"สายสนับสนุนทางการแพทย์")/COUNTIFS(Raw_Data!$X$2:$X$59,"&gt;=1",Raw_Data!$X$2:$X$59,"&lt;=5",Raw_Data!$A$2:$A$59,"Yes",Raw_Data!$D$2:$D$59,"IT",Raw_Data!$E$2:$E$59,"สายสนับสนุนทางการแพทย์"),"")</f>
        <v>100</v>
      </c>
    </row>
    <row r="22" spans="1:49" ht="42" customHeight="1">
      <c r="A22" s="50"/>
      <c r="B22" s="51" t="s">
        <v>49</v>
      </c>
      <c r="C22" s="54">
        <f>IFERROR(100*COUNTIFS(Raw_Data!$Y$2:$Y$59,"&gt;=4",Raw_Data!$Y$2:$Y$59,"&lt;=5",Raw_Data!$A$2:$A$59,"Yes")/COUNTIFS(Raw_Data!$Y$2:$Y$59,"&gt;=1",Raw_Data!$Y$2:$Y$59,"&lt;=5",Raw_Data!$A$2:$A$59,"Yes"),"")</f>
        <v>72.41379310344827</v>
      </c>
      <c r="D22" s="54">
        <f>IFERROR(100*COUNTIFS(Raw_Data!$Y$2:$Y$59,"&gt;=4",Raw_Data!$Y$2:$Y$59,"&lt;=5",Raw_Data!$A$2:$A$59,"Yes",Raw_Data!$D$2:$D$59,"การเงิน")/COUNTIFS(Raw_Data!$Y$2:$Y$59,"&gt;=1",Raw_Data!$Y$2:$Y$59,"&lt;=5",Raw_Data!$A$2:$A$59,"Yes",Raw_Data!$D$2:$D$59,"การเงิน"),"")</f>
        <v>66.666666666666671</v>
      </c>
      <c r="E22" s="54">
        <f>IFERROR(100*COUNTIFS(Raw_Data!$Y$2:$Y$59,"&gt;=4",Raw_Data!$Y$2:$Y$59,"&lt;=5",Raw_Data!$A$2:$A$59,"Yes",Raw_Data!$D$2:$D$59,"เคหรักษ์")/COUNTIFS(Raw_Data!$Y$2:$Y$59,"&gt;=1",Raw_Data!$Y$2:$Y$59,"&lt;=5",Raw_Data!$A$2:$A$59,"Yes",Raw_Data!$D$2:$D$59,"เคหรักษ์"),"")</f>
        <v>50</v>
      </c>
      <c r="F22" s="54">
        <f>IFERROR(100*COUNTIFS(Raw_Data!$Y$2:$Y$59,"&gt;=4",Raw_Data!$Y$2:$Y$59,"&lt;=5",Raw_Data!$A$2:$A$59,"Yes",Raw_Data!$D$2:$D$59,"จ่ายกลาง")/COUNTIFS(Raw_Data!$Y$2:$Y$59,"&gt;=1",Raw_Data!$Y$2:$Y$59,"&lt;=5",Raw_Data!$A$2:$A$59,"Yes",Raw_Data!$D$2:$D$59,"จ่ายกลาง"),"")</f>
        <v>100</v>
      </c>
      <c r="G22" s="54">
        <f>IFERROR(100*COUNTIFS(Raw_Data!$Y$2:$Y$59,"&gt;=4",Raw_Data!$Y$2:$Y$59,"&lt;=5",Raw_Data!$A$2:$A$59,"Yes",Raw_Data!$D$2:$D$59,"ช่างและสนาม")/COUNTIFS(Raw_Data!$Y$2:$Y$59,"&gt;=1",Raw_Data!$Y$2:$Y$59,"&lt;=5",Raw_Data!$A$2:$A$59,"Yes",Raw_Data!$D$2:$D$59,"ช่างและสนาม"),"")</f>
        <v>50</v>
      </c>
      <c r="H22" s="54">
        <f>IFERROR(100*COUNTIFS(Raw_Data!$Y$2:$Y$59,"&gt;=4",Raw_Data!$Y$2:$Y$59,"&lt;=5",Raw_Data!$A$2:$A$59,"Yes",Raw_Data!$D$2:$D$59,"ผู้ป่วยสัมพันธ์")/COUNTIFS(Raw_Data!$Y$2:$Y$59,"&gt;=1",Raw_Data!$Y$2:$Y$59,"&lt;=5",Raw_Data!$A$2:$A$59,"Yes",Raw_Data!$D$2:$D$59,"ผู้ป่วยสัมพันธ์"),"")</f>
        <v>75</v>
      </c>
      <c r="I22" s="54">
        <f>IFERROR(100*COUNTIFS(Raw_Data!$Y$2:$Y$59,"&gt;=4",Raw_Data!$Y$2:$Y$59,"&lt;=5",Raw_Data!$A$2:$A$59,"Yes",Raw_Data!$D$2:$D$59,"ฝ่ายการพยาบาล")/COUNTIFS(Raw_Data!$Y$2:$Y$59,"&gt;=1",Raw_Data!$Y$2:$Y$59,"&lt;=5",Raw_Data!$A$2:$A$59,"Yes",Raw_Data!$D$2:$D$59,"ฝ่ายการพยาบาล"),"")</f>
        <v>100</v>
      </c>
      <c r="J22" s="54">
        <f>IFERROR(100*COUNTIFS(Raw_Data!$Y$2:$Y$59,"&gt;=4",Raw_Data!$Y$2:$Y$59,"&lt;=5",Raw_Data!$A$2:$A$59,"Yes",Raw_Data!$D$2:$D$59,"โภชนาการ")/COUNTIFS(Raw_Data!$Y$2:$Y$59,"&gt;=1",Raw_Data!$Y$2:$Y$59,"&lt;=5",Raw_Data!$A$2:$A$59,"Yes",Raw_Data!$D$2:$D$59,"โภชนาการ"),"")</f>
        <v>100</v>
      </c>
      <c r="K22" s="54">
        <f>IFERROR(100*COUNTIFS(Raw_Data!$Y$2:$Y$59,"&gt;=4",Raw_Data!$Y$2:$Y$59,"&lt;=5",Raw_Data!$A$2:$A$59,"Yes",Raw_Data!$D$2:$D$59,"ยานพาหนะ")/COUNTIFS(Raw_Data!$Y$2:$Y$59,"&gt;=1",Raw_Data!$Y$2:$Y$59,"&lt;=5",Raw_Data!$A$2:$A$59,"Yes",Raw_Data!$D$2:$D$59,"ยานพาหนะ"),"")</f>
        <v>100</v>
      </c>
      <c r="L22" s="54">
        <f>IFERROR(100*COUNTIFS(Raw_Data!$Y$2:$Y$59,"&gt;=4",Raw_Data!$Y$2:$Y$59,"&lt;=5",Raw_Data!$A$2:$A$59,"Yes",Raw_Data!$D$2:$D$59,"สื่อสารการตลาด")/COUNTIFS(Raw_Data!$Y$2:$Y$59,"&gt;=1",Raw_Data!$Y$2:$Y$59,"&lt;=5",Raw_Data!$A$2:$A$59,"Yes",Raw_Data!$D$2:$D$59,"สื่อสารการตลาด"),"")</f>
        <v>100</v>
      </c>
      <c r="M22" s="54">
        <f>IFERROR(100*COUNTIFS(Raw_Data!$Y$2:$Y$59,"&gt;=4",Raw_Data!$Y$2:$Y$59,"&lt;=5",Raw_Data!$A$2:$A$59,"Yes",Raw_Data!$D$2:$D$59,"ห้องยา")/COUNTIFS(Raw_Data!$Y$2:$Y$59,"&gt;=1",Raw_Data!$Y$2:$Y$59,"&lt;=5",Raw_Data!$A$2:$A$59,"Yes",Raw_Data!$D$2:$D$59,"ห้องยา"),"")</f>
        <v>100</v>
      </c>
      <c r="N22" s="54">
        <f>IFERROR(100*COUNTIFS(Raw_Data!$Y$2:$Y$59,"&gt;=4",Raw_Data!$Y$2:$Y$59,"&lt;=5",Raw_Data!$A$2:$A$59,"Yes",Raw_Data!$D$2:$D$59,"ห้องแลป")/COUNTIFS(Raw_Data!$Y$2:$Y$59,"&gt;=1",Raw_Data!$Y$2:$Y$59,"&lt;=5",Raw_Data!$A$2:$A$59,"Yes",Raw_Data!$D$2:$D$59,"ห้องแลป"),"")</f>
        <v>0</v>
      </c>
      <c r="O22" s="54">
        <f>IFERROR(100*COUNTIFS(Raw_Data!$Y$2:$Y$59,"&gt;=4",Raw_Data!$Y$2:$Y$59,"&lt;=5",Raw_Data!$A$2:$A$59,"Yes",Raw_Data!$D$2:$D$59,"ห้องเอ็กซเรย์")/COUNTIFS(Raw_Data!$Y$2:$Y$59,"&gt;=1",Raw_Data!$Y$2:$Y$59,"&lt;=5",Raw_Data!$A$2:$A$59,"Yes",Raw_Data!$D$2:$D$59,"ห้องเอ็กซเรย์"),"")</f>
        <v>66.666666666666671</v>
      </c>
      <c r="P22" s="54">
        <f>IFERROR(100*COUNTIFS(Raw_Data!$Y$2:$Y$59,"&gt;=4",Raw_Data!$Y$2:$Y$59,"&lt;=5",Raw_Data!$A$2:$A$59,"Yes",Raw_Data!$D$2:$D$59,"ERและเปล")/COUNTIFS(Raw_Data!$Y$2:$Y$59,"&gt;=1",Raw_Data!$Y$2:$Y$59,"&lt;=5",Raw_Data!$A$2:$A$59,"Yes",Raw_Data!$D$2:$D$59,"ERและเปล"),"")</f>
        <v>36.363636363636367</v>
      </c>
      <c r="Q22" s="54">
        <f>IFERROR(100*COUNTIFS(Raw_Data!$Y$2:$Y$59,"&gt;=4",Raw_Data!$Y$2:$Y$59,"&lt;=5",Raw_Data!$A$2:$A$59,"Yes",Raw_Data!$D$2:$D$59,"HR")/COUNTIFS(Raw_Data!$Y$2:$Y$59,"&gt;=1",Raw_Data!$Y$2:$Y$59,"&lt;=5",Raw_Data!$A$2:$A$59,"Yes",Raw_Data!$D$2:$D$59,"HR"),"")</f>
        <v>100</v>
      </c>
      <c r="R22" s="54">
        <f>IFERROR(100*COUNTIFS(Raw_Data!$Y$2:$Y$59,"&gt;=4",Raw_Data!$Y$2:$Y$59,"&lt;=5",Raw_Data!$A$2:$A$59,"Yes",Raw_Data!$D$2:$D$59,"ICU")/COUNTIFS(Raw_Data!$Y$2:$Y$59,"&gt;=1",Raw_Data!$Y$2:$Y$59,"&lt;=5",Raw_Data!$A$2:$A$59,"Yes",Raw_Data!$D$2:$D$59,"ICU"),"")</f>
        <v>75</v>
      </c>
      <c r="S22" s="54">
        <f>IFERROR(100*COUNTIFS(Raw_Data!$Y$2:$Y$59,"&gt;=4",Raw_Data!$Y$2:$Y$59,"&lt;=5",Raw_Data!$A$2:$A$59,"Yes",Raw_Data!$D$2:$D$59,"IPD")/COUNTIFS(Raw_Data!$Y$2:$Y$59,"&gt;=1",Raw_Data!$Y$2:$Y$59,"&lt;=5",Raw_Data!$A$2:$A$59,"Yes",Raw_Data!$D$2:$D$59,"IPD"),"")</f>
        <v>100</v>
      </c>
      <c r="T22" s="54">
        <f>IFERROR(100*COUNTIFS(Raw_Data!$Y$2:$Y$59,"&gt;=4",Raw_Data!$Y$2:$Y$59,"&lt;=5",Raw_Data!$A$2:$A$59,"Yes",Raw_Data!$D$2:$D$59,"IT")/COUNTIFS(Raw_Data!$Y$2:$Y$59,"&gt;=1",Raw_Data!$Y$2:$Y$59,"&lt;=5",Raw_Data!$A$2:$A$59,"Yes",Raw_Data!$D$2:$D$59,"IT"),"")</f>
        <v>100</v>
      </c>
      <c r="U22" s="54">
        <f>IFERROR(100*COUNTIFS(Raw_Data!$Y$2:$Y$59,"&gt;=4",Raw_Data!$Y$2:$Y$59,"&lt;=5",Raw_Data!$A$2:$A$59,"Yes",Raw_Data!$D$2:$D$59,"OR")/COUNTIFS(Raw_Data!$Y$2:$Y$59,"&gt;=1",Raw_Data!$Y$2:$Y$59,"&lt;=5",Raw_Data!$A$2:$A$59,"Yes",Raw_Data!$D$2:$D$59,"OR"),"")</f>
        <v>100</v>
      </c>
      <c r="V22" s="54">
        <f>IFERROR(100*COUNTIFS(Raw_Data!$Y$2:$Y$59,"&gt;=4",Raw_Data!$Y$2:$Y$59,"&lt;=5",Raw_Data!$A$2:$A$59,"Yes",Raw_Data!$D$2:$D$59,"IPD",Raw_Data!$E$2:$E$59,"ผู้บริหาร")/COUNTIFS(Raw_Data!$Y$2:$Y$59,"&gt;=1",Raw_Data!$Y$2:$Y$59,"&lt;=5",Raw_Data!$A$2:$A$59,"Yes",Raw_Data!$D$2:$D$59,"IPD",Raw_Data!$E$2:$E$59,"ผู้บริหาร"),"")</f>
        <v>100</v>
      </c>
      <c r="W22" s="54">
        <f>IFERROR(100*COUNTIFS(Raw_Data!$Y$2:$Y$59,"&gt;=4",Raw_Data!$Y$2:$Y$59,"&lt;=5",Raw_Data!$A$2:$A$59,"Yes",Raw_Data!$D$2:$D$59,"ฝ่ายการพยาบาล",Raw_Data!$E$2:$E$59,"สายวิชาชีพสาธารณสุข")/COUNTIFS(Raw_Data!$Y$2:$Y$59,"&gt;=1",Raw_Data!$Y$2:$Y$59,"&lt;=5",Raw_Data!$A$2:$A$59,"Yes",Raw_Data!$D$2:$D$59,"ฝ่ายการพยาบาล",Raw_Data!$E$2:$E$59,"สายวิชาชีพสาธารณสุข"),"")</f>
        <v>100</v>
      </c>
      <c r="X22" s="54">
        <f>IFERROR(100*COUNTIFS(Raw_Data!$Y$2:$Y$59,"&gt;=4",Raw_Data!$Y$2:$Y$59,"&lt;=5",Raw_Data!$A$2:$A$59,"Yes",Raw_Data!$D$2:$D$59,"ERและเปล",Raw_Data!$E$2:$E$59,"สายวิชาชีพสาธารณสุข")/COUNTIFS(Raw_Data!$Y$2:$Y$59,"&gt;=1",Raw_Data!$Y$2:$Y$59,"&lt;=5",Raw_Data!$A$2:$A$59,"Yes",Raw_Data!$D$2:$D$59,"ERและเปล",Raw_Data!$E$2:$E$59,"สายวิชาชีพสาธารณสุข"),"")</f>
        <v>28.571428571428573</v>
      </c>
      <c r="Y22" s="54">
        <f>IFERROR(100*COUNTIFS(Raw_Data!$Y$2:$Y$59,"&gt;=4",Raw_Data!$Y$2:$Y$59,"&lt;=5",Raw_Data!$A$2:$A$59,"Yes",Raw_Data!$D$2:$D$59,"ICU",Raw_Data!$E$2:$E$59,"สายวิชาชีพสาธารณสุข")/COUNTIFS(Raw_Data!$Y$2:$Y$59,"&gt;=1",Raw_Data!$Y$2:$Y$59,"&lt;=5",Raw_Data!$A$2:$A$59,"Yes",Raw_Data!$D$2:$D$59,"ICU",Raw_Data!$E$2:$E$59,"สายวิชาชีพสาธารณสุข"),"")</f>
        <v>100</v>
      </c>
      <c r="Z22" s="54">
        <f>IFERROR(100*COUNTIFS(Raw_Data!$Y$2:$Y$59,"&gt;=4",Raw_Data!$Y$2:$Y$59,"&lt;=5",Raw_Data!$A$2:$A$59,"Yes",Raw_Data!$D$2:$D$59,"IPD",Raw_Data!$E$2:$E$59,"สายวิชาชีพสาธารณสุข")/COUNTIFS(Raw_Data!$Y$2:$Y$59,"&gt;=1",Raw_Data!$Y$2:$Y$59,"&lt;=5",Raw_Data!$A$2:$A$59,"Yes",Raw_Data!$D$2:$D$59,"IPD",Raw_Data!$E$2:$E$59,"สายวิชาชีพสาธารณสุข"),"")</f>
        <v>100</v>
      </c>
      <c r="AA22" s="54">
        <f>IFERROR(100*COUNTIFS(Raw_Data!$Y$2:$Y$59,"&gt;=4",Raw_Data!$Y$2:$Y$59,"&lt;=5",Raw_Data!$A$2:$A$59,"Yes",Raw_Data!$D$2:$D$59,"OR",Raw_Data!$E$2:$E$59,"สายวิชาชีพสาธารณสุข")/COUNTIFS(Raw_Data!$Y$2:$Y$59,"&gt;=1",Raw_Data!$Y$2:$Y$59,"&lt;=5",Raw_Data!$A$2:$A$59,"Yes",Raw_Data!$D$2:$D$59,"OR",Raw_Data!$E$2:$E$59,"สายวิชาชีพสาธารณสุข"),"")</f>
        <v>100</v>
      </c>
      <c r="AB22" s="54">
        <f>IFERROR(100*COUNTIFS(Raw_Data!$Y$2:$Y$59,"&gt;=4",Raw_Data!$Y$2:$Y$59,"&lt;=5",Raw_Data!$A$2:$A$59,"Yes",Raw_Data!$D$2:$D$59,"การเงิน",Raw_Data!$E$2:$E$59,"สายสนับสนุนทั่วไป")/COUNTIFS(Raw_Data!$Y$2:$Y$59,"&gt;=1",Raw_Data!$Y$2:$Y$59,"&lt;=5",Raw_Data!$A$2:$A$59,"Yes",Raw_Data!$D$2:$D$59,"การเงิน",Raw_Data!$E$2:$E$59,"สายสนับสนุนทั่วไป"),"")</f>
        <v>66.666666666666671</v>
      </c>
      <c r="AC22" s="54">
        <f>IFERROR(100*COUNTIFS(Raw_Data!$Y$2:$Y$59,"&gt;=4",Raw_Data!$Y$2:$Y$59,"&lt;=5",Raw_Data!$A$2:$A$59,"Yes",Raw_Data!$D$2:$D$59,"เคหรักษ์",Raw_Data!$E$2:$E$59,"สายสนับสนุนทั่วไป")/COUNTIFS(Raw_Data!$Y$2:$Y$59,"&gt;=1",Raw_Data!$Y$2:$Y$59,"&lt;=5",Raw_Data!$A$2:$A$59,"Yes",Raw_Data!$D$2:$D$59,"เคหรักษ์",Raw_Data!$E$2:$E$59,"สายสนับสนุนทั่วไป"),"")</f>
        <v>50</v>
      </c>
      <c r="AD22" s="54">
        <f>IFERROR(100*COUNTIFS(Raw_Data!$Y$2:$Y$59,"&gt;=4",Raw_Data!$Y$2:$Y$59,"&lt;=5",Raw_Data!$A$2:$A$59,"Yes",Raw_Data!$D$2:$D$59,"จ่ายกลาง",Raw_Data!$E$2:$E$59,"สายสนับสนุนทั่วไป")/COUNTIFS(Raw_Data!$Y$2:$Y$59,"&gt;=1",Raw_Data!$Y$2:$Y$59,"&lt;=5",Raw_Data!$A$2:$A$59,"Yes",Raw_Data!$D$2:$D$59,"จ่ายกลาง",Raw_Data!$E$2:$E$59,"สายสนับสนุนทั่วไป"),"")</f>
        <v>100</v>
      </c>
      <c r="AE22" s="54">
        <f>IFERROR(100*COUNTIFS(Raw_Data!$Y$2:$Y$59,"&gt;=4",Raw_Data!$Y$2:$Y$59,"&lt;=5",Raw_Data!$A$2:$A$59,"Yes",Raw_Data!$D$2:$D$59,"ช่างและสนาม",Raw_Data!$E$2:$E$59,"สายสนับสนุนทั่วไป")/COUNTIFS(Raw_Data!$Y$2:$Y$59,"&gt;=1",Raw_Data!$Y$2:$Y$59,"&lt;=5",Raw_Data!$A$2:$A$59,"Yes",Raw_Data!$D$2:$D$59,"ช่างและสนาม",Raw_Data!$E$2:$E$59,"สายสนับสนุนทั่วไป"),"")</f>
        <v>50</v>
      </c>
      <c r="AF22" s="54">
        <f>IFERROR(100*COUNTIFS(Raw_Data!$Y$2:$Y$59,"&gt;=4",Raw_Data!$Y$2:$Y$59,"&lt;=5",Raw_Data!$A$2:$A$59,"Yes",Raw_Data!$D$2:$D$59,"ผู้ป่วยสัมพันธ์",Raw_Data!$E$2:$E$59,"สายสนับสนุนทั่วไป")/COUNTIFS(Raw_Data!$Y$2:$Y$59,"&gt;=1",Raw_Data!$Y$2:$Y$59,"&lt;=5",Raw_Data!$A$2:$A$59,"Yes",Raw_Data!$D$2:$D$59,"ผู้ป่วยสัมพันธ์",Raw_Data!$E$2:$E$59,"สายสนับสนุนทั่วไป"),"")</f>
        <v>0</v>
      </c>
      <c r="AG22" s="54">
        <f>IFERROR(100*COUNTIFS(Raw_Data!$Y$2:$Y$59,"&gt;=4",Raw_Data!$Y$2:$Y$59,"&lt;=5",Raw_Data!$A$2:$A$59,"Yes",Raw_Data!$D$2:$D$59,"ยานพาหนะ",Raw_Data!$E$2:$E$59,"สายสนับสนุนทั่วไป")/COUNTIFS(Raw_Data!$Y$2:$Y$59,"&gt;=1",Raw_Data!$Y$2:$Y$59,"&lt;=5",Raw_Data!$A$2:$A$59,"Yes",Raw_Data!$D$2:$D$59,"ยานพาหนะ",Raw_Data!$E$2:$E$59,"สายสนับสนุนทั่วไป"),"")</f>
        <v>100</v>
      </c>
      <c r="AH22" s="54">
        <f>IFERROR(100*COUNTIFS(Raw_Data!$Y$2:$Y$59,"&gt;=4",Raw_Data!$Y$2:$Y$59,"&lt;=5",Raw_Data!$A$2:$A$59,"Yes",Raw_Data!$D$2:$D$59,"สื่อสารการตลาด",Raw_Data!$E$2:$E$59,"สายสนับสนุนทั่วไป")/COUNTIFS(Raw_Data!$Y$2:$Y$59,"&gt;=1",Raw_Data!$Y$2:$Y$59,"&lt;=5",Raw_Data!$A$2:$A$59,"Yes",Raw_Data!$D$2:$D$59,"สื่อสารการตลาด",Raw_Data!$E$2:$E$59,"สายสนับสนุนทั่วไป"),"")</f>
        <v>100</v>
      </c>
      <c r="AI22" s="54">
        <f>IFERROR(100*COUNTIFS(Raw_Data!$Y$2:$Y$59,"&gt;=4",Raw_Data!$Y$2:$Y$59,"&lt;=5",Raw_Data!$A$2:$A$59,"Yes",Raw_Data!$D$2:$D$59,"ERและเปล",Raw_Data!$E$2:$E$59,"สายสนับสนุนทั่วไป")/COUNTIFS(Raw_Data!$Y$2:$Y$59,"&gt;=1",Raw_Data!$Y$2:$Y$59,"&lt;=5",Raw_Data!$A$2:$A$59,"Yes",Raw_Data!$D$2:$D$59,"ERและเปล",Raw_Data!$E$2:$E$59,"สายสนับสนุนทั่วไป"),"")</f>
        <v>33.333333333333336</v>
      </c>
      <c r="AJ22" s="54">
        <f>IFERROR(100*COUNTIFS(Raw_Data!$Y$2:$Y$59,"&gt;=4",Raw_Data!$Y$2:$Y$59,"&lt;=5",Raw_Data!$A$2:$A$59,"Yes",Raw_Data!$D$2:$D$59,"HR",Raw_Data!$E$2:$E$59,"สายสนับสนุนทั่วไป")/COUNTIFS(Raw_Data!$Y$2:$Y$59,"&gt;=1",Raw_Data!$Y$2:$Y$59,"&lt;=5",Raw_Data!$A$2:$A$59,"Yes",Raw_Data!$D$2:$D$59,"HR",Raw_Data!$E$2:$E$59,"สายสนับสนุนทั่วไป"),"")</f>
        <v>100</v>
      </c>
      <c r="AK22" s="54">
        <f>IFERROR(100*COUNTIFS(Raw_Data!$Y$2:$Y$59,"&gt;=4",Raw_Data!$Y$2:$Y$59,"&lt;=5",Raw_Data!$A$2:$A$59,"Yes",Raw_Data!$D$2:$D$59,"ICU",Raw_Data!$E$2:$E$59,"สายสนับสนุนทั่วไป")/COUNTIFS(Raw_Data!$Y$2:$Y$59,"&gt;=1",Raw_Data!$Y$2:$Y$59,"&lt;=5",Raw_Data!$A$2:$A$59,"Yes",Raw_Data!$D$2:$D$59,"ICU",Raw_Data!$E$2:$E$59,"สายสนับสนุนทั่วไป"),"")</f>
        <v>0</v>
      </c>
      <c r="AL22" s="54">
        <f>IFERROR(100*COUNTIFS(Raw_Data!$Y$2:$Y$59,"&gt;=4",Raw_Data!$Y$2:$Y$59,"&lt;=5",Raw_Data!$A$2:$A$59,"Yes",Raw_Data!$D$2:$D$59,"IPD",Raw_Data!$E$2:$E$59,"สายสนับสนุนทั่วไป")/COUNTIFS(Raw_Data!$Y$2:$Y$59,"&gt;=1",Raw_Data!$Y$2:$Y$59,"&lt;=5",Raw_Data!$A$2:$A$59,"Yes",Raw_Data!$D$2:$D$59,"IPD",Raw_Data!$E$2:$E$59,"สายสนับสนุนทั่วไป"),"")</f>
        <v>100</v>
      </c>
      <c r="AM22" s="54">
        <f>IFERROR(100*COUNTIFS(Raw_Data!$Y$2:$Y$59,"&gt;=4",Raw_Data!$Y$2:$Y$59,"&lt;=5",Raw_Data!$A$2:$A$59,"Yes",Raw_Data!$D$2:$D$59,"IT",Raw_Data!$E$2:$E$59,"สายสนับสนุนทั่วไป")/COUNTIFS(Raw_Data!$Y$2:$Y$59,"&gt;=1",Raw_Data!$Y$2:$Y$59,"&lt;=5",Raw_Data!$A$2:$A$59,"Yes",Raw_Data!$D$2:$D$59,"IT",Raw_Data!$E$2:$E$59,"สายสนับสนุนทั่วไป"),"")</f>
        <v>100</v>
      </c>
      <c r="AN22" s="54">
        <f>IFERROR(100*COUNTIFS(Raw_Data!$Y$2:$Y$59,"&gt;=4",Raw_Data!$Y$2:$Y$59,"&lt;=5",Raw_Data!$A$2:$A$59,"Yes",Raw_Data!$D$2:$D$59,"ผู้ป่วยสัมพันธ์",Raw_Data!$E$2:$E$59,"สายสนับสนุนทางการแพทย์")/COUNTIFS(Raw_Data!$Y$2:$Y$59,"&gt;=1",Raw_Data!$Y$2:$Y$59,"&lt;=5",Raw_Data!$A$2:$A$59,"Yes",Raw_Data!$D$2:$D$59,"ผู้ป่วยสัมพันธ์",Raw_Data!$E$2:$E$59,"สายสนับสนุนทางการแพทย์"),"")</f>
        <v>100</v>
      </c>
      <c r="AO22" s="54">
        <f>IFERROR(100*COUNTIFS(Raw_Data!$Y$2:$Y$59,"&gt;=4",Raw_Data!$Y$2:$Y$59,"&lt;=5",Raw_Data!$A$2:$A$59,"Yes",Raw_Data!$D$2:$D$59,"ฝ่ายการพยาบาล",Raw_Data!$E$2:$E$59,"สายสนับสนุนทางการแพทย์")/COUNTIFS(Raw_Data!$Y$2:$Y$59,"&gt;=1",Raw_Data!$Y$2:$Y$59,"&lt;=5",Raw_Data!$A$2:$A$59,"Yes",Raw_Data!$D$2:$D$59,"ฝ่ายการพยาบาล",Raw_Data!$E$2:$E$59,"สายสนับสนุนทางการแพทย์"),"")</f>
        <v>100</v>
      </c>
      <c r="AP22" s="54">
        <f>IFERROR(100*COUNTIFS(Raw_Data!$Y$2:$Y$59,"&gt;=4",Raw_Data!$Y$2:$Y$59,"&lt;=5",Raw_Data!$A$2:$A$59,"Yes",Raw_Data!$D$2:$D$59,"โภชนาการ",Raw_Data!$E$2:$E$59,"สายสนับสนุนทางการแพทย์")/COUNTIFS(Raw_Data!$Y$2:$Y$59,"&gt;=1",Raw_Data!$Y$2:$Y$59,"&lt;=5",Raw_Data!$A$2:$A$59,"Yes",Raw_Data!$D$2:$D$59,"โภชนาการ",Raw_Data!$E$2:$E$59,"สายสนับสนุนทางการแพทย์"),"")</f>
        <v>100</v>
      </c>
      <c r="AQ22" s="54">
        <f>IFERROR(100*COUNTIFS(Raw_Data!$Y$2:$Y$59,"&gt;=4",Raw_Data!$Y$2:$Y$59,"&lt;=5",Raw_Data!$A$2:$A$59,"Yes",Raw_Data!$D$2:$D$59,"ห้องยา",Raw_Data!$E$2:$E$59,"สายสนับสนุนทางการแพทย์")/COUNTIFS(Raw_Data!$Y$2:$Y$59,"&gt;=1",Raw_Data!$Y$2:$Y$59,"&lt;=5",Raw_Data!$A$2:$A$59,"Yes",Raw_Data!$D$2:$D$59,"ห้องยา",Raw_Data!$E$2:$E$59,"สายสนับสนุนทางการแพทย์"),"")</f>
        <v>100</v>
      </c>
      <c r="AR22" s="54">
        <f>IFERROR(100*COUNTIFS(Raw_Data!$Y$2:$Y$59,"&gt;=4",Raw_Data!$Y$2:$Y$59,"&lt;=5",Raw_Data!$A$2:$A$59,"Yes",Raw_Data!$D$2:$D$59,"ห้องแลป",Raw_Data!$E$2:$E$59,"สายสนับสนุนทางการแพทย์")/COUNTIFS(Raw_Data!$Y$2:$Y$59,"&gt;=1",Raw_Data!$Y$2:$Y$59,"&lt;=5",Raw_Data!$A$2:$A$59,"Yes",Raw_Data!$D$2:$D$59,"ห้องแลป",Raw_Data!$E$2:$E$59,"สายสนับสนุนทางการแพทย์"),"")</f>
        <v>0</v>
      </c>
      <c r="AS22" s="54">
        <f>IFERROR(100*COUNTIFS(Raw_Data!$Y$2:$Y$59,"&gt;=4",Raw_Data!$Y$2:$Y$59,"&lt;=5",Raw_Data!$A$2:$A$59,"Yes",Raw_Data!$D$2:$D$59,"ห้องเอ็กซเรย์",Raw_Data!$E$2:$E$59,"สายสนับสนุนทางการแพทย์")/COUNTIFS(Raw_Data!$Y$2:$Y$59,"&gt;=1",Raw_Data!$Y$2:$Y$59,"&lt;=5",Raw_Data!$A$2:$A$59,"Yes",Raw_Data!$D$2:$D$59,"ห้องเอ็กซเรย์",Raw_Data!$E$2:$E$59,"สายสนับสนุนทางการแพทย์"),"")</f>
        <v>66.666666666666671</v>
      </c>
      <c r="AT22" s="54">
        <f>IFERROR(100*COUNTIFS(Raw_Data!$Y$2:$Y$59,"&gt;=4",Raw_Data!$Y$2:$Y$59,"&lt;=5",Raw_Data!$A$2:$A$59,"Yes",Raw_Data!$D$2:$D$59,"ERและเปล",Raw_Data!$E$2:$E$59,"สายสนับสนุนทางการแพทย์")/COUNTIFS(Raw_Data!$Y$2:$Y$59,"&gt;=1",Raw_Data!$Y$2:$Y$59,"&lt;=5",Raw_Data!$A$2:$A$59,"Yes",Raw_Data!$D$2:$D$59,"ERและเปล",Raw_Data!$E$2:$E$59,"สายสนับสนุนทางการแพทย์"),"")</f>
        <v>100</v>
      </c>
      <c r="AU22" s="54">
        <f>IFERROR(100*COUNTIFS(Raw_Data!$Y$2:$Y$59,"&gt;=4",Raw_Data!$Y$2:$Y$59,"&lt;=5",Raw_Data!$A$2:$A$59,"Yes",Raw_Data!$D$2:$D$59,"ICU",Raw_Data!$E$2:$E$59,"สายสนับสนุนทางการแพทย์")/COUNTIFS(Raw_Data!$Y$2:$Y$59,"&gt;=1",Raw_Data!$Y$2:$Y$59,"&lt;=5",Raw_Data!$A$2:$A$59,"Yes",Raw_Data!$D$2:$D$59,"ICU",Raw_Data!$E$2:$E$59,"สายสนับสนุนทางการแพทย์"),"")</f>
        <v>100</v>
      </c>
      <c r="AV22" s="54">
        <f>IFERROR(100*COUNTIFS(Raw_Data!$Y$2:$Y$59,"&gt;=4",Raw_Data!$Y$2:$Y$59,"&lt;=5",Raw_Data!$A$2:$A$59,"Yes",Raw_Data!$D$2:$D$59,"IPD",Raw_Data!$E$2:$E$59,"สายสนับสนุนทางการแพทย์")/COUNTIFS(Raw_Data!$Y$2:$Y$59,"&gt;=1",Raw_Data!$Y$2:$Y$59,"&lt;=5",Raw_Data!$A$2:$A$59,"Yes",Raw_Data!$D$2:$D$59,"IPD",Raw_Data!$E$2:$E$59,"สายสนับสนุนทางการแพทย์"),"")</f>
        <v>100</v>
      </c>
      <c r="AW22" s="54">
        <f>IFERROR(100*COUNTIFS(Raw_Data!$Y$2:$Y$59,"&gt;=4",Raw_Data!$Y$2:$Y$59,"&lt;=5",Raw_Data!$A$2:$A$59,"Yes",Raw_Data!$D$2:$D$59,"IT",Raw_Data!$E$2:$E$59,"สายสนับสนุนทางการแพทย์")/COUNTIFS(Raw_Data!$Y$2:$Y$59,"&gt;=1",Raw_Data!$Y$2:$Y$59,"&lt;=5",Raw_Data!$A$2:$A$59,"Yes",Raw_Data!$D$2:$D$59,"IT",Raw_Data!$E$2:$E$59,"สายสนับสนุนทางการแพทย์"),"")</f>
        <v>100</v>
      </c>
    </row>
    <row r="23" spans="1:49" ht="42" customHeight="1">
      <c r="A23" s="50"/>
      <c r="B23" s="51" t="s">
        <v>50</v>
      </c>
      <c r="C23" s="54">
        <f>IFERROR(100*COUNTIFS(Raw_Data!$Z$2:$Z$59,"&gt;=4",Raw_Data!$Z$2:$Z$59,"&lt;=5",Raw_Data!$A$2:$A$59,"Yes")/COUNTIFS(Raw_Data!$Z$2:$Z$59,"&gt;=1",Raw_Data!$Z$2:$Z$59,"&lt;=5",Raw_Data!$A$2:$A$59,"Yes"),"")</f>
        <v>60.344827586206897</v>
      </c>
      <c r="D23" s="54">
        <f>IFERROR(100*COUNTIFS(Raw_Data!$Z$2:$Z$59,"&gt;=4",Raw_Data!$Z$2:$Z$59,"&lt;=5",Raw_Data!$A$2:$A$59,"Yes",Raw_Data!$D$2:$D$59,"การเงิน")/COUNTIFS(Raw_Data!$Z$2:$Z$59,"&gt;=1",Raw_Data!$Z$2:$Z$59,"&lt;=5",Raw_Data!$A$2:$A$59,"Yes",Raw_Data!$D$2:$D$59,"การเงิน"),"")</f>
        <v>66.666666666666671</v>
      </c>
      <c r="E23" s="54">
        <f>IFERROR(100*COUNTIFS(Raw_Data!$Z$2:$Z$59,"&gt;=4",Raw_Data!$Z$2:$Z$59,"&lt;=5",Raw_Data!$A$2:$A$59,"Yes",Raw_Data!$D$2:$D$59,"เคหรักษ์")/COUNTIFS(Raw_Data!$Z$2:$Z$59,"&gt;=1",Raw_Data!$Z$2:$Z$59,"&lt;=5",Raw_Data!$A$2:$A$59,"Yes",Raw_Data!$D$2:$D$59,"เคหรักษ์"),"")</f>
        <v>50</v>
      </c>
      <c r="F23" s="54">
        <f>IFERROR(100*COUNTIFS(Raw_Data!$Z$2:$Z$59,"&gt;=4",Raw_Data!$Z$2:$Z$59,"&lt;=5",Raw_Data!$A$2:$A$59,"Yes",Raw_Data!$D$2:$D$59,"จ่ายกลาง")/COUNTIFS(Raw_Data!$Z$2:$Z$59,"&gt;=1",Raw_Data!$Z$2:$Z$59,"&lt;=5",Raw_Data!$A$2:$A$59,"Yes",Raw_Data!$D$2:$D$59,"จ่ายกลาง"),"")</f>
        <v>100</v>
      </c>
      <c r="G23" s="54">
        <f>IFERROR(100*COUNTIFS(Raw_Data!$Z$2:$Z$59,"&gt;=4",Raw_Data!$Z$2:$Z$59,"&lt;=5",Raw_Data!$A$2:$A$59,"Yes",Raw_Data!$D$2:$D$59,"ช่างและสนาม")/COUNTIFS(Raw_Data!$Z$2:$Z$59,"&gt;=1",Raw_Data!$Z$2:$Z$59,"&lt;=5",Raw_Data!$A$2:$A$59,"Yes",Raw_Data!$D$2:$D$59,"ช่างและสนาม"),"")</f>
        <v>25</v>
      </c>
      <c r="H23" s="54">
        <f>IFERROR(100*COUNTIFS(Raw_Data!$Z$2:$Z$59,"&gt;=4",Raw_Data!$Z$2:$Z$59,"&lt;=5",Raw_Data!$A$2:$A$59,"Yes",Raw_Data!$D$2:$D$59,"ผู้ป่วยสัมพันธ์")/COUNTIFS(Raw_Data!$Z$2:$Z$59,"&gt;=1",Raw_Data!$Z$2:$Z$59,"&lt;=5",Raw_Data!$A$2:$A$59,"Yes",Raw_Data!$D$2:$D$59,"ผู้ป่วยสัมพันธ์"),"")</f>
        <v>75</v>
      </c>
      <c r="I23" s="54">
        <f>IFERROR(100*COUNTIFS(Raw_Data!$Z$2:$Z$59,"&gt;=4",Raw_Data!$Z$2:$Z$59,"&lt;=5",Raw_Data!$A$2:$A$59,"Yes",Raw_Data!$D$2:$D$59,"ฝ่ายการพยาบาล")/COUNTIFS(Raw_Data!$Z$2:$Z$59,"&gt;=1",Raw_Data!$Z$2:$Z$59,"&lt;=5",Raw_Data!$A$2:$A$59,"Yes",Raw_Data!$D$2:$D$59,"ฝ่ายการพยาบาล"),"")</f>
        <v>100</v>
      </c>
      <c r="J23" s="54">
        <f>IFERROR(100*COUNTIFS(Raw_Data!$Z$2:$Z$59,"&gt;=4",Raw_Data!$Z$2:$Z$59,"&lt;=5",Raw_Data!$A$2:$A$59,"Yes",Raw_Data!$D$2:$D$59,"โภชนาการ")/COUNTIFS(Raw_Data!$Z$2:$Z$59,"&gt;=1",Raw_Data!$Z$2:$Z$59,"&lt;=5",Raw_Data!$A$2:$A$59,"Yes",Raw_Data!$D$2:$D$59,"โภชนาการ"),"")</f>
        <v>100</v>
      </c>
      <c r="K23" s="54">
        <f>IFERROR(100*COUNTIFS(Raw_Data!$Z$2:$Z$59,"&gt;=4",Raw_Data!$Z$2:$Z$59,"&lt;=5",Raw_Data!$A$2:$A$59,"Yes",Raw_Data!$D$2:$D$59,"ยานพาหนะ")/COUNTIFS(Raw_Data!$Z$2:$Z$59,"&gt;=1",Raw_Data!$Z$2:$Z$59,"&lt;=5",Raw_Data!$A$2:$A$59,"Yes",Raw_Data!$D$2:$D$59,"ยานพาหนะ"),"")</f>
        <v>100</v>
      </c>
      <c r="L23" s="54">
        <f>IFERROR(100*COUNTIFS(Raw_Data!$Z$2:$Z$59,"&gt;=4",Raw_Data!$Z$2:$Z$59,"&lt;=5",Raw_Data!$A$2:$A$59,"Yes",Raw_Data!$D$2:$D$59,"สื่อสารการตลาด")/COUNTIFS(Raw_Data!$Z$2:$Z$59,"&gt;=1",Raw_Data!$Z$2:$Z$59,"&lt;=5",Raw_Data!$A$2:$A$59,"Yes",Raw_Data!$D$2:$D$59,"สื่อสารการตลาด"),"")</f>
        <v>100</v>
      </c>
      <c r="M23" s="54">
        <f>IFERROR(100*COUNTIFS(Raw_Data!$Z$2:$Z$59,"&gt;=4",Raw_Data!$Z$2:$Z$59,"&lt;=5",Raw_Data!$A$2:$A$59,"Yes",Raw_Data!$D$2:$D$59,"ห้องยา")/COUNTIFS(Raw_Data!$Z$2:$Z$59,"&gt;=1",Raw_Data!$Z$2:$Z$59,"&lt;=5",Raw_Data!$A$2:$A$59,"Yes",Raw_Data!$D$2:$D$59,"ห้องยา"),"")</f>
        <v>100</v>
      </c>
      <c r="N23" s="54">
        <f>IFERROR(100*COUNTIFS(Raw_Data!$Z$2:$Z$59,"&gt;=4",Raw_Data!$Z$2:$Z$59,"&lt;=5",Raw_Data!$A$2:$A$59,"Yes",Raw_Data!$D$2:$D$59,"ห้องแลป")/COUNTIFS(Raw_Data!$Z$2:$Z$59,"&gt;=1",Raw_Data!$Z$2:$Z$59,"&lt;=5",Raw_Data!$A$2:$A$59,"Yes",Raw_Data!$D$2:$D$59,"ห้องแลป"),"")</f>
        <v>0</v>
      </c>
      <c r="O23" s="54">
        <f>IFERROR(100*COUNTIFS(Raw_Data!$Z$2:$Z$59,"&gt;=4",Raw_Data!$Z$2:$Z$59,"&lt;=5",Raw_Data!$A$2:$A$59,"Yes",Raw_Data!$D$2:$D$59,"ห้องเอ็กซเรย์")/COUNTIFS(Raw_Data!$Z$2:$Z$59,"&gt;=1",Raw_Data!$Z$2:$Z$59,"&lt;=5",Raw_Data!$A$2:$A$59,"Yes",Raw_Data!$D$2:$D$59,"ห้องเอ็กซเรย์"),"")</f>
        <v>33.333333333333336</v>
      </c>
      <c r="P23" s="54">
        <f>IFERROR(100*COUNTIFS(Raw_Data!$Z$2:$Z$59,"&gt;=4",Raw_Data!$Z$2:$Z$59,"&lt;=5",Raw_Data!$A$2:$A$59,"Yes",Raw_Data!$D$2:$D$59,"ERและเปล")/COUNTIFS(Raw_Data!$Z$2:$Z$59,"&gt;=1",Raw_Data!$Z$2:$Z$59,"&lt;=5",Raw_Data!$A$2:$A$59,"Yes",Raw_Data!$D$2:$D$59,"ERและเปล"),"")</f>
        <v>27.272727272727273</v>
      </c>
      <c r="Q23" s="54">
        <f>IFERROR(100*COUNTIFS(Raw_Data!$Z$2:$Z$59,"&gt;=4",Raw_Data!$Z$2:$Z$59,"&lt;=5",Raw_Data!$A$2:$A$59,"Yes",Raw_Data!$D$2:$D$59,"HR")/COUNTIFS(Raw_Data!$Z$2:$Z$59,"&gt;=1",Raw_Data!$Z$2:$Z$59,"&lt;=5",Raw_Data!$A$2:$A$59,"Yes",Raw_Data!$D$2:$D$59,"HR"),"")</f>
        <v>0</v>
      </c>
      <c r="R23" s="54">
        <f>IFERROR(100*COUNTIFS(Raw_Data!$Z$2:$Z$59,"&gt;=4",Raw_Data!$Z$2:$Z$59,"&lt;=5",Raw_Data!$A$2:$A$59,"Yes",Raw_Data!$D$2:$D$59,"ICU")/COUNTIFS(Raw_Data!$Z$2:$Z$59,"&gt;=1",Raw_Data!$Z$2:$Z$59,"&lt;=5",Raw_Data!$A$2:$A$59,"Yes",Raw_Data!$D$2:$D$59,"ICU"),"")</f>
        <v>50</v>
      </c>
      <c r="S23" s="54">
        <f>IFERROR(100*COUNTIFS(Raw_Data!$Z$2:$Z$59,"&gt;=4",Raw_Data!$Z$2:$Z$59,"&lt;=5",Raw_Data!$A$2:$A$59,"Yes",Raw_Data!$D$2:$D$59,"IPD")/COUNTIFS(Raw_Data!$Z$2:$Z$59,"&gt;=1",Raw_Data!$Z$2:$Z$59,"&lt;=5",Raw_Data!$A$2:$A$59,"Yes",Raw_Data!$D$2:$D$59,"IPD"),"")</f>
        <v>83.333333333333329</v>
      </c>
      <c r="T23" s="54">
        <f>IFERROR(100*COUNTIFS(Raw_Data!$Z$2:$Z$59,"&gt;=4",Raw_Data!$Z$2:$Z$59,"&lt;=5",Raw_Data!$A$2:$A$59,"Yes",Raw_Data!$D$2:$D$59,"IT")/COUNTIFS(Raw_Data!$Z$2:$Z$59,"&gt;=1",Raw_Data!$Z$2:$Z$59,"&lt;=5",Raw_Data!$A$2:$A$59,"Yes",Raw_Data!$D$2:$D$59,"IT"),"")</f>
        <v>100</v>
      </c>
      <c r="U23" s="54">
        <f>IFERROR(100*COUNTIFS(Raw_Data!$Z$2:$Z$59,"&gt;=4",Raw_Data!$Z$2:$Z$59,"&lt;=5",Raw_Data!$A$2:$A$59,"Yes",Raw_Data!$D$2:$D$59,"OR")/COUNTIFS(Raw_Data!$Z$2:$Z$59,"&gt;=1",Raw_Data!$Z$2:$Z$59,"&lt;=5",Raw_Data!$A$2:$A$59,"Yes",Raw_Data!$D$2:$D$59,"OR"),"")</f>
        <v>75</v>
      </c>
      <c r="V23" s="54">
        <f>IFERROR(100*COUNTIFS(Raw_Data!$Z$2:$Z$59,"&gt;=4",Raw_Data!$Z$2:$Z$59,"&lt;=5",Raw_Data!$A$2:$A$59,"Yes",Raw_Data!$D$2:$D$59,"IPD",Raw_Data!$E$2:$E$59,"ผู้บริหาร")/COUNTIFS(Raw_Data!$Z$2:$Z$59,"&gt;=1",Raw_Data!$Z$2:$Z$59,"&lt;=5",Raw_Data!$A$2:$A$59,"Yes",Raw_Data!$D$2:$D$59,"IPD",Raw_Data!$E$2:$E$59,"ผู้บริหาร"),"")</f>
        <v>100</v>
      </c>
      <c r="W23" s="54">
        <f>IFERROR(100*COUNTIFS(Raw_Data!$Z$2:$Z$59,"&gt;=4",Raw_Data!$Z$2:$Z$59,"&lt;=5",Raw_Data!$A$2:$A$59,"Yes",Raw_Data!$D$2:$D$59,"ฝ่ายการพยาบาล",Raw_Data!$E$2:$E$59,"สายวิชาชีพสาธารณสุข")/COUNTIFS(Raw_Data!$Z$2:$Z$59,"&gt;=1",Raw_Data!$Z$2:$Z$59,"&lt;=5",Raw_Data!$A$2:$A$59,"Yes",Raw_Data!$D$2:$D$59,"ฝ่ายการพยาบาล",Raw_Data!$E$2:$E$59,"สายวิชาชีพสาธารณสุข"),"")</f>
        <v>100</v>
      </c>
      <c r="X23" s="54">
        <f>IFERROR(100*COUNTIFS(Raw_Data!$Z$2:$Z$59,"&gt;=4",Raw_Data!$Z$2:$Z$59,"&lt;=5",Raw_Data!$A$2:$A$59,"Yes",Raw_Data!$D$2:$D$59,"ERและเปล",Raw_Data!$E$2:$E$59,"สายวิชาชีพสาธารณสุข")/COUNTIFS(Raw_Data!$Z$2:$Z$59,"&gt;=1",Raw_Data!$Z$2:$Z$59,"&lt;=5",Raw_Data!$A$2:$A$59,"Yes",Raw_Data!$D$2:$D$59,"ERและเปล",Raw_Data!$E$2:$E$59,"สายวิชาชีพสาธารณสุข"),"")</f>
        <v>14.285714285714286</v>
      </c>
      <c r="Y23" s="54">
        <f>IFERROR(100*COUNTIFS(Raw_Data!$Z$2:$Z$59,"&gt;=4",Raw_Data!$Z$2:$Z$59,"&lt;=5",Raw_Data!$A$2:$A$59,"Yes",Raw_Data!$D$2:$D$59,"ICU",Raw_Data!$E$2:$E$59,"สายวิชาชีพสาธารณสุข")/COUNTIFS(Raw_Data!$Z$2:$Z$59,"&gt;=1",Raw_Data!$Z$2:$Z$59,"&lt;=5",Raw_Data!$A$2:$A$59,"Yes",Raw_Data!$D$2:$D$59,"ICU",Raw_Data!$E$2:$E$59,"สายวิชาชีพสาธารณสุข"),"")</f>
        <v>50</v>
      </c>
      <c r="Z23" s="54">
        <f>IFERROR(100*COUNTIFS(Raw_Data!$Z$2:$Z$59,"&gt;=4",Raw_Data!$Z$2:$Z$59,"&lt;=5",Raw_Data!$A$2:$A$59,"Yes",Raw_Data!$D$2:$D$59,"IPD",Raw_Data!$E$2:$E$59,"สายวิชาชีพสาธารณสุข")/COUNTIFS(Raw_Data!$Z$2:$Z$59,"&gt;=1",Raw_Data!$Z$2:$Z$59,"&lt;=5",Raw_Data!$A$2:$A$59,"Yes",Raw_Data!$D$2:$D$59,"IPD",Raw_Data!$E$2:$E$59,"สายวิชาชีพสาธารณสุข"),"")</f>
        <v>100</v>
      </c>
      <c r="AA23" s="54">
        <f>IFERROR(100*COUNTIFS(Raw_Data!$Z$2:$Z$59,"&gt;=4",Raw_Data!$Z$2:$Z$59,"&lt;=5",Raw_Data!$A$2:$A$59,"Yes",Raw_Data!$D$2:$D$59,"OR",Raw_Data!$E$2:$E$59,"สายวิชาชีพสาธารณสุข")/COUNTIFS(Raw_Data!$Z$2:$Z$59,"&gt;=1",Raw_Data!$Z$2:$Z$59,"&lt;=5",Raw_Data!$A$2:$A$59,"Yes",Raw_Data!$D$2:$D$59,"OR",Raw_Data!$E$2:$E$59,"สายวิชาชีพสาธารณสุข"),"")</f>
        <v>75</v>
      </c>
      <c r="AB23" s="54">
        <f>IFERROR(100*COUNTIFS(Raw_Data!$Z$2:$Z$59,"&gt;=4",Raw_Data!$Z$2:$Z$59,"&lt;=5",Raw_Data!$A$2:$A$59,"Yes",Raw_Data!$D$2:$D$59,"การเงิน",Raw_Data!$E$2:$E$59,"สายสนับสนุนทั่วไป")/COUNTIFS(Raw_Data!$Z$2:$Z$59,"&gt;=1",Raw_Data!$Z$2:$Z$59,"&lt;=5",Raw_Data!$A$2:$A$59,"Yes",Raw_Data!$D$2:$D$59,"การเงิน",Raw_Data!$E$2:$E$59,"สายสนับสนุนทั่วไป"),"")</f>
        <v>66.666666666666671</v>
      </c>
      <c r="AC23" s="54">
        <f>IFERROR(100*COUNTIFS(Raw_Data!$Z$2:$Z$59,"&gt;=4",Raw_Data!$Z$2:$Z$59,"&lt;=5",Raw_Data!$A$2:$A$59,"Yes",Raw_Data!$D$2:$D$59,"เคหรักษ์",Raw_Data!$E$2:$E$59,"สายสนับสนุนทั่วไป")/COUNTIFS(Raw_Data!$Z$2:$Z$59,"&gt;=1",Raw_Data!$Z$2:$Z$59,"&lt;=5",Raw_Data!$A$2:$A$59,"Yes",Raw_Data!$D$2:$D$59,"เคหรักษ์",Raw_Data!$E$2:$E$59,"สายสนับสนุนทั่วไป"),"")</f>
        <v>50</v>
      </c>
      <c r="AD23" s="54">
        <f>IFERROR(100*COUNTIFS(Raw_Data!$Z$2:$Z$59,"&gt;=4",Raw_Data!$Z$2:$Z$59,"&lt;=5",Raw_Data!$A$2:$A$59,"Yes",Raw_Data!$D$2:$D$59,"จ่ายกลาง",Raw_Data!$E$2:$E$59,"สายสนับสนุนทั่วไป")/COUNTIFS(Raw_Data!$Z$2:$Z$59,"&gt;=1",Raw_Data!$Z$2:$Z$59,"&lt;=5",Raw_Data!$A$2:$A$59,"Yes",Raw_Data!$D$2:$D$59,"จ่ายกลาง",Raw_Data!$E$2:$E$59,"สายสนับสนุนทั่วไป"),"")</f>
        <v>100</v>
      </c>
      <c r="AE23" s="54">
        <f>IFERROR(100*COUNTIFS(Raw_Data!$Z$2:$Z$59,"&gt;=4",Raw_Data!$Z$2:$Z$59,"&lt;=5",Raw_Data!$A$2:$A$59,"Yes",Raw_Data!$D$2:$D$59,"ช่างและสนาม",Raw_Data!$E$2:$E$59,"สายสนับสนุนทั่วไป")/COUNTIFS(Raw_Data!$Z$2:$Z$59,"&gt;=1",Raw_Data!$Z$2:$Z$59,"&lt;=5",Raw_Data!$A$2:$A$59,"Yes",Raw_Data!$D$2:$D$59,"ช่างและสนาม",Raw_Data!$E$2:$E$59,"สายสนับสนุนทั่วไป"),"")</f>
        <v>25</v>
      </c>
      <c r="AF23" s="54">
        <f>IFERROR(100*COUNTIFS(Raw_Data!$Z$2:$Z$59,"&gt;=4",Raw_Data!$Z$2:$Z$59,"&lt;=5",Raw_Data!$A$2:$A$59,"Yes",Raw_Data!$D$2:$D$59,"ผู้ป่วยสัมพันธ์",Raw_Data!$E$2:$E$59,"สายสนับสนุนทั่วไป")/COUNTIFS(Raw_Data!$Z$2:$Z$59,"&gt;=1",Raw_Data!$Z$2:$Z$59,"&lt;=5",Raw_Data!$A$2:$A$59,"Yes",Raw_Data!$D$2:$D$59,"ผู้ป่วยสัมพันธ์",Raw_Data!$E$2:$E$59,"สายสนับสนุนทั่วไป"),"")</f>
        <v>100</v>
      </c>
      <c r="AG23" s="54">
        <f>IFERROR(100*COUNTIFS(Raw_Data!$Z$2:$Z$59,"&gt;=4",Raw_Data!$Z$2:$Z$59,"&lt;=5",Raw_Data!$A$2:$A$59,"Yes",Raw_Data!$D$2:$D$59,"ยานพาหนะ",Raw_Data!$E$2:$E$59,"สายสนับสนุนทั่วไป")/COUNTIFS(Raw_Data!$Z$2:$Z$59,"&gt;=1",Raw_Data!$Z$2:$Z$59,"&lt;=5",Raw_Data!$A$2:$A$59,"Yes",Raw_Data!$D$2:$D$59,"ยานพาหนะ",Raw_Data!$E$2:$E$59,"สายสนับสนุนทั่วไป"),"")</f>
        <v>100</v>
      </c>
      <c r="AH23" s="54">
        <f>IFERROR(100*COUNTIFS(Raw_Data!$Z$2:$Z$59,"&gt;=4",Raw_Data!$Z$2:$Z$59,"&lt;=5",Raw_Data!$A$2:$A$59,"Yes",Raw_Data!$D$2:$D$59,"สื่อสารการตลาด",Raw_Data!$E$2:$E$59,"สายสนับสนุนทั่วไป")/COUNTIFS(Raw_Data!$Z$2:$Z$59,"&gt;=1",Raw_Data!$Z$2:$Z$59,"&lt;=5",Raw_Data!$A$2:$A$59,"Yes",Raw_Data!$D$2:$D$59,"สื่อสารการตลาด",Raw_Data!$E$2:$E$59,"สายสนับสนุนทั่วไป"),"")</f>
        <v>100</v>
      </c>
      <c r="AI23" s="54">
        <f>IFERROR(100*COUNTIFS(Raw_Data!$Z$2:$Z$59,"&gt;=4",Raw_Data!$Z$2:$Z$59,"&lt;=5",Raw_Data!$A$2:$A$59,"Yes",Raw_Data!$D$2:$D$59,"ERและเปล",Raw_Data!$E$2:$E$59,"สายสนับสนุนทั่วไป")/COUNTIFS(Raw_Data!$Z$2:$Z$59,"&gt;=1",Raw_Data!$Z$2:$Z$59,"&lt;=5",Raw_Data!$A$2:$A$59,"Yes",Raw_Data!$D$2:$D$59,"ERและเปล",Raw_Data!$E$2:$E$59,"สายสนับสนุนทั่วไป"),"")</f>
        <v>66.666666666666671</v>
      </c>
      <c r="AJ23" s="54">
        <f>IFERROR(100*COUNTIFS(Raw_Data!$Z$2:$Z$59,"&gt;=4",Raw_Data!$Z$2:$Z$59,"&lt;=5",Raw_Data!$A$2:$A$59,"Yes",Raw_Data!$D$2:$D$59,"HR",Raw_Data!$E$2:$E$59,"สายสนับสนุนทั่วไป")/COUNTIFS(Raw_Data!$Z$2:$Z$59,"&gt;=1",Raw_Data!$Z$2:$Z$59,"&lt;=5",Raw_Data!$A$2:$A$59,"Yes",Raw_Data!$D$2:$D$59,"HR",Raw_Data!$E$2:$E$59,"สายสนับสนุนทั่วไป"),"")</f>
        <v>0</v>
      </c>
      <c r="AK23" s="54">
        <f>IFERROR(100*COUNTIFS(Raw_Data!$Z$2:$Z$59,"&gt;=4",Raw_Data!$Z$2:$Z$59,"&lt;=5",Raw_Data!$A$2:$A$59,"Yes",Raw_Data!$D$2:$D$59,"ICU",Raw_Data!$E$2:$E$59,"สายสนับสนุนทั่วไป")/COUNTIFS(Raw_Data!$Z$2:$Z$59,"&gt;=1",Raw_Data!$Z$2:$Z$59,"&lt;=5",Raw_Data!$A$2:$A$59,"Yes",Raw_Data!$D$2:$D$59,"ICU",Raw_Data!$E$2:$E$59,"สายสนับสนุนทั่วไป"),"")</f>
        <v>0</v>
      </c>
      <c r="AL23" s="54">
        <f>IFERROR(100*COUNTIFS(Raw_Data!$Z$2:$Z$59,"&gt;=4",Raw_Data!$Z$2:$Z$59,"&lt;=5",Raw_Data!$A$2:$A$59,"Yes",Raw_Data!$D$2:$D$59,"IPD",Raw_Data!$E$2:$E$59,"สายสนับสนุนทั่วไป")/COUNTIFS(Raw_Data!$Z$2:$Z$59,"&gt;=1",Raw_Data!$Z$2:$Z$59,"&lt;=5",Raw_Data!$A$2:$A$59,"Yes",Raw_Data!$D$2:$D$59,"IPD",Raw_Data!$E$2:$E$59,"สายสนับสนุนทั่วไป"),"")</f>
        <v>0</v>
      </c>
      <c r="AM23" s="54">
        <f>IFERROR(100*COUNTIFS(Raw_Data!$Z$2:$Z$59,"&gt;=4",Raw_Data!$Z$2:$Z$59,"&lt;=5",Raw_Data!$A$2:$A$59,"Yes",Raw_Data!$D$2:$D$59,"IT",Raw_Data!$E$2:$E$59,"สายสนับสนุนทั่วไป")/COUNTIFS(Raw_Data!$Z$2:$Z$59,"&gt;=1",Raw_Data!$Z$2:$Z$59,"&lt;=5",Raw_Data!$A$2:$A$59,"Yes",Raw_Data!$D$2:$D$59,"IT",Raw_Data!$E$2:$E$59,"สายสนับสนุนทั่วไป"),"")</f>
        <v>100</v>
      </c>
      <c r="AN23" s="54">
        <f>IFERROR(100*COUNTIFS(Raw_Data!$Z$2:$Z$59,"&gt;=4",Raw_Data!$Z$2:$Z$59,"&lt;=5",Raw_Data!$A$2:$A$59,"Yes",Raw_Data!$D$2:$D$59,"ผู้ป่วยสัมพันธ์",Raw_Data!$E$2:$E$59,"สายสนับสนุนทางการแพทย์")/COUNTIFS(Raw_Data!$Z$2:$Z$59,"&gt;=1",Raw_Data!$Z$2:$Z$59,"&lt;=5",Raw_Data!$A$2:$A$59,"Yes",Raw_Data!$D$2:$D$59,"ผู้ป่วยสัมพันธ์",Raw_Data!$E$2:$E$59,"สายสนับสนุนทางการแพทย์"),"")</f>
        <v>66.666666666666671</v>
      </c>
      <c r="AO23" s="54">
        <f>IFERROR(100*COUNTIFS(Raw_Data!$Z$2:$Z$59,"&gt;=4",Raw_Data!$Z$2:$Z$59,"&lt;=5",Raw_Data!$A$2:$A$59,"Yes",Raw_Data!$D$2:$D$59,"ฝ่ายการพยาบาล",Raw_Data!$E$2:$E$59,"สายสนับสนุนทางการแพทย์")/COUNTIFS(Raw_Data!$Z$2:$Z$59,"&gt;=1",Raw_Data!$Z$2:$Z$59,"&lt;=5",Raw_Data!$A$2:$A$59,"Yes",Raw_Data!$D$2:$D$59,"ฝ่ายการพยาบาล",Raw_Data!$E$2:$E$59,"สายสนับสนุนทางการแพทย์"),"")</f>
        <v>100</v>
      </c>
      <c r="AP23" s="54">
        <f>IFERROR(100*COUNTIFS(Raw_Data!$Z$2:$Z$59,"&gt;=4",Raw_Data!$Z$2:$Z$59,"&lt;=5",Raw_Data!$A$2:$A$59,"Yes",Raw_Data!$D$2:$D$59,"โภชนาการ",Raw_Data!$E$2:$E$59,"สายสนับสนุนทางการแพทย์")/COUNTIFS(Raw_Data!$Z$2:$Z$59,"&gt;=1",Raw_Data!$Z$2:$Z$59,"&lt;=5",Raw_Data!$A$2:$A$59,"Yes",Raw_Data!$D$2:$D$59,"โภชนาการ",Raw_Data!$E$2:$E$59,"สายสนับสนุนทางการแพทย์"),"")</f>
        <v>100</v>
      </c>
      <c r="AQ23" s="54">
        <f>IFERROR(100*COUNTIFS(Raw_Data!$Z$2:$Z$59,"&gt;=4",Raw_Data!$Z$2:$Z$59,"&lt;=5",Raw_Data!$A$2:$A$59,"Yes",Raw_Data!$D$2:$D$59,"ห้องยา",Raw_Data!$E$2:$E$59,"สายสนับสนุนทางการแพทย์")/COUNTIFS(Raw_Data!$Z$2:$Z$59,"&gt;=1",Raw_Data!$Z$2:$Z$59,"&lt;=5",Raw_Data!$A$2:$A$59,"Yes",Raw_Data!$D$2:$D$59,"ห้องยา",Raw_Data!$E$2:$E$59,"สายสนับสนุนทางการแพทย์"),"")</f>
        <v>100</v>
      </c>
      <c r="AR23" s="54">
        <f>IFERROR(100*COUNTIFS(Raw_Data!$Z$2:$Z$59,"&gt;=4",Raw_Data!$Z$2:$Z$59,"&lt;=5",Raw_Data!$A$2:$A$59,"Yes",Raw_Data!$D$2:$D$59,"ห้องแลป",Raw_Data!$E$2:$E$59,"สายสนับสนุนทางการแพทย์")/COUNTIFS(Raw_Data!$Z$2:$Z$59,"&gt;=1",Raw_Data!$Z$2:$Z$59,"&lt;=5",Raw_Data!$A$2:$A$59,"Yes",Raw_Data!$D$2:$D$59,"ห้องแลป",Raw_Data!$E$2:$E$59,"สายสนับสนุนทางการแพทย์"),"")</f>
        <v>0</v>
      </c>
      <c r="AS23" s="54">
        <f>IFERROR(100*COUNTIFS(Raw_Data!$Z$2:$Z$59,"&gt;=4",Raw_Data!$Z$2:$Z$59,"&lt;=5",Raw_Data!$A$2:$A$59,"Yes",Raw_Data!$D$2:$D$59,"ห้องเอ็กซเรย์",Raw_Data!$E$2:$E$59,"สายสนับสนุนทางการแพทย์")/COUNTIFS(Raw_Data!$Z$2:$Z$59,"&gt;=1",Raw_Data!$Z$2:$Z$59,"&lt;=5",Raw_Data!$A$2:$A$59,"Yes",Raw_Data!$D$2:$D$59,"ห้องเอ็กซเรย์",Raw_Data!$E$2:$E$59,"สายสนับสนุนทางการแพทย์"),"")</f>
        <v>33.333333333333336</v>
      </c>
      <c r="AT23" s="54">
        <f>IFERROR(100*COUNTIFS(Raw_Data!$Z$2:$Z$59,"&gt;=4",Raw_Data!$Z$2:$Z$59,"&lt;=5",Raw_Data!$A$2:$A$59,"Yes",Raw_Data!$D$2:$D$59,"ERและเปล",Raw_Data!$E$2:$E$59,"สายสนับสนุนทางการแพทย์")/COUNTIFS(Raw_Data!$Z$2:$Z$59,"&gt;=1",Raw_Data!$Z$2:$Z$59,"&lt;=5",Raw_Data!$A$2:$A$59,"Yes",Raw_Data!$D$2:$D$59,"ERและเปล",Raw_Data!$E$2:$E$59,"สายสนับสนุนทางการแพทย์"),"")</f>
        <v>0</v>
      </c>
      <c r="AU23" s="54">
        <f>IFERROR(100*COUNTIFS(Raw_Data!$Z$2:$Z$59,"&gt;=4",Raw_Data!$Z$2:$Z$59,"&lt;=5",Raw_Data!$A$2:$A$59,"Yes",Raw_Data!$D$2:$D$59,"ICU",Raw_Data!$E$2:$E$59,"สายสนับสนุนทางการแพทย์")/COUNTIFS(Raw_Data!$Z$2:$Z$59,"&gt;=1",Raw_Data!$Z$2:$Z$59,"&lt;=5",Raw_Data!$A$2:$A$59,"Yes",Raw_Data!$D$2:$D$59,"ICU",Raw_Data!$E$2:$E$59,"สายสนับสนุนทางการแพทย์"),"")</f>
        <v>100</v>
      </c>
      <c r="AV23" s="54">
        <f>IFERROR(100*COUNTIFS(Raw_Data!$Z$2:$Z$59,"&gt;=4",Raw_Data!$Z$2:$Z$59,"&lt;=5",Raw_Data!$A$2:$A$59,"Yes",Raw_Data!$D$2:$D$59,"IPD",Raw_Data!$E$2:$E$59,"สายสนับสนุนทางการแพทย์")/COUNTIFS(Raw_Data!$Z$2:$Z$59,"&gt;=1",Raw_Data!$Z$2:$Z$59,"&lt;=5",Raw_Data!$A$2:$A$59,"Yes",Raw_Data!$D$2:$D$59,"IPD",Raw_Data!$E$2:$E$59,"สายสนับสนุนทางการแพทย์"),"")</f>
        <v>100</v>
      </c>
      <c r="AW23" s="54">
        <f>IFERROR(100*COUNTIFS(Raw_Data!$Z$2:$Z$59,"&gt;=4",Raw_Data!$Z$2:$Z$59,"&lt;=5",Raw_Data!$A$2:$A$59,"Yes",Raw_Data!$D$2:$D$59,"IT",Raw_Data!$E$2:$E$59,"สายสนับสนุนทางการแพทย์")/COUNTIFS(Raw_Data!$Z$2:$Z$59,"&gt;=1",Raw_Data!$Z$2:$Z$59,"&lt;=5",Raw_Data!$A$2:$A$59,"Yes",Raw_Data!$D$2:$D$59,"IT",Raw_Data!$E$2:$E$59,"สายสนับสนุนทางการแพทย์"),"")</f>
        <v>100</v>
      </c>
    </row>
    <row r="24" spans="1:49" ht="42" customHeight="1">
      <c r="A24" s="50" t="s">
        <v>20</v>
      </c>
      <c r="B24" s="51" t="s">
        <v>51</v>
      </c>
      <c r="C24" s="54">
        <f>IFERROR(100*COUNTIFS(Raw_Data!$AA$2:$AA$59,"&gt;=4",Raw_Data!$AA$2:$AA$59,"&lt;=5",Raw_Data!$A$2:$A$59,"Yes")/COUNTIFS(Raw_Data!$AA$2:$AA$59,"&gt;=1",Raw_Data!$AA$2:$AA$59,"&lt;=5",Raw_Data!$A$2:$A$59,"Yes"),"")</f>
        <v>65.517241379310349</v>
      </c>
      <c r="D24" s="54">
        <f>IFERROR(100*COUNTIFS(Raw_Data!$AA$2:$AA$59,"&gt;=4",Raw_Data!$AA$2:$AA$59,"&lt;=5",Raw_Data!$A$2:$A$59,"Yes",Raw_Data!$D$2:$D$59,"การเงิน")/COUNTIFS(Raw_Data!$AA$2:$AA$59,"&gt;=1",Raw_Data!$AA$2:$AA$59,"&lt;=5",Raw_Data!$A$2:$A$59,"Yes",Raw_Data!$D$2:$D$59,"การเงิน"),"")</f>
        <v>66.666666666666671</v>
      </c>
      <c r="E24" s="54">
        <f>IFERROR(100*COUNTIFS(Raw_Data!$AA$2:$AA$59,"&gt;=4",Raw_Data!$AA$2:$AA$59,"&lt;=5",Raw_Data!$A$2:$A$59,"Yes",Raw_Data!$D$2:$D$59,"เคหรักษ์")/COUNTIFS(Raw_Data!$AA$2:$AA$59,"&gt;=1",Raw_Data!$AA$2:$AA$59,"&lt;=5",Raw_Data!$A$2:$A$59,"Yes",Raw_Data!$D$2:$D$59,"เคหรักษ์"),"")</f>
        <v>50</v>
      </c>
      <c r="F24" s="54">
        <f>IFERROR(100*COUNTIFS(Raw_Data!$AA$2:$AA$59,"&gt;=4",Raw_Data!$AA$2:$AA$59,"&lt;=5",Raw_Data!$A$2:$A$59,"Yes",Raw_Data!$D$2:$D$59,"จ่ายกลาง")/COUNTIFS(Raw_Data!$AA$2:$AA$59,"&gt;=1",Raw_Data!$AA$2:$AA$59,"&lt;=5",Raw_Data!$A$2:$A$59,"Yes",Raw_Data!$D$2:$D$59,"จ่ายกลาง"),"")</f>
        <v>100</v>
      </c>
      <c r="G24" s="54">
        <f>IFERROR(100*COUNTIFS(Raw_Data!$AA$2:$AA$59,"&gt;=4",Raw_Data!$AA$2:$AA$59,"&lt;=5",Raw_Data!$A$2:$A$59,"Yes",Raw_Data!$D$2:$D$59,"ช่างและสนาม")/COUNTIFS(Raw_Data!$AA$2:$AA$59,"&gt;=1",Raw_Data!$AA$2:$AA$59,"&lt;=5",Raw_Data!$A$2:$A$59,"Yes",Raw_Data!$D$2:$D$59,"ช่างและสนาม"),"")</f>
        <v>50</v>
      </c>
      <c r="H24" s="54">
        <f>IFERROR(100*COUNTIFS(Raw_Data!$AA$2:$AA$59,"&gt;=4",Raw_Data!$AA$2:$AA$59,"&lt;=5",Raw_Data!$A$2:$A$59,"Yes",Raw_Data!$D$2:$D$59,"ผู้ป่วยสัมพันธ์")/COUNTIFS(Raw_Data!$AA$2:$AA$59,"&gt;=1",Raw_Data!$AA$2:$AA$59,"&lt;=5",Raw_Data!$A$2:$A$59,"Yes",Raw_Data!$D$2:$D$59,"ผู้ป่วยสัมพันธ์"),"")</f>
        <v>75</v>
      </c>
      <c r="I24" s="54">
        <f>IFERROR(100*COUNTIFS(Raw_Data!$AA$2:$AA$59,"&gt;=4",Raw_Data!$AA$2:$AA$59,"&lt;=5",Raw_Data!$A$2:$A$59,"Yes",Raw_Data!$D$2:$D$59,"ฝ่ายการพยาบาล")/COUNTIFS(Raw_Data!$AA$2:$AA$59,"&gt;=1",Raw_Data!$AA$2:$AA$59,"&lt;=5",Raw_Data!$A$2:$A$59,"Yes",Raw_Data!$D$2:$D$59,"ฝ่ายการพยาบาล"),"")</f>
        <v>50</v>
      </c>
      <c r="J24" s="54">
        <f>IFERROR(100*COUNTIFS(Raw_Data!$AA$2:$AA$59,"&gt;=4",Raw_Data!$AA$2:$AA$59,"&lt;=5",Raw_Data!$A$2:$A$59,"Yes",Raw_Data!$D$2:$D$59,"โภชนาการ")/COUNTIFS(Raw_Data!$AA$2:$AA$59,"&gt;=1",Raw_Data!$AA$2:$AA$59,"&lt;=5",Raw_Data!$A$2:$A$59,"Yes",Raw_Data!$D$2:$D$59,"โภชนาการ"),"")</f>
        <v>100</v>
      </c>
      <c r="K24" s="54">
        <f>IFERROR(100*COUNTIFS(Raw_Data!$AA$2:$AA$59,"&gt;=4",Raw_Data!$AA$2:$AA$59,"&lt;=5",Raw_Data!$A$2:$A$59,"Yes",Raw_Data!$D$2:$D$59,"ยานพาหนะ")/COUNTIFS(Raw_Data!$AA$2:$AA$59,"&gt;=1",Raw_Data!$AA$2:$AA$59,"&lt;=5",Raw_Data!$A$2:$A$59,"Yes",Raw_Data!$D$2:$D$59,"ยานพาหนะ"),"")</f>
        <v>100</v>
      </c>
      <c r="L24" s="54">
        <f>IFERROR(100*COUNTIFS(Raw_Data!$AA$2:$AA$59,"&gt;=4",Raw_Data!$AA$2:$AA$59,"&lt;=5",Raw_Data!$A$2:$A$59,"Yes",Raw_Data!$D$2:$D$59,"สื่อสารการตลาด")/COUNTIFS(Raw_Data!$AA$2:$AA$59,"&gt;=1",Raw_Data!$AA$2:$AA$59,"&lt;=5",Raw_Data!$A$2:$A$59,"Yes",Raw_Data!$D$2:$D$59,"สื่อสารการตลาด"),"")</f>
        <v>100</v>
      </c>
      <c r="M24" s="54">
        <f>IFERROR(100*COUNTIFS(Raw_Data!$AA$2:$AA$59,"&gt;=4",Raw_Data!$AA$2:$AA$59,"&lt;=5",Raw_Data!$A$2:$A$59,"Yes",Raw_Data!$D$2:$D$59,"ห้องยา")/COUNTIFS(Raw_Data!$AA$2:$AA$59,"&gt;=1",Raw_Data!$AA$2:$AA$59,"&lt;=5",Raw_Data!$A$2:$A$59,"Yes",Raw_Data!$D$2:$D$59,"ห้องยา"),"")</f>
        <v>100</v>
      </c>
      <c r="N24" s="54">
        <f>IFERROR(100*COUNTIFS(Raw_Data!$AA$2:$AA$59,"&gt;=4",Raw_Data!$AA$2:$AA$59,"&lt;=5",Raw_Data!$A$2:$A$59,"Yes",Raw_Data!$D$2:$D$59,"ห้องแลป")/COUNTIFS(Raw_Data!$AA$2:$AA$59,"&gt;=1",Raw_Data!$AA$2:$AA$59,"&lt;=5",Raw_Data!$A$2:$A$59,"Yes",Raw_Data!$D$2:$D$59,"ห้องแลป"),"")</f>
        <v>0</v>
      </c>
      <c r="O24" s="54">
        <f>IFERROR(100*COUNTIFS(Raw_Data!$AA$2:$AA$59,"&gt;=4",Raw_Data!$AA$2:$AA$59,"&lt;=5",Raw_Data!$A$2:$A$59,"Yes",Raw_Data!$D$2:$D$59,"ห้องเอ็กซเรย์")/COUNTIFS(Raw_Data!$AA$2:$AA$59,"&gt;=1",Raw_Data!$AA$2:$AA$59,"&lt;=5",Raw_Data!$A$2:$A$59,"Yes",Raw_Data!$D$2:$D$59,"ห้องเอ็กซเรย์"),"")</f>
        <v>66.666666666666671</v>
      </c>
      <c r="P24" s="54">
        <f>IFERROR(100*COUNTIFS(Raw_Data!$AA$2:$AA$59,"&gt;=4",Raw_Data!$AA$2:$AA$59,"&lt;=5",Raw_Data!$A$2:$A$59,"Yes",Raw_Data!$D$2:$D$59,"ERและเปล")/COUNTIFS(Raw_Data!$AA$2:$AA$59,"&gt;=1",Raw_Data!$AA$2:$AA$59,"&lt;=5",Raw_Data!$A$2:$A$59,"Yes",Raw_Data!$D$2:$D$59,"ERและเปล"),"")</f>
        <v>45.454545454545453</v>
      </c>
      <c r="Q24" s="54">
        <f>IFERROR(100*COUNTIFS(Raw_Data!$AA$2:$AA$59,"&gt;=4",Raw_Data!$AA$2:$AA$59,"&lt;=5",Raw_Data!$A$2:$A$59,"Yes",Raw_Data!$D$2:$D$59,"HR")/COUNTIFS(Raw_Data!$AA$2:$AA$59,"&gt;=1",Raw_Data!$AA$2:$AA$59,"&lt;=5",Raw_Data!$A$2:$A$59,"Yes",Raw_Data!$D$2:$D$59,"HR"),"")</f>
        <v>100</v>
      </c>
      <c r="R24" s="54">
        <f>IFERROR(100*COUNTIFS(Raw_Data!$AA$2:$AA$59,"&gt;=4",Raw_Data!$AA$2:$AA$59,"&lt;=5",Raw_Data!$A$2:$A$59,"Yes",Raw_Data!$D$2:$D$59,"ICU")/COUNTIFS(Raw_Data!$AA$2:$AA$59,"&gt;=1",Raw_Data!$AA$2:$AA$59,"&lt;=5",Raw_Data!$A$2:$A$59,"Yes",Raw_Data!$D$2:$D$59,"ICU"),"")</f>
        <v>50</v>
      </c>
      <c r="S24" s="54">
        <f>IFERROR(100*COUNTIFS(Raw_Data!$AA$2:$AA$59,"&gt;=4",Raw_Data!$AA$2:$AA$59,"&lt;=5",Raw_Data!$A$2:$A$59,"Yes",Raw_Data!$D$2:$D$59,"IPD")/COUNTIFS(Raw_Data!$AA$2:$AA$59,"&gt;=1",Raw_Data!$AA$2:$AA$59,"&lt;=5",Raw_Data!$A$2:$A$59,"Yes",Raw_Data!$D$2:$D$59,"IPD"),"")</f>
        <v>66.666666666666671</v>
      </c>
      <c r="T24" s="54">
        <f>IFERROR(100*COUNTIFS(Raw_Data!$AA$2:$AA$59,"&gt;=4",Raw_Data!$AA$2:$AA$59,"&lt;=5",Raw_Data!$A$2:$A$59,"Yes",Raw_Data!$D$2:$D$59,"IT")/COUNTIFS(Raw_Data!$AA$2:$AA$59,"&gt;=1",Raw_Data!$AA$2:$AA$59,"&lt;=5",Raw_Data!$A$2:$A$59,"Yes",Raw_Data!$D$2:$D$59,"IT"),"")</f>
        <v>100</v>
      </c>
      <c r="U24" s="54">
        <f>IFERROR(100*COUNTIFS(Raw_Data!$AA$2:$AA$59,"&gt;=4",Raw_Data!$AA$2:$AA$59,"&lt;=5",Raw_Data!$A$2:$A$59,"Yes",Raw_Data!$D$2:$D$59,"OR")/COUNTIFS(Raw_Data!$AA$2:$AA$59,"&gt;=1",Raw_Data!$AA$2:$AA$59,"&lt;=5",Raw_Data!$A$2:$A$59,"Yes",Raw_Data!$D$2:$D$59,"OR"),"")</f>
        <v>75</v>
      </c>
      <c r="V24" s="54">
        <f>IFERROR(100*COUNTIFS(Raw_Data!$AA$2:$AA$59,"&gt;=4",Raw_Data!$AA$2:$AA$59,"&lt;=5",Raw_Data!$A$2:$A$59,"Yes",Raw_Data!$D$2:$D$59,"IPD",Raw_Data!$E$2:$E$59,"ผู้บริหาร")/COUNTIFS(Raw_Data!$AA$2:$AA$59,"&gt;=1",Raw_Data!$AA$2:$AA$59,"&lt;=5",Raw_Data!$A$2:$A$59,"Yes",Raw_Data!$D$2:$D$59,"IPD",Raw_Data!$E$2:$E$59,"ผู้บริหาร"),"")</f>
        <v>100</v>
      </c>
      <c r="W24" s="54">
        <f>IFERROR(100*COUNTIFS(Raw_Data!$AA$2:$AA$59,"&gt;=4",Raw_Data!$AA$2:$AA$59,"&lt;=5",Raw_Data!$A$2:$A$59,"Yes",Raw_Data!$D$2:$D$59,"ฝ่ายการพยาบาล",Raw_Data!$E$2:$E$59,"สายวิชาชีพสาธารณสุข")/COUNTIFS(Raw_Data!$AA$2:$AA$59,"&gt;=1",Raw_Data!$AA$2:$AA$59,"&lt;=5",Raw_Data!$A$2:$A$59,"Yes",Raw_Data!$D$2:$D$59,"ฝ่ายการพยาบาล",Raw_Data!$E$2:$E$59,"สายวิชาชีพสาธารณสุข"),"")</f>
        <v>0</v>
      </c>
      <c r="X24" s="54">
        <f>IFERROR(100*COUNTIFS(Raw_Data!$AA$2:$AA$59,"&gt;=4",Raw_Data!$AA$2:$AA$59,"&lt;=5",Raw_Data!$A$2:$A$59,"Yes",Raw_Data!$D$2:$D$59,"ERและเปล",Raw_Data!$E$2:$E$59,"สายวิชาชีพสาธารณสุข")/COUNTIFS(Raw_Data!$AA$2:$AA$59,"&gt;=1",Raw_Data!$AA$2:$AA$59,"&lt;=5",Raw_Data!$A$2:$A$59,"Yes",Raw_Data!$D$2:$D$59,"ERและเปล",Raw_Data!$E$2:$E$59,"สายวิชาชีพสาธารณสุข"),"")</f>
        <v>42.857142857142854</v>
      </c>
      <c r="Y24" s="54">
        <f>IFERROR(100*COUNTIFS(Raw_Data!$AA$2:$AA$59,"&gt;=4",Raw_Data!$AA$2:$AA$59,"&lt;=5",Raw_Data!$A$2:$A$59,"Yes",Raw_Data!$D$2:$D$59,"ICU",Raw_Data!$E$2:$E$59,"สายวิชาชีพสาธารณสุข")/COUNTIFS(Raw_Data!$AA$2:$AA$59,"&gt;=1",Raw_Data!$AA$2:$AA$59,"&lt;=5",Raw_Data!$A$2:$A$59,"Yes",Raw_Data!$D$2:$D$59,"ICU",Raw_Data!$E$2:$E$59,"สายวิชาชีพสาธารณสุข"),"")</f>
        <v>50</v>
      </c>
      <c r="Z24" s="54">
        <f>IFERROR(100*COUNTIFS(Raw_Data!$AA$2:$AA$59,"&gt;=4",Raw_Data!$AA$2:$AA$59,"&lt;=5",Raw_Data!$A$2:$A$59,"Yes",Raw_Data!$D$2:$D$59,"IPD",Raw_Data!$E$2:$E$59,"สายวิชาชีพสาธารณสุข")/COUNTIFS(Raw_Data!$AA$2:$AA$59,"&gt;=1",Raw_Data!$AA$2:$AA$59,"&lt;=5",Raw_Data!$A$2:$A$59,"Yes",Raw_Data!$D$2:$D$59,"IPD",Raw_Data!$E$2:$E$59,"สายวิชาชีพสาธารณสุข"),"")</f>
        <v>100</v>
      </c>
      <c r="AA24" s="54">
        <f>IFERROR(100*COUNTIFS(Raw_Data!$AA$2:$AA$59,"&gt;=4",Raw_Data!$AA$2:$AA$59,"&lt;=5",Raw_Data!$A$2:$A$59,"Yes",Raw_Data!$D$2:$D$59,"OR",Raw_Data!$E$2:$E$59,"สายวิชาชีพสาธารณสุข")/COUNTIFS(Raw_Data!$AA$2:$AA$59,"&gt;=1",Raw_Data!$AA$2:$AA$59,"&lt;=5",Raw_Data!$A$2:$A$59,"Yes",Raw_Data!$D$2:$D$59,"OR",Raw_Data!$E$2:$E$59,"สายวิชาชีพสาธารณสุข"),"")</f>
        <v>75</v>
      </c>
      <c r="AB24" s="54">
        <f>IFERROR(100*COUNTIFS(Raw_Data!$AA$2:$AA$59,"&gt;=4",Raw_Data!$AA$2:$AA$59,"&lt;=5",Raw_Data!$A$2:$A$59,"Yes",Raw_Data!$D$2:$D$59,"การเงิน",Raw_Data!$E$2:$E$59,"สายสนับสนุนทั่วไป")/COUNTIFS(Raw_Data!$AA$2:$AA$59,"&gt;=1",Raw_Data!$AA$2:$AA$59,"&lt;=5",Raw_Data!$A$2:$A$59,"Yes",Raw_Data!$D$2:$D$59,"การเงิน",Raw_Data!$E$2:$E$59,"สายสนับสนุนทั่วไป"),"")</f>
        <v>66.666666666666671</v>
      </c>
      <c r="AC24" s="54">
        <f>IFERROR(100*COUNTIFS(Raw_Data!$AA$2:$AA$59,"&gt;=4",Raw_Data!$AA$2:$AA$59,"&lt;=5",Raw_Data!$A$2:$A$59,"Yes",Raw_Data!$D$2:$D$59,"เคหรักษ์",Raw_Data!$E$2:$E$59,"สายสนับสนุนทั่วไป")/COUNTIFS(Raw_Data!$AA$2:$AA$59,"&gt;=1",Raw_Data!$AA$2:$AA$59,"&lt;=5",Raw_Data!$A$2:$A$59,"Yes",Raw_Data!$D$2:$D$59,"เคหรักษ์",Raw_Data!$E$2:$E$59,"สายสนับสนุนทั่วไป"),"")</f>
        <v>50</v>
      </c>
      <c r="AD24" s="54">
        <f>IFERROR(100*COUNTIFS(Raw_Data!$AA$2:$AA$59,"&gt;=4",Raw_Data!$AA$2:$AA$59,"&lt;=5",Raw_Data!$A$2:$A$59,"Yes",Raw_Data!$D$2:$D$59,"จ่ายกลาง",Raw_Data!$E$2:$E$59,"สายสนับสนุนทั่วไป")/COUNTIFS(Raw_Data!$AA$2:$AA$59,"&gt;=1",Raw_Data!$AA$2:$AA$59,"&lt;=5",Raw_Data!$A$2:$A$59,"Yes",Raw_Data!$D$2:$D$59,"จ่ายกลาง",Raw_Data!$E$2:$E$59,"สายสนับสนุนทั่วไป"),"")</f>
        <v>100</v>
      </c>
      <c r="AE24" s="54">
        <f>IFERROR(100*COUNTIFS(Raw_Data!$AA$2:$AA$59,"&gt;=4",Raw_Data!$AA$2:$AA$59,"&lt;=5",Raw_Data!$A$2:$A$59,"Yes",Raw_Data!$D$2:$D$59,"ช่างและสนาม",Raw_Data!$E$2:$E$59,"สายสนับสนุนทั่วไป")/COUNTIFS(Raw_Data!$AA$2:$AA$59,"&gt;=1",Raw_Data!$AA$2:$AA$59,"&lt;=5",Raw_Data!$A$2:$A$59,"Yes",Raw_Data!$D$2:$D$59,"ช่างและสนาม",Raw_Data!$E$2:$E$59,"สายสนับสนุนทั่วไป"),"")</f>
        <v>50</v>
      </c>
      <c r="AF24" s="54">
        <f>IFERROR(100*COUNTIFS(Raw_Data!$AA$2:$AA$59,"&gt;=4",Raw_Data!$AA$2:$AA$59,"&lt;=5",Raw_Data!$A$2:$A$59,"Yes",Raw_Data!$D$2:$D$59,"ผู้ป่วยสัมพันธ์",Raw_Data!$E$2:$E$59,"สายสนับสนุนทั่วไป")/COUNTIFS(Raw_Data!$AA$2:$AA$59,"&gt;=1",Raw_Data!$AA$2:$AA$59,"&lt;=5",Raw_Data!$A$2:$A$59,"Yes",Raw_Data!$D$2:$D$59,"ผู้ป่วยสัมพันธ์",Raw_Data!$E$2:$E$59,"สายสนับสนุนทั่วไป"),"")</f>
        <v>0</v>
      </c>
      <c r="AG24" s="54">
        <f>IFERROR(100*COUNTIFS(Raw_Data!$AA$2:$AA$59,"&gt;=4",Raw_Data!$AA$2:$AA$59,"&lt;=5",Raw_Data!$A$2:$A$59,"Yes",Raw_Data!$D$2:$D$59,"ยานพาหนะ",Raw_Data!$E$2:$E$59,"สายสนับสนุนทั่วไป")/COUNTIFS(Raw_Data!$AA$2:$AA$59,"&gt;=1",Raw_Data!$AA$2:$AA$59,"&lt;=5",Raw_Data!$A$2:$A$59,"Yes",Raw_Data!$D$2:$D$59,"ยานพาหนะ",Raw_Data!$E$2:$E$59,"สายสนับสนุนทั่วไป"),"")</f>
        <v>100</v>
      </c>
      <c r="AH24" s="54">
        <f>IFERROR(100*COUNTIFS(Raw_Data!$AA$2:$AA$59,"&gt;=4",Raw_Data!$AA$2:$AA$59,"&lt;=5",Raw_Data!$A$2:$A$59,"Yes",Raw_Data!$D$2:$D$59,"สื่อสารการตลาด",Raw_Data!$E$2:$E$59,"สายสนับสนุนทั่วไป")/COUNTIFS(Raw_Data!$AA$2:$AA$59,"&gt;=1",Raw_Data!$AA$2:$AA$59,"&lt;=5",Raw_Data!$A$2:$A$59,"Yes",Raw_Data!$D$2:$D$59,"สื่อสารการตลาด",Raw_Data!$E$2:$E$59,"สายสนับสนุนทั่วไป"),"")</f>
        <v>100</v>
      </c>
      <c r="AI24" s="54">
        <f>IFERROR(100*COUNTIFS(Raw_Data!$AA$2:$AA$59,"&gt;=4",Raw_Data!$AA$2:$AA$59,"&lt;=5",Raw_Data!$A$2:$A$59,"Yes",Raw_Data!$D$2:$D$59,"ERและเปล",Raw_Data!$E$2:$E$59,"สายสนับสนุนทั่วไป")/COUNTIFS(Raw_Data!$AA$2:$AA$59,"&gt;=1",Raw_Data!$AA$2:$AA$59,"&lt;=5",Raw_Data!$A$2:$A$59,"Yes",Raw_Data!$D$2:$D$59,"ERและเปล",Raw_Data!$E$2:$E$59,"สายสนับสนุนทั่วไป"),"")</f>
        <v>33.333333333333336</v>
      </c>
      <c r="AJ24" s="54">
        <f>IFERROR(100*COUNTIFS(Raw_Data!$AA$2:$AA$59,"&gt;=4",Raw_Data!$AA$2:$AA$59,"&lt;=5",Raw_Data!$A$2:$A$59,"Yes",Raw_Data!$D$2:$D$59,"HR",Raw_Data!$E$2:$E$59,"สายสนับสนุนทั่วไป")/COUNTIFS(Raw_Data!$AA$2:$AA$59,"&gt;=1",Raw_Data!$AA$2:$AA$59,"&lt;=5",Raw_Data!$A$2:$A$59,"Yes",Raw_Data!$D$2:$D$59,"HR",Raw_Data!$E$2:$E$59,"สายสนับสนุนทั่วไป"),"")</f>
        <v>100</v>
      </c>
      <c r="AK24" s="54">
        <f>IFERROR(100*COUNTIFS(Raw_Data!$AA$2:$AA$59,"&gt;=4",Raw_Data!$AA$2:$AA$59,"&lt;=5",Raw_Data!$A$2:$A$59,"Yes",Raw_Data!$D$2:$D$59,"ICU",Raw_Data!$E$2:$E$59,"สายสนับสนุนทั่วไป")/COUNTIFS(Raw_Data!$AA$2:$AA$59,"&gt;=1",Raw_Data!$AA$2:$AA$59,"&lt;=5",Raw_Data!$A$2:$A$59,"Yes",Raw_Data!$D$2:$D$59,"ICU",Raw_Data!$E$2:$E$59,"สายสนับสนุนทั่วไป"),"")</f>
        <v>0</v>
      </c>
      <c r="AL24" s="54">
        <f>IFERROR(100*COUNTIFS(Raw_Data!$AA$2:$AA$59,"&gt;=4",Raw_Data!$AA$2:$AA$59,"&lt;=5",Raw_Data!$A$2:$A$59,"Yes",Raw_Data!$D$2:$D$59,"IPD",Raw_Data!$E$2:$E$59,"สายสนับสนุนทั่วไป")/COUNTIFS(Raw_Data!$AA$2:$AA$59,"&gt;=1",Raw_Data!$AA$2:$AA$59,"&lt;=5",Raw_Data!$A$2:$A$59,"Yes",Raw_Data!$D$2:$D$59,"IPD",Raw_Data!$E$2:$E$59,"สายสนับสนุนทั่วไป"),"")</f>
        <v>0</v>
      </c>
      <c r="AM24" s="54">
        <f>IFERROR(100*COUNTIFS(Raw_Data!$AA$2:$AA$59,"&gt;=4",Raw_Data!$AA$2:$AA$59,"&lt;=5",Raw_Data!$A$2:$A$59,"Yes",Raw_Data!$D$2:$D$59,"IT",Raw_Data!$E$2:$E$59,"สายสนับสนุนทั่วไป")/COUNTIFS(Raw_Data!$AA$2:$AA$59,"&gt;=1",Raw_Data!$AA$2:$AA$59,"&lt;=5",Raw_Data!$A$2:$A$59,"Yes",Raw_Data!$D$2:$D$59,"IT",Raw_Data!$E$2:$E$59,"สายสนับสนุนทั่วไป"),"")</f>
        <v>100</v>
      </c>
      <c r="AN24" s="54">
        <f>IFERROR(100*COUNTIFS(Raw_Data!$AA$2:$AA$59,"&gt;=4",Raw_Data!$AA$2:$AA$59,"&lt;=5",Raw_Data!$A$2:$A$59,"Yes",Raw_Data!$D$2:$D$59,"ผู้ป่วยสัมพันธ์",Raw_Data!$E$2:$E$59,"สายสนับสนุนทางการแพทย์")/COUNTIFS(Raw_Data!$AA$2:$AA$59,"&gt;=1",Raw_Data!$AA$2:$AA$59,"&lt;=5",Raw_Data!$A$2:$A$59,"Yes",Raw_Data!$D$2:$D$59,"ผู้ป่วยสัมพันธ์",Raw_Data!$E$2:$E$59,"สายสนับสนุนทางการแพทย์"),"")</f>
        <v>100</v>
      </c>
      <c r="AO24" s="54">
        <f>IFERROR(100*COUNTIFS(Raw_Data!$AA$2:$AA$59,"&gt;=4",Raw_Data!$AA$2:$AA$59,"&lt;=5",Raw_Data!$A$2:$A$59,"Yes",Raw_Data!$D$2:$D$59,"ฝ่ายการพยาบาล",Raw_Data!$E$2:$E$59,"สายสนับสนุนทางการแพทย์")/COUNTIFS(Raw_Data!$AA$2:$AA$59,"&gt;=1",Raw_Data!$AA$2:$AA$59,"&lt;=5",Raw_Data!$A$2:$A$59,"Yes",Raw_Data!$D$2:$D$59,"ฝ่ายการพยาบาล",Raw_Data!$E$2:$E$59,"สายสนับสนุนทางการแพทย์"),"")</f>
        <v>100</v>
      </c>
      <c r="AP24" s="54">
        <f>IFERROR(100*COUNTIFS(Raw_Data!$AA$2:$AA$59,"&gt;=4",Raw_Data!$AA$2:$AA$59,"&lt;=5",Raw_Data!$A$2:$A$59,"Yes",Raw_Data!$D$2:$D$59,"โภชนาการ",Raw_Data!$E$2:$E$59,"สายสนับสนุนทางการแพทย์")/COUNTIFS(Raw_Data!$AA$2:$AA$59,"&gt;=1",Raw_Data!$AA$2:$AA$59,"&lt;=5",Raw_Data!$A$2:$A$59,"Yes",Raw_Data!$D$2:$D$59,"โภชนาการ",Raw_Data!$E$2:$E$59,"สายสนับสนุนทางการแพทย์"),"")</f>
        <v>100</v>
      </c>
      <c r="AQ24" s="54">
        <f>IFERROR(100*COUNTIFS(Raw_Data!$AA$2:$AA$59,"&gt;=4",Raw_Data!$AA$2:$AA$59,"&lt;=5",Raw_Data!$A$2:$A$59,"Yes",Raw_Data!$D$2:$D$59,"ห้องยา",Raw_Data!$E$2:$E$59,"สายสนับสนุนทางการแพทย์")/COUNTIFS(Raw_Data!$AA$2:$AA$59,"&gt;=1",Raw_Data!$AA$2:$AA$59,"&lt;=5",Raw_Data!$A$2:$A$59,"Yes",Raw_Data!$D$2:$D$59,"ห้องยา",Raw_Data!$E$2:$E$59,"สายสนับสนุนทางการแพทย์"),"")</f>
        <v>100</v>
      </c>
      <c r="AR24" s="54">
        <f>IFERROR(100*COUNTIFS(Raw_Data!$AA$2:$AA$59,"&gt;=4",Raw_Data!$AA$2:$AA$59,"&lt;=5",Raw_Data!$A$2:$A$59,"Yes",Raw_Data!$D$2:$D$59,"ห้องแลป",Raw_Data!$E$2:$E$59,"สายสนับสนุนทางการแพทย์")/COUNTIFS(Raw_Data!$AA$2:$AA$59,"&gt;=1",Raw_Data!$AA$2:$AA$59,"&lt;=5",Raw_Data!$A$2:$A$59,"Yes",Raw_Data!$D$2:$D$59,"ห้องแลป",Raw_Data!$E$2:$E$59,"สายสนับสนุนทางการแพทย์"),"")</f>
        <v>0</v>
      </c>
      <c r="AS24" s="54">
        <f>IFERROR(100*COUNTIFS(Raw_Data!$AA$2:$AA$59,"&gt;=4",Raw_Data!$AA$2:$AA$59,"&lt;=5",Raw_Data!$A$2:$A$59,"Yes",Raw_Data!$D$2:$D$59,"ห้องเอ็กซเรย์",Raw_Data!$E$2:$E$59,"สายสนับสนุนทางการแพทย์")/COUNTIFS(Raw_Data!$AA$2:$AA$59,"&gt;=1",Raw_Data!$AA$2:$AA$59,"&lt;=5",Raw_Data!$A$2:$A$59,"Yes",Raw_Data!$D$2:$D$59,"ห้องเอ็กซเรย์",Raw_Data!$E$2:$E$59,"สายสนับสนุนทางการแพทย์"),"")</f>
        <v>66.666666666666671</v>
      </c>
      <c r="AT24" s="54">
        <f>IFERROR(100*COUNTIFS(Raw_Data!$AA$2:$AA$59,"&gt;=4",Raw_Data!$AA$2:$AA$59,"&lt;=5",Raw_Data!$A$2:$A$59,"Yes",Raw_Data!$D$2:$D$59,"ERและเปล",Raw_Data!$E$2:$E$59,"สายสนับสนุนทางการแพทย์")/COUNTIFS(Raw_Data!$AA$2:$AA$59,"&gt;=1",Raw_Data!$AA$2:$AA$59,"&lt;=5",Raw_Data!$A$2:$A$59,"Yes",Raw_Data!$D$2:$D$59,"ERและเปล",Raw_Data!$E$2:$E$59,"สายสนับสนุนทางการแพทย์"),"")</f>
        <v>100</v>
      </c>
      <c r="AU24" s="54">
        <f>IFERROR(100*COUNTIFS(Raw_Data!$AA$2:$AA$59,"&gt;=4",Raw_Data!$AA$2:$AA$59,"&lt;=5",Raw_Data!$A$2:$A$59,"Yes",Raw_Data!$D$2:$D$59,"ICU",Raw_Data!$E$2:$E$59,"สายสนับสนุนทางการแพทย์")/COUNTIFS(Raw_Data!$AA$2:$AA$59,"&gt;=1",Raw_Data!$AA$2:$AA$59,"&lt;=5",Raw_Data!$A$2:$A$59,"Yes",Raw_Data!$D$2:$D$59,"ICU",Raw_Data!$E$2:$E$59,"สายสนับสนุนทางการแพทย์"),"")</f>
        <v>100</v>
      </c>
      <c r="AV24" s="54">
        <f>IFERROR(100*COUNTIFS(Raw_Data!$AA$2:$AA$59,"&gt;=4",Raw_Data!$AA$2:$AA$59,"&lt;=5",Raw_Data!$A$2:$A$59,"Yes",Raw_Data!$D$2:$D$59,"IPD",Raw_Data!$E$2:$E$59,"สายสนับสนุนทางการแพทย์")/COUNTIFS(Raw_Data!$AA$2:$AA$59,"&gt;=1",Raw_Data!$AA$2:$AA$59,"&lt;=5",Raw_Data!$A$2:$A$59,"Yes",Raw_Data!$D$2:$D$59,"IPD",Raw_Data!$E$2:$E$59,"สายสนับสนุนทางการแพทย์"),"")</f>
        <v>50</v>
      </c>
      <c r="AW24" s="54">
        <f>IFERROR(100*COUNTIFS(Raw_Data!$AA$2:$AA$59,"&gt;=4",Raw_Data!$AA$2:$AA$59,"&lt;=5",Raw_Data!$A$2:$A$59,"Yes",Raw_Data!$D$2:$D$59,"IT",Raw_Data!$E$2:$E$59,"สายสนับสนุนทางการแพทย์")/COUNTIFS(Raw_Data!$AA$2:$AA$59,"&gt;=1",Raw_Data!$AA$2:$AA$59,"&lt;=5",Raw_Data!$A$2:$A$59,"Yes",Raw_Data!$D$2:$D$59,"IT",Raw_Data!$E$2:$E$59,"สายสนับสนุนทางการแพทย์"),"")</f>
        <v>100</v>
      </c>
    </row>
    <row r="25" spans="1:49" ht="42" customHeight="1">
      <c r="A25" s="50"/>
      <c r="B25" s="51" t="s">
        <v>52</v>
      </c>
      <c r="C25" s="54">
        <f>IFERROR(100*COUNTIFS(Raw_Data!$AB$2:$AB$59,"&gt;=4",Raw_Data!$AB$2:$AB$59,"&lt;=5",Raw_Data!$A$2:$A$59,"Yes")/COUNTIFS(Raw_Data!$AB$2:$AB$59,"&gt;=1",Raw_Data!$AB$2:$AB$59,"&lt;=5",Raw_Data!$A$2:$A$59,"Yes"),"")</f>
        <v>48.275862068965516</v>
      </c>
      <c r="D25" s="54">
        <f>IFERROR(100*COUNTIFS(Raw_Data!$AB$2:$AB$59,"&gt;=4",Raw_Data!$AB$2:$AB$59,"&lt;=5",Raw_Data!$A$2:$A$59,"Yes",Raw_Data!$D$2:$D$59,"การเงิน")/COUNTIFS(Raw_Data!$AB$2:$AB$59,"&gt;=1",Raw_Data!$AB$2:$AB$59,"&lt;=5",Raw_Data!$A$2:$A$59,"Yes",Raw_Data!$D$2:$D$59,"การเงิน"),"")</f>
        <v>33.333333333333336</v>
      </c>
      <c r="E25" s="54">
        <f>IFERROR(100*COUNTIFS(Raw_Data!$AB$2:$AB$59,"&gt;=4",Raw_Data!$AB$2:$AB$59,"&lt;=5",Raw_Data!$A$2:$A$59,"Yes",Raw_Data!$D$2:$D$59,"เคหรักษ์")/COUNTIFS(Raw_Data!$AB$2:$AB$59,"&gt;=1",Raw_Data!$AB$2:$AB$59,"&lt;=5",Raw_Data!$A$2:$A$59,"Yes",Raw_Data!$D$2:$D$59,"เคหรักษ์"),"")</f>
        <v>0</v>
      </c>
      <c r="F25" s="54">
        <f>IFERROR(100*COUNTIFS(Raw_Data!$AB$2:$AB$59,"&gt;=4",Raw_Data!$AB$2:$AB$59,"&lt;=5",Raw_Data!$A$2:$A$59,"Yes",Raw_Data!$D$2:$D$59,"จ่ายกลาง")/COUNTIFS(Raw_Data!$AB$2:$AB$59,"&gt;=1",Raw_Data!$AB$2:$AB$59,"&lt;=5",Raw_Data!$A$2:$A$59,"Yes",Raw_Data!$D$2:$D$59,"จ่ายกลาง"),"")</f>
        <v>100</v>
      </c>
      <c r="G25" s="54">
        <f>IFERROR(100*COUNTIFS(Raw_Data!$AB$2:$AB$59,"&gt;=4",Raw_Data!$AB$2:$AB$59,"&lt;=5",Raw_Data!$A$2:$A$59,"Yes",Raw_Data!$D$2:$D$59,"ช่างและสนาม")/COUNTIFS(Raw_Data!$AB$2:$AB$59,"&gt;=1",Raw_Data!$AB$2:$AB$59,"&lt;=5",Raw_Data!$A$2:$A$59,"Yes",Raw_Data!$D$2:$D$59,"ช่างและสนาม"),"")</f>
        <v>50</v>
      </c>
      <c r="H25" s="54">
        <f>IFERROR(100*COUNTIFS(Raw_Data!$AB$2:$AB$59,"&gt;=4",Raw_Data!$AB$2:$AB$59,"&lt;=5",Raw_Data!$A$2:$A$59,"Yes",Raw_Data!$D$2:$D$59,"ผู้ป่วยสัมพันธ์")/COUNTIFS(Raw_Data!$AB$2:$AB$59,"&gt;=1",Raw_Data!$AB$2:$AB$59,"&lt;=5",Raw_Data!$A$2:$A$59,"Yes",Raw_Data!$D$2:$D$59,"ผู้ป่วยสัมพันธ์"),"")</f>
        <v>50</v>
      </c>
      <c r="I25" s="54">
        <f>IFERROR(100*COUNTIFS(Raw_Data!$AB$2:$AB$59,"&gt;=4",Raw_Data!$AB$2:$AB$59,"&lt;=5",Raw_Data!$A$2:$A$59,"Yes",Raw_Data!$D$2:$D$59,"ฝ่ายการพยาบาล")/COUNTIFS(Raw_Data!$AB$2:$AB$59,"&gt;=1",Raw_Data!$AB$2:$AB$59,"&lt;=5",Raw_Data!$A$2:$A$59,"Yes",Raw_Data!$D$2:$D$59,"ฝ่ายการพยาบาล"),"")</f>
        <v>50</v>
      </c>
      <c r="J25" s="54">
        <f>IFERROR(100*COUNTIFS(Raw_Data!$AB$2:$AB$59,"&gt;=4",Raw_Data!$AB$2:$AB$59,"&lt;=5",Raw_Data!$A$2:$A$59,"Yes",Raw_Data!$D$2:$D$59,"โภชนาการ")/COUNTIFS(Raw_Data!$AB$2:$AB$59,"&gt;=1",Raw_Data!$AB$2:$AB$59,"&lt;=5",Raw_Data!$A$2:$A$59,"Yes",Raw_Data!$D$2:$D$59,"โภชนาการ"),"")</f>
        <v>0</v>
      </c>
      <c r="K25" s="54">
        <f>IFERROR(100*COUNTIFS(Raw_Data!$AB$2:$AB$59,"&gt;=4",Raw_Data!$AB$2:$AB$59,"&lt;=5",Raw_Data!$A$2:$A$59,"Yes",Raw_Data!$D$2:$D$59,"ยานพาหนะ")/COUNTIFS(Raw_Data!$AB$2:$AB$59,"&gt;=1",Raw_Data!$AB$2:$AB$59,"&lt;=5",Raw_Data!$A$2:$A$59,"Yes",Raw_Data!$D$2:$D$59,"ยานพาหนะ"),"")</f>
        <v>100</v>
      </c>
      <c r="L25" s="54">
        <f>IFERROR(100*COUNTIFS(Raw_Data!$AB$2:$AB$59,"&gt;=4",Raw_Data!$AB$2:$AB$59,"&lt;=5",Raw_Data!$A$2:$A$59,"Yes",Raw_Data!$D$2:$D$59,"สื่อสารการตลาด")/COUNTIFS(Raw_Data!$AB$2:$AB$59,"&gt;=1",Raw_Data!$AB$2:$AB$59,"&lt;=5",Raw_Data!$A$2:$A$59,"Yes",Raw_Data!$D$2:$D$59,"สื่อสารการตลาด"),"")</f>
        <v>0</v>
      </c>
      <c r="M25" s="54">
        <f>IFERROR(100*COUNTIFS(Raw_Data!$AB$2:$AB$59,"&gt;=4",Raw_Data!$AB$2:$AB$59,"&lt;=5",Raw_Data!$A$2:$A$59,"Yes",Raw_Data!$D$2:$D$59,"ห้องยา")/COUNTIFS(Raw_Data!$AB$2:$AB$59,"&gt;=1",Raw_Data!$AB$2:$AB$59,"&lt;=5",Raw_Data!$A$2:$A$59,"Yes",Raw_Data!$D$2:$D$59,"ห้องยา"),"")</f>
        <v>100</v>
      </c>
      <c r="N25" s="54">
        <f>IFERROR(100*COUNTIFS(Raw_Data!$AB$2:$AB$59,"&gt;=4",Raw_Data!$AB$2:$AB$59,"&lt;=5",Raw_Data!$A$2:$A$59,"Yes",Raw_Data!$D$2:$D$59,"ห้องแลป")/COUNTIFS(Raw_Data!$AB$2:$AB$59,"&gt;=1",Raw_Data!$AB$2:$AB$59,"&lt;=5",Raw_Data!$A$2:$A$59,"Yes",Raw_Data!$D$2:$D$59,"ห้องแลป"),"")</f>
        <v>50</v>
      </c>
      <c r="O25" s="54">
        <f>IFERROR(100*COUNTIFS(Raw_Data!$AB$2:$AB$59,"&gt;=4",Raw_Data!$AB$2:$AB$59,"&lt;=5",Raw_Data!$A$2:$A$59,"Yes",Raw_Data!$D$2:$D$59,"ห้องเอ็กซเรย์")/COUNTIFS(Raw_Data!$AB$2:$AB$59,"&gt;=1",Raw_Data!$AB$2:$AB$59,"&lt;=5",Raw_Data!$A$2:$A$59,"Yes",Raw_Data!$D$2:$D$59,"ห้องเอ็กซเรย์"),"")</f>
        <v>0</v>
      </c>
      <c r="P25" s="54">
        <f>IFERROR(100*COUNTIFS(Raw_Data!$AB$2:$AB$59,"&gt;=4",Raw_Data!$AB$2:$AB$59,"&lt;=5",Raw_Data!$A$2:$A$59,"Yes",Raw_Data!$D$2:$D$59,"ERและเปล")/COUNTIFS(Raw_Data!$AB$2:$AB$59,"&gt;=1",Raw_Data!$AB$2:$AB$59,"&lt;=5",Raw_Data!$A$2:$A$59,"Yes",Raw_Data!$D$2:$D$59,"ERและเปล"),"")</f>
        <v>27.272727272727273</v>
      </c>
      <c r="Q25" s="54">
        <f>IFERROR(100*COUNTIFS(Raw_Data!$AB$2:$AB$59,"&gt;=4",Raw_Data!$AB$2:$AB$59,"&lt;=5",Raw_Data!$A$2:$A$59,"Yes",Raw_Data!$D$2:$D$59,"HR")/COUNTIFS(Raw_Data!$AB$2:$AB$59,"&gt;=1",Raw_Data!$AB$2:$AB$59,"&lt;=5",Raw_Data!$A$2:$A$59,"Yes",Raw_Data!$D$2:$D$59,"HR"),"")</f>
        <v>100</v>
      </c>
      <c r="R25" s="54">
        <f>IFERROR(100*COUNTIFS(Raw_Data!$AB$2:$AB$59,"&gt;=4",Raw_Data!$AB$2:$AB$59,"&lt;=5",Raw_Data!$A$2:$A$59,"Yes",Raw_Data!$D$2:$D$59,"ICU")/COUNTIFS(Raw_Data!$AB$2:$AB$59,"&gt;=1",Raw_Data!$AB$2:$AB$59,"&lt;=5",Raw_Data!$A$2:$A$59,"Yes",Raw_Data!$D$2:$D$59,"ICU"),"")</f>
        <v>50</v>
      </c>
      <c r="S25" s="54">
        <f>IFERROR(100*COUNTIFS(Raw_Data!$AB$2:$AB$59,"&gt;=4",Raw_Data!$AB$2:$AB$59,"&lt;=5",Raw_Data!$A$2:$A$59,"Yes",Raw_Data!$D$2:$D$59,"IPD")/COUNTIFS(Raw_Data!$AB$2:$AB$59,"&gt;=1",Raw_Data!$AB$2:$AB$59,"&lt;=5",Raw_Data!$A$2:$A$59,"Yes",Raw_Data!$D$2:$D$59,"IPD"),"")</f>
        <v>66.666666666666671</v>
      </c>
      <c r="T25" s="54">
        <f>IFERROR(100*COUNTIFS(Raw_Data!$AB$2:$AB$59,"&gt;=4",Raw_Data!$AB$2:$AB$59,"&lt;=5",Raw_Data!$A$2:$A$59,"Yes",Raw_Data!$D$2:$D$59,"IT")/COUNTIFS(Raw_Data!$AB$2:$AB$59,"&gt;=1",Raw_Data!$AB$2:$AB$59,"&lt;=5",Raw_Data!$A$2:$A$59,"Yes",Raw_Data!$D$2:$D$59,"IT"),"")</f>
        <v>100</v>
      </c>
      <c r="U25" s="54">
        <f>IFERROR(100*COUNTIFS(Raw_Data!$AB$2:$AB$59,"&gt;=4",Raw_Data!$AB$2:$AB$59,"&lt;=5",Raw_Data!$A$2:$A$59,"Yes",Raw_Data!$D$2:$D$59,"OR")/COUNTIFS(Raw_Data!$AB$2:$AB$59,"&gt;=1",Raw_Data!$AB$2:$AB$59,"&lt;=5",Raw_Data!$A$2:$A$59,"Yes",Raw_Data!$D$2:$D$59,"OR"),"")</f>
        <v>25</v>
      </c>
      <c r="V25" s="54">
        <f>IFERROR(100*COUNTIFS(Raw_Data!$AB$2:$AB$59,"&gt;=4",Raw_Data!$AB$2:$AB$59,"&lt;=5",Raw_Data!$A$2:$A$59,"Yes",Raw_Data!$D$2:$D$59,"IPD",Raw_Data!$E$2:$E$59,"ผู้บริหาร")/COUNTIFS(Raw_Data!$AB$2:$AB$59,"&gt;=1",Raw_Data!$AB$2:$AB$59,"&lt;=5",Raw_Data!$A$2:$A$59,"Yes",Raw_Data!$D$2:$D$59,"IPD",Raw_Data!$E$2:$E$59,"ผู้บริหาร"),"")</f>
        <v>100</v>
      </c>
      <c r="W25" s="54">
        <f>IFERROR(100*COUNTIFS(Raw_Data!$AB$2:$AB$59,"&gt;=4",Raw_Data!$AB$2:$AB$59,"&lt;=5",Raw_Data!$A$2:$A$59,"Yes",Raw_Data!$D$2:$D$59,"ฝ่ายการพยาบาล",Raw_Data!$E$2:$E$59,"สายวิชาชีพสาธารณสุข")/COUNTIFS(Raw_Data!$AB$2:$AB$59,"&gt;=1",Raw_Data!$AB$2:$AB$59,"&lt;=5",Raw_Data!$A$2:$A$59,"Yes",Raw_Data!$D$2:$D$59,"ฝ่ายการพยาบาล",Raw_Data!$E$2:$E$59,"สายวิชาชีพสาธารณสุข"),"")</f>
        <v>0</v>
      </c>
      <c r="X25" s="54">
        <f>IFERROR(100*COUNTIFS(Raw_Data!$AB$2:$AB$59,"&gt;=4",Raw_Data!$AB$2:$AB$59,"&lt;=5",Raw_Data!$A$2:$A$59,"Yes",Raw_Data!$D$2:$D$59,"ERและเปล",Raw_Data!$E$2:$E$59,"สายวิชาชีพสาธารณสุข")/COUNTIFS(Raw_Data!$AB$2:$AB$59,"&gt;=1",Raw_Data!$AB$2:$AB$59,"&lt;=5",Raw_Data!$A$2:$A$59,"Yes",Raw_Data!$D$2:$D$59,"ERและเปล",Raw_Data!$E$2:$E$59,"สายวิชาชีพสาธารณสุข"),"")</f>
        <v>28.571428571428573</v>
      </c>
      <c r="Y25" s="54">
        <f>IFERROR(100*COUNTIFS(Raw_Data!$AB$2:$AB$59,"&gt;=4",Raw_Data!$AB$2:$AB$59,"&lt;=5",Raw_Data!$A$2:$A$59,"Yes",Raw_Data!$D$2:$D$59,"ICU",Raw_Data!$E$2:$E$59,"สายวิชาชีพสาธารณสุข")/COUNTIFS(Raw_Data!$AB$2:$AB$59,"&gt;=1",Raw_Data!$AB$2:$AB$59,"&lt;=5",Raw_Data!$A$2:$A$59,"Yes",Raw_Data!$D$2:$D$59,"ICU",Raw_Data!$E$2:$E$59,"สายวิชาชีพสาธารณสุข"),"")</f>
        <v>50</v>
      </c>
      <c r="Z25" s="54">
        <f>IFERROR(100*COUNTIFS(Raw_Data!$AB$2:$AB$59,"&gt;=4",Raw_Data!$AB$2:$AB$59,"&lt;=5",Raw_Data!$A$2:$A$59,"Yes",Raw_Data!$D$2:$D$59,"IPD",Raw_Data!$E$2:$E$59,"สายวิชาชีพสาธารณสุข")/COUNTIFS(Raw_Data!$AB$2:$AB$59,"&gt;=1",Raw_Data!$AB$2:$AB$59,"&lt;=5",Raw_Data!$A$2:$A$59,"Yes",Raw_Data!$D$2:$D$59,"IPD",Raw_Data!$E$2:$E$59,"สายวิชาชีพสาธารณสุข"),"")</f>
        <v>100</v>
      </c>
      <c r="AA25" s="54">
        <f>IFERROR(100*COUNTIFS(Raw_Data!$AB$2:$AB$59,"&gt;=4",Raw_Data!$AB$2:$AB$59,"&lt;=5",Raw_Data!$A$2:$A$59,"Yes",Raw_Data!$D$2:$D$59,"OR",Raw_Data!$E$2:$E$59,"สายวิชาชีพสาธารณสุข")/COUNTIFS(Raw_Data!$AB$2:$AB$59,"&gt;=1",Raw_Data!$AB$2:$AB$59,"&lt;=5",Raw_Data!$A$2:$A$59,"Yes",Raw_Data!$D$2:$D$59,"OR",Raw_Data!$E$2:$E$59,"สายวิชาชีพสาธารณสุข"),"")</f>
        <v>25</v>
      </c>
      <c r="AB25" s="54">
        <f>IFERROR(100*COUNTIFS(Raw_Data!$AB$2:$AB$59,"&gt;=4",Raw_Data!$AB$2:$AB$59,"&lt;=5",Raw_Data!$A$2:$A$59,"Yes",Raw_Data!$D$2:$D$59,"การเงิน",Raw_Data!$E$2:$E$59,"สายสนับสนุนทั่วไป")/COUNTIFS(Raw_Data!$AB$2:$AB$59,"&gt;=1",Raw_Data!$AB$2:$AB$59,"&lt;=5",Raw_Data!$A$2:$A$59,"Yes",Raw_Data!$D$2:$D$59,"การเงิน",Raw_Data!$E$2:$E$59,"สายสนับสนุนทั่วไป"),"")</f>
        <v>33.333333333333336</v>
      </c>
      <c r="AC25" s="54">
        <f>IFERROR(100*COUNTIFS(Raw_Data!$AB$2:$AB$59,"&gt;=4",Raw_Data!$AB$2:$AB$59,"&lt;=5",Raw_Data!$A$2:$A$59,"Yes",Raw_Data!$D$2:$D$59,"เคหรักษ์",Raw_Data!$E$2:$E$59,"สายสนับสนุนทั่วไป")/COUNTIFS(Raw_Data!$AB$2:$AB$59,"&gt;=1",Raw_Data!$AB$2:$AB$59,"&lt;=5",Raw_Data!$A$2:$A$59,"Yes",Raw_Data!$D$2:$D$59,"เคหรักษ์",Raw_Data!$E$2:$E$59,"สายสนับสนุนทั่วไป"),"")</f>
        <v>0</v>
      </c>
      <c r="AD25" s="54">
        <f>IFERROR(100*COUNTIFS(Raw_Data!$AB$2:$AB$59,"&gt;=4",Raw_Data!$AB$2:$AB$59,"&lt;=5",Raw_Data!$A$2:$A$59,"Yes",Raw_Data!$D$2:$D$59,"จ่ายกลาง",Raw_Data!$E$2:$E$59,"สายสนับสนุนทั่วไป")/COUNTIFS(Raw_Data!$AB$2:$AB$59,"&gt;=1",Raw_Data!$AB$2:$AB$59,"&lt;=5",Raw_Data!$A$2:$A$59,"Yes",Raw_Data!$D$2:$D$59,"จ่ายกลาง",Raw_Data!$E$2:$E$59,"สายสนับสนุนทั่วไป"),"")</f>
        <v>100</v>
      </c>
      <c r="AE25" s="54">
        <f>IFERROR(100*COUNTIFS(Raw_Data!$AB$2:$AB$59,"&gt;=4",Raw_Data!$AB$2:$AB$59,"&lt;=5",Raw_Data!$A$2:$A$59,"Yes",Raw_Data!$D$2:$D$59,"ช่างและสนาม",Raw_Data!$E$2:$E$59,"สายสนับสนุนทั่วไป")/COUNTIFS(Raw_Data!$AB$2:$AB$59,"&gt;=1",Raw_Data!$AB$2:$AB$59,"&lt;=5",Raw_Data!$A$2:$A$59,"Yes",Raw_Data!$D$2:$D$59,"ช่างและสนาม",Raw_Data!$E$2:$E$59,"สายสนับสนุนทั่วไป"),"")</f>
        <v>50</v>
      </c>
      <c r="AF25" s="54">
        <f>IFERROR(100*COUNTIFS(Raw_Data!$AB$2:$AB$59,"&gt;=4",Raw_Data!$AB$2:$AB$59,"&lt;=5",Raw_Data!$A$2:$A$59,"Yes",Raw_Data!$D$2:$D$59,"ผู้ป่วยสัมพันธ์",Raw_Data!$E$2:$E$59,"สายสนับสนุนทั่วไป")/COUNTIFS(Raw_Data!$AB$2:$AB$59,"&gt;=1",Raw_Data!$AB$2:$AB$59,"&lt;=5",Raw_Data!$A$2:$A$59,"Yes",Raw_Data!$D$2:$D$59,"ผู้ป่วยสัมพันธ์",Raw_Data!$E$2:$E$59,"สายสนับสนุนทั่วไป"),"")</f>
        <v>0</v>
      </c>
      <c r="AG25" s="54">
        <f>IFERROR(100*COUNTIFS(Raw_Data!$AB$2:$AB$59,"&gt;=4",Raw_Data!$AB$2:$AB$59,"&lt;=5",Raw_Data!$A$2:$A$59,"Yes",Raw_Data!$D$2:$D$59,"ยานพาหนะ",Raw_Data!$E$2:$E$59,"สายสนับสนุนทั่วไป")/COUNTIFS(Raw_Data!$AB$2:$AB$59,"&gt;=1",Raw_Data!$AB$2:$AB$59,"&lt;=5",Raw_Data!$A$2:$A$59,"Yes",Raw_Data!$D$2:$D$59,"ยานพาหนะ",Raw_Data!$E$2:$E$59,"สายสนับสนุนทั่วไป"),"")</f>
        <v>100</v>
      </c>
      <c r="AH25" s="54">
        <f>IFERROR(100*COUNTIFS(Raw_Data!$AB$2:$AB$59,"&gt;=4",Raw_Data!$AB$2:$AB$59,"&lt;=5",Raw_Data!$A$2:$A$59,"Yes",Raw_Data!$D$2:$D$59,"สื่อสารการตลาด",Raw_Data!$E$2:$E$59,"สายสนับสนุนทั่วไป")/COUNTIFS(Raw_Data!$AB$2:$AB$59,"&gt;=1",Raw_Data!$AB$2:$AB$59,"&lt;=5",Raw_Data!$A$2:$A$59,"Yes",Raw_Data!$D$2:$D$59,"สื่อสารการตลาด",Raw_Data!$E$2:$E$59,"สายสนับสนุนทั่วไป"),"")</f>
        <v>0</v>
      </c>
      <c r="AI25" s="54">
        <f>IFERROR(100*COUNTIFS(Raw_Data!$AB$2:$AB$59,"&gt;=4",Raw_Data!$AB$2:$AB$59,"&lt;=5",Raw_Data!$A$2:$A$59,"Yes",Raw_Data!$D$2:$D$59,"ERและเปล",Raw_Data!$E$2:$E$59,"สายสนับสนุนทั่วไป")/COUNTIFS(Raw_Data!$AB$2:$AB$59,"&gt;=1",Raw_Data!$AB$2:$AB$59,"&lt;=5",Raw_Data!$A$2:$A$59,"Yes",Raw_Data!$D$2:$D$59,"ERและเปล",Raw_Data!$E$2:$E$59,"สายสนับสนุนทั่วไป"),"")</f>
        <v>33.333333333333336</v>
      </c>
      <c r="AJ25" s="54">
        <f>IFERROR(100*COUNTIFS(Raw_Data!$AB$2:$AB$59,"&gt;=4",Raw_Data!$AB$2:$AB$59,"&lt;=5",Raw_Data!$A$2:$A$59,"Yes",Raw_Data!$D$2:$D$59,"HR",Raw_Data!$E$2:$E$59,"สายสนับสนุนทั่วไป")/COUNTIFS(Raw_Data!$AB$2:$AB$59,"&gt;=1",Raw_Data!$AB$2:$AB$59,"&lt;=5",Raw_Data!$A$2:$A$59,"Yes",Raw_Data!$D$2:$D$59,"HR",Raw_Data!$E$2:$E$59,"สายสนับสนุนทั่วไป"),"")</f>
        <v>100</v>
      </c>
      <c r="AK25" s="54">
        <f>IFERROR(100*COUNTIFS(Raw_Data!$AB$2:$AB$59,"&gt;=4",Raw_Data!$AB$2:$AB$59,"&lt;=5",Raw_Data!$A$2:$A$59,"Yes",Raw_Data!$D$2:$D$59,"ICU",Raw_Data!$E$2:$E$59,"สายสนับสนุนทั่วไป")/COUNTIFS(Raw_Data!$AB$2:$AB$59,"&gt;=1",Raw_Data!$AB$2:$AB$59,"&lt;=5",Raw_Data!$A$2:$A$59,"Yes",Raw_Data!$D$2:$D$59,"ICU",Raw_Data!$E$2:$E$59,"สายสนับสนุนทั่วไป"),"")</f>
        <v>0</v>
      </c>
      <c r="AL25" s="54">
        <f>IFERROR(100*COUNTIFS(Raw_Data!$AB$2:$AB$59,"&gt;=4",Raw_Data!$AB$2:$AB$59,"&lt;=5",Raw_Data!$A$2:$A$59,"Yes",Raw_Data!$D$2:$D$59,"IPD",Raw_Data!$E$2:$E$59,"สายสนับสนุนทั่วไป")/COUNTIFS(Raw_Data!$AB$2:$AB$59,"&gt;=1",Raw_Data!$AB$2:$AB$59,"&lt;=5",Raw_Data!$A$2:$A$59,"Yes",Raw_Data!$D$2:$D$59,"IPD",Raw_Data!$E$2:$E$59,"สายสนับสนุนทั่วไป"),"")</f>
        <v>0</v>
      </c>
      <c r="AM25" s="54">
        <f>IFERROR(100*COUNTIFS(Raw_Data!$AB$2:$AB$59,"&gt;=4",Raw_Data!$AB$2:$AB$59,"&lt;=5",Raw_Data!$A$2:$A$59,"Yes",Raw_Data!$D$2:$D$59,"IT",Raw_Data!$E$2:$E$59,"สายสนับสนุนทั่วไป")/COUNTIFS(Raw_Data!$AB$2:$AB$59,"&gt;=1",Raw_Data!$AB$2:$AB$59,"&lt;=5",Raw_Data!$A$2:$A$59,"Yes",Raw_Data!$D$2:$D$59,"IT",Raw_Data!$E$2:$E$59,"สายสนับสนุนทั่วไป"),"")</f>
        <v>100</v>
      </c>
      <c r="AN25" s="54">
        <f>IFERROR(100*COUNTIFS(Raw_Data!$AB$2:$AB$59,"&gt;=4",Raw_Data!$AB$2:$AB$59,"&lt;=5",Raw_Data!$A$2:$A$59,"Yes",Raw_Data!$D$2:$D$59,"ผู้ป่วยสัมพันธ์",Raw_Data!$E$2:$E$59,"สายสนับสนุนทางการแพทย์")/COUNTIFS(Raw_Data!$AB$2:$AB$59,"&gt;=1",Raw_Data!$AB$2:$AB$59,"&lt;=5",Raw_Data!$A$2:$A$59,"Yes",Raw_Data!$D$2:$D$59,"ผู้ป่วยสัมพันธ์",Raw_Data!$E$2:$E$59,"สายสนับสนุนทางการแพทย์"),"")</f>
        <v>66.666666666666671</v>
      </c>
      <c r="AO25" s="54">
        <f>IFERROR(100*COUNTIFS(Raw_Data!$AB$2:$AB$59,"&gt;=4",Raw_Data!$AB$2:$AB$59,"&lt;=5",Raw_Data!$A$2:$A$59,"Yes",Raw_Data!$D$2:$D$59,"ฝ่ายการพยาบาล",Raw_Data!$E$2:$E$59,"สายสนับสนุนทางการแพทย์")/COUNTIFS(Raw_Data!$AB$2:$AB$59,"&gt;=1",Raw_Data!$AB$2:$AB$59,"&lt;=5",Raw_Data!$A$2:$A$59,"Yes",Raw_Data!$D$2:$D$59,"ฝ่ายการพยาบาล",Raw_Data!$E$2:$E$59,"สายสนับสนุนทางการแพทย์"),"")</f>
        <v>100</v>
      </c>
      <c r="AP25" s="54">
        <f>IFERROR(100*COUNTIFS(Raw_Data!$AB$2:$AB$59,"&gt;=4",Raw_Data!$AB$2:$AB$59,"&lt;=5",Raw_Data!$A$2:$A$59,"Yes",Raw_Data!$D$2:$D$59,"โภชนาการ",Raw_Data!$E$2:$E$59,"สายสนับสนุนทางการแพทย์")/COUNTIFS(Raw_Data!$AB$2:$AB$59,"&gt;=1",Raw_Data!$AB$2:$AB$59,"&lt;=5",Raw_Data!$A$2:$A$59,"Yes",Raw_Data!$D$2:$D$59,"โภชนาการ",Raw_Data!$E$2:$E$59,"สายสนับสนุนทางการแพทย์"),"")</f>
        <v>0</v>
      </c>
      <c r="AQ25" s="54">
        <f>IFERROR(100*COUNTIFS(Raw_Data!$AB$2:$AB$59,"&gt;=4",Raw_Data!$AB$2:$AB$59,"&lt;=5",Raw_Data!$A$2:$A$59,"Yes",Raw_Data!$D$2:$D$59,"ห้องยา",Raw_Data!$E$2:$E$59,"สายสนับสนุนทางการแพทย์")/COUNTIFS(Raw_Data!$AB$2:$AB$59,"&gt;=1",Raw_Data!$AB$2:$AB$59,"&lt;=5",Raw_Data!$A$2:$A$59,"Yes",Raw_Data!$D$2:$D$59,"ห้องยา",Raw_Data!$E$2:$E$59,"สายสนับสนุนทางการแพทย์"),"")</f>
        <v>100</v>
      </c>
      <c r="AR25" s="54">
        <f>IFERROR(100*COUNTIFS(Raw_Data!$AB$2:$AB$59,"&gt;=4",Raw_Data!$AB$2:$AB$59,"&lt;=5",Raw_Data!$A$2:$A$59,"Yes",Raw_Data!$D$2:$D$59,"ห้องแลป",Raw_Data!$E$2:$E$59,"สายสนับสนุนทางการแพทย์")/COUNTIFS(Raw_Data!$AB$2:$AB$59,"&gt;=1",Raw_Data!$AB$2:$AB$59,"&lt;=5",Raw_Data!$A$2:$A$59,"Yes",Raw_Data!$D$2:$D$59,"ห้องแลป",Raw_Data!$E$2:$E$59,"สายสนับสนุนทางการแพทย์"),"")</f>
        <v>50</v>
      </c>
      <c r="AS25" s="54">
        <f>IFERROR(100*COUNTIFS(Raw_Data!$AB$2:$AB$59,"&gt;=4",Raw_Data!$AB$2:$AB$59,"&lt;=5",Raw_Data!$A$2:$A$59,"Yes",Raw_Data!$D$2:$D$59,"ห้องเอ็กซเรย์",Raw_Data!$E$2:$E$59,"สายสนับสนุนทางการแพทย์")/COUNTIFS(Raw_Data!$AB$2:$AB$59,"&gt;=1",Raw_Data!$AB$2:$AB$59,"&lt;=5",Raw_Data!$A$2:$A$59,"Yes",Raw_Data!$D$2:$D$59,"ห้องเอ็กซเรย์",Raw_Data!$E$2:$E$59,"สายสนับสนุนทางการแพทย์"),"")</f>
        <v>0</v>
      </c>
      <c r="AT25" s="54">
        <f>IFERROR(100*COUNTIFS(Raw_Data!$AB$2:$AB$59,"&gt;=4",Raw_Data!$AB$2:$AB$59,"&lt;=5",Raw_Data!$A$2:$A$59,"Yes",Raw_Data!$D$2:$D$59,"ERและเปล",Raw_Data!$E$2:$E$59,"สายสนับสนุนทางการแพทย์")/COUNTIFS(Raw_Data!$AB$2:$AB$59,"&gt;=1",Raw_Data!$AB$2:$AB$59,"&lt;=5",Raw_Data!$A$2:$A$59,"Yes",Raw_Data!$D$2:$D$59,"ERและเปล",Raw_Data!$E$2:$E$59,"สายสนับสนุนทางการแพทย์"),"")</f>
        <v>0</v>
      </c>
      <c r="AU25" s="54">
        <f>IFERROR(100*COUNTIFS(Raw_Data!$AB$2:$AB$59,"&gt;=4",Raw_Data!$AB$2:$AB$59,"&lt;=5",Raw_Data!$A$2:$A$59,"Yes",Raw_Data!$D$2:$D$59,"ICU",Raw_Data!$E$2:$E$59,"สายสนับสนุนทางการแพทย์")/COUNTIFS(Raw_Data!$AB$2:$AB$59,"&gt;=1",Raw_Data!$AB$2:$AB$59,"&lt;=5",Raw_Data!$A$2:$A$59,"Yes",Raw_Data!$D$2:$D$59,"ICU",Raw_Data!$E$2:$E$59,"สายสนับสนุนทางการแพทย์"),"")</f>
        <v>100</v>
      </c>
      <c r="AV25" s="54">
        <f>IFERROR(100*COUNTIFS(Raw_Data!$AB$2:$AB$59,"&gt;=4",Raw_Data!$AB$2:$AB$59,"&lt;=5",Raw_Data!$A$2:$A$59,"Yes",Raw_Data!$D$2:$D$59,"IPD",Raw_Data!$E$2:$E$59,"สายสนับสนุนทางการแพทย์")/COUNTIFS(Raw_Data!$AB$2:$AB$59,"&gt;=1",Raw_Data!$AB$2:$AB$59,"&lt;=5",Raw_Data!$A$2:$A$59,"Yes",Raw_Data!$D$2:$D$59,"IPD",Raw_Data!$E$2:$E$59,"สายสนับสนุนทางการแพทย์"),"")</f>
        <v>50</v>
      </c>
      <c r="AW25" s="54">
        <f>IFERROR(100*COUNTIFS(Raw_Data!$AB$2:$AB$59,"&gt;=4",Raw_Data!$AB$2:$AB$59,"&lt;=5",Raw_Data!$A$2:$A$59,"Yes",Raw_Data!$D$2:$D$59,"IT",Raw_Data!$E$2:$E$59,"สายสนับสนุนทางการแพทย์")/COUNTIFS(Raw_Data!$AB$2:$AB$59,"&gt;=1",Raw_Data!$AB$2:$AB$59,"&lt;=5",Raw_Data!$A$2:$A$59,"Yes",Raw_Data!$D$2:$D$59,"IT",Raw_Data!$E$2:$E$59,"สายสนับสนุนทางการแพทย์"),"")</f>
        <v>100</v>
      </c>
    </row>
    <row r="26" spans="1:49" ht="42" customHeight="1">
      <c r="A26" s="50"/>
      <c r="B26" s="51" t="s">
        <v>53</v>
      </c>
      <c r="C26" s="54">
        <f>IFERROR(100*COUNTIFS(Raw_Data!$AC$2:$AC$59,"&gt;=4",Raw_Data!$AC$2:$AC$59,"&lt;=5",Raw_Data!$A$2:$A$59,"Yes")/COUNTIFS(Raw_Data!$AC$2:$AC$59,"&gt;=1",Raw_Data!$AC$2:$AC$59,"&lt;=5",Raw_Data!$A$2:$A$59,"Yes"),"")</f>
        <v>55.172413793103445</v>
      </c>
      <c r="D26" s="54">
        <f>IFERROR(100*COUNTIFS(Raw_Data!$AC$2:$AC$59,"&gt;=4",Raw_Data!$AC$2:$AC$59,"&lt;=5",Raw_Data!$A$2:$A$59,"Yes",Raw_Data!$D$2:$D$59,"การเงิน")/COUNTIFS(Raw_Data!$AC$2:$AC$59,"&gt;=1",Raw_Data!$AC$2:$AC$59,"&lt;=5",Raw_Data!$A$2:$A$59,"Yes",Raw_Data!$D$2:$D$59,"การเงิน"),"")</f>
        <v>33.333333333333336</v>
      </c>
      <c r="E26" s="54">
        <f>IFERROR(100*COUNTIFS(Raw_Data!$AC$2:$AC$59,"&gt;=4",Raw_Data!$AC$2:$AC$59,"&lt;=5",Raw_Data!$A$2:$A$59,"Yes",Raw_Data!$D$2:$D$59,"เคหรักษ์")/COUNTIFS(Raw_Data!$AC$2:$AC$59,"&gt;=1",Raw_Data!$AC$2:$AC$59,"&lt;=5",Raw_Data!$A$2:$A$59,"Yes",Raw_Data!$D$2:$D$59,"เคหรักษ์"),"")</f>
        <v>50</v>
      </c>
      <c r="F26" s="54">
        <f>IFERROR(100*COUNTIFS(Raw_Data!$AC$2:$AC$59,"&gt;=4",Raw_Data!$AC$2:$AC$59,"&lt;=5",Raw_Data!$A$2:$A$59,"Yes",Raw_Data!$D$2:$D$59,"จ่ายกลาง")/COUNTIFS(Raw_Data!$AC$2:$AC$59,"&gt;=1",Raw_Data!$AC$2:$AC$59,"&lt;=5",Raw_Data!$A$2:$A$59,"Yes",Raw_Data!$D$2:$D$59,"จ่ายกลาง"),"")</f>
        <v>100</v>
      </c>
      <c r="G26" s="54">
        <f>IFERROR(100*COUNTIFS(Raw_Data!$AC$2:$AC$59,"&gt;=4",Raw_Data!$AC$2:$AC$59,"&lt;=5",Raw_Data!$A$2:$A$59,"Yes",Raw_Data!$D$2:$D$59,"ช่างและสนาม")/COUNTIFS(Raw_Data!$AC$2:$AC$59,"&gt;=1",Raw_Data!$AC$2:$AC$59,"&lt;=5",Raw_Data!$A$2:$A$59,"Yes",Raw_Data!$D$2:$D$59,"ช่างและสนาม"),"")</f>
        <v>50</v>
      </c>
      <c r="H26" s="54">
        <f>IFERROR(100*COUNTIFS(Raw_Data!$AC$2:$AC$59,"&gt;=4",Raw_Data!$AC$2:$AC$59,"&lt;=5",Raw_Data!$A$2:$A$59,"Yes",Raw_Data!$D$2:$D$59,"ผู้ป่วยสัมพันธ์")/COUNTIFS(Raw_Data!$AC$2:$AC$59,"&gt;=1",Raw_Data!$AC$2:$AC$59,"&lt;=5",Raw_Data!$A$2:$A$59,"Yes",Raw_Data!$D$2:$D$59,"ผู้ป่วยสัมพันธ์"),"")</f>
        <v>75</v>
      </c>
      <c r="I26" s="54">
        <f>IFERROR(100*COUNTIFS(Raw_Data!$AC$2:$AC$59,"&gt;=4",Raw_Data!$AC$2:$AC$59,"&lt;=5",Raw_Data!$A$2:$A$59,"Yes",Raw_Data!$D$2:$D$59,"ฝ่ายการพยาบาล")/COUNTIFS(Raw_Data!$AC$2:$AC$59,"&gt;=1",Raw_Data!$AC$2:$AC$59,"&lt;=5",Raw_Data!$A$2:$A$59,"Yes",Raw_Data!$D$2:$D$59,"ฝ่ายการพยาบาล"),"")</f>
        <v>100</v>
      </c>
      <c r="J26" s="54">
        <f>IFERROR(100*COUNTIFS(Raw_Data!$AC$2:$AC$59,"&gt;=4",Raw_Data!$AC$2:$AC$59,"&lt;=5",Raw_Data!$A$2:$A$59,"Yes",Raw_Data!$D$2:$D$59,"โภชนาการ")/COUNTIFS(Raw_Data!$AC$2:$AC$59,"&gt;=1",Raw_Data!$AC$2:$AC$59,"&lt;=5",Raw_Data!$A$2:$A$59,"Yes",Raw_Data!$D$2:$D$59,"โภชนาการ"),"")</f>
        <v>100</v>
      </c>
      <c r="K26" s="54">
        <f>IFERROR(100*COUNTIFS(Raw_Data!$AC$2:$AC$59,"&gt;=4",Raw_Data!$AC$2:$AC$59,"&lt;=5",Raw_Data!$A$2:$A$59,"Yes",Raw_Data!$D$2:$D$59,"ยานพาหนะ")/COUNTIFS(Raw_Data!$AC$2:$AC$59,"&gt;=1",Raw_Data!$AC$2:$AC$59,"&lt;=5",Raw_Data!$A$2:$A$59,"Yes",Raw_Data!$D$2:$D$59,"ยานพาหนะ"),"")</f>
        <v>100</v>
      </c>
      <c r="L26" s="54">
        <f>IFERROR(100*COUNTIFS(Raw_Data!$AC$2:$AC$59,"&gt;=4",Raw_Data!$AC$2:$AC$59,"&lt;=5",Raw_Data!$A$2:$A$59,"Yes",Raw_Data!$D$2:$D$59,"สื่อสารการตลาด")/COUNTIFS(Raw_Data!$AC$2:$AC$59,"&gt;=1",Raw_Data!$AC$2:$AC$59,"&lt;=5",Raw_Data!$A$2:$A$59,"Yes",Raw_Data!$D$2:$D$59,"สื่อสารการตลาด"),"")</f>
        <v>0</v>
      </c>
      <c r="M26" s="54">
        <f>IFERROR(100*COUNTIFS(Raw_Data!$AC$2:$AC$59,"&gt;=4",Raw_Data!$AC$2:$AC$59,"&lt;=5",Raw_Data!$A$2:$A$59,"Yes",Raw_Data!$D$2:$D$59,"ห้องยา")/COUNTIFS(Raw_Data!$AC$2:$AC$59,"&gt;=1",Raw_Data!$AC$2:$AC$59,"&lt;=5",Raw_Data!$A$2:$A$59,"Yes",Raw_Data!$D$2:$D$59,"ห้องยา"),"")</f>
        <v>100</v>
      </c>
      <c r="N26" s="54">
        <f>IFERROR(100*COUNTIFS(Raw_Data!$AC$2:$AC$59,"&gt;=4",Raw_Data!$AC$2:$AC$59,"&lt;=5",Raw_Data!$A$2:$A$59,"Yes",Raw_Data!$D$2:$D$59,"ห้องแลป")/COUNTIFS(Raw_Data!$AC$2:$AC$59,"&gt;=1",Raw_Data!$AC$2:$AC$59,"&lt;=5",Raw_Data!$A$2:$A$59,"Yes",Raw_Data!$D$2:$D$59,"ห้องแลป"),"")</f>
        <v>50</v>
      </c>
      <c r="O26" s="54">
        <f>IFERROR(100*COUNTIFS(Raw_Data!$AC$2:$AC$59,"&gt;=4",Raw_Data!$AC$2:$AC$59,"&lt;=5",Raw_Data!$A$2:$A$59,"Yes",Raw_Data!$D$2:$D$59,"ห้องเอ็กซเรย์")/COUNTIFS(Raw_Data!$AC$2:$AC$59,"&gt;=1",Raw_Data!$AC$2:$AC$59,"&lt;=5",Raw_Data!$A$2:$A$59,"Yes",Raw_Data!$D$2:$D$59,"ห้องเอ็กซเรย์"),"")</f>
        <v>66.666666666666671</v>
      </c>
      <c r="P26" s="54">
        <f>IFERROR(100*COUNTIFS(Raw_Data!$AC$2:$AC$59,"&gt;=4",Raw_Data!$AC$2:$AC$59,"&lt;=5",Raw_Data!$A$2:$A$59,"Yes",Raw_Data!$D$2:$D$59,"ERและเปล")/COUNTIFS(Raw_Data!$AC$2:$AC$59,"&gt;=1",Raw_Data!$AC$2:$AC$59,"&lt;=5",Raw_Data!$A$2:$A$59,"Yes",Raw_Data!$D$2:$D$59,"ERและเปล"),"")</f>
        <v>27.272727272727273</v>
      </c>
      <c r="Q26" s="54">
        <f>IFERROR(100*COUNTIFS(Raw_Data!$AC$2:$AC$59,"&gt;=4",Raw_Data!$AC$2:$AC$59,"&lt;=5",Raw_Data!$A$2:$A$59,"Yes",Raw_Data!$D$2:$D$59,"HR")/COUNTIFS(Raw_Data!$AC$2:$AC$59,"&gt;=1",Raw_Data!$AC$2:$AC$59,"&lt;=5",Raw_Data!$A$2:$A$59,"Yes",Raw_Data!$D$2:$D$59,"HR"),"")</f>
        <v>0</v>
      </c>
      <c r="R26" s="54">
        <f>IFERROR(100*COUNTIFS(Raw_Data!$AC$2:$AC$59,"&gt;=4",Raw_Data!$AC$2:$AC$59,"&lt;=5",Raw_Data!$A$2:$A$59,"Yes",Raw_Data!$D$2:$D$59,"ICU")/COUNTIFS(Raw_Data!$AC$2:$AC$59,"&gt;=1",Raw_Data!$AC$2:$AC$59,"&lt;=5",Raw_Data!$A$2:$A$59,"Yes",Raw_Data!$D$2:$D$59,"ICU"),"")</f>
        <v>50</v>
      </c>
      <c r="S26" s="54">
        <f>IFERROR(100*COUNTIFS(Raw_Data!$AC$2:$AC$59,"&gt;=4",Raw_Data!$AC$2:$AC$59,"&lt;=5",Raw_Data!$A$2:$A$59,"Yes",Raw_Data!$D$2:$D$59,"IPD")/COUNTIFS(Raw_Data!$AC$2:$AC$59,"&gt;=1",Raw_Data!$AC$2:$AC$59,"&lt;=5",Raw_Data!$A$2:$A$59,"Yes",Raw_Data!$D$2:$D$59,"IPD"),"")</f>
        <v>66.666666666666671</v>
      </c>
      <c r="T26" s="54">
        <f>IFERROR(100*COUNTIFS(Raw_Data!$AC$2:$AC$59,"&gt;=4",Raw_Data!$AC$2:$AC$59,"&lt;=5",Raw_Data!$A$2:$A$59,"Yes",Raw_Data!$D$2:$D$59,"IT")/COUNTIFS(Raw_Data!$AC$2:$AC$59,"&gt;=1",Raw_Data!$AC$2:$AC$59,"&lt;=5",Raw_Data!$A$2:$A$59,"Yes",Raw_Data!$D$2:$D$59,"IT"),"")</f>
        <v>100</v>
      </c>
      <c r="U26" s="54">
        <f>IFERROR(100*COUNTIFS(Raw_Data!$AC$2:$AC$59,"&gt;=4",Raw_Data!$AC$2:$AC$59,"&lt;=5",Raw_Data!$A$2:$A$59,"Yes",Raw_Data!$D$2:$D$59,"OR")/COUNTIFS(Raw_Data!$AC$2:$AC$59,"&gt;=1",Raw_Data!$AC$2:$AC$59,"&lt;=5",Raw_Data!$A$2:$A$59,"Yes",Raw_Data!$D$2:$D$59,"OR"),"")</f>
        <v>0</v>
      </c>
      <c r="V26" s="54">
        <f>IFERROR(100*COUNTIFS(Raw_Data!$AC$2:$AC$59,"&gt;=4",Raw_Data!$AC$2:$AC$59,"&lt;=5",Raw_Data!$A$2:$A$59,"Yes",Raw_Data!$D$2:$D$59,"IPD",Raw_Data!$E$2:$E$59,"ผู้บริหาร")/COUNTIFS(Raw_Data!$AC$2:$AC$59,"&gt;=1",Raw_Data!$AC$2:$AC$59,"&lt;=5",Raw_Data!$A$2:$A$59,"Yes",Raw_Data!$D$2:$D$59,"IPD",Raw_Data!$E$2:$E$59,"ผู้บริหาร"),"")</f>
        <v>100</v>
      </c>
      <c r="W26" s="54">
        <f>IFERROR(100*COUNTIFS(Raw_Data!$AC$2:$AC$59,"&gt;=4",Raw_Data!$AC$2:$AC$59,"&lt;=5",Raw_Data!$A$2:$A$59,"Yes",Raw_Data!$D$2:$D$59,"ฝ่ายการพยาบาล",Raw_Data!$E$2:$E$59,"สายวิชาชีพสาธารณสุข")/COUNTIFS(Raw_Data!$AC$2:$AC$59,"&gt;=1",Raw_Data!$AC$2:$AC$59,"&lt;=5",Raw_Data!$A$2:$A$59,"Yes",Raw_Data!$D$2:$D$59,"ฝ่ายการพยาบาล",Raw_Data!$E$2:$E$59,"สายวิชาชีพสาธารณสุข"),"")</f>
        <v>100</v>
      </c>
      <c r="X26" s="54">
        <f>IFERROR(100*COUNTIFS(Raw_Data!$AC$2:$AC$59,"&gt;=4",Raw_Data!$AC$2:$AC$59,"&lt;=5",Raw_Data!$A$2:$A$59,"Yes",Raw_Data!$D$2:$D$59,"ERและเปล",Raw_Data!$E$2:$E$59,"สายวิชาชีพสาธารณสุข")/COUNTIFS(Raw_Data!$AC$2:$AC$59,"&gt;=1",Raw_Data!$AC$2:$AC$59,"&lt;=5",Raw_Data!$A$2:$A$59,"Yes",Raw_Data!$D$2:$D$59,"ERและเปล",Raw_Data!$E$2:$E$59,"สายวิชาชีพสาธารณสุข"),"")</f>
        <v>28.571428571428573</v>
      </c>
      <c r="Y26" s="54">
        <f>IFERROR(100*COUNTIFS(Raw_Data!$AC$2:$AC$59,"&gt;=4",Raw_Data!$AC$2:$AC$59,"&lt;=5",Raw_Data!$A$2:$A$59,"Yes",Raw_Data!$D$2:$D$59,"ICU",Raw_Data!$E$2:$E$59,"สายวิชาชีพสาธารณสุข")/COUNTIFS(Raw_Data!$AC$2:$AC$59,"&gt;=1",Raw_Data!$AC$2:$AC$59,"&lt;=5",Raw_Data!$A$2:$A$59,"Yes",Raw_Data!$D$2:$D$59,"ICU",Raw_Data!$E$2:$E$59,"สายวิชาชีพสาธารณสุข"),"")</f>
        <v>50</v>
      </c>
      <c r="Z26" s="54">
        <f>IFERROR(100*COUNTIFS(Raw_Data!$AC$2:$AC$59,"&gt;=4",Raw_Data!$AC$2:$AC$59,"&lt;=5",Raw_Data!$A$2:$A$59,"Yes",Raw_Data!$D$2:$D$59,"IPD",Raw_Data!$E$2:$E$59,"สายวิชาชีพสาธารณสุข")/COUNTIFS(Raw_Data!$AC$2:$AC$59,"&gt;=1",Raw_Data!$AC$2:$AC$59,"&lt;=5",Raw_Data!$A$2:$A$59,"Yes",Raw_Data!$D$2:$D$59,"IPD",Raw_Data!$E$2:$E$59,"สายวิชาชีพสาธารณสุข"),"")</f>
        <v>100</v>
      </c>
      <c r="AA26" s="54">
        <f>IFERROR(100*COUNTIFS(Raw_Data!$AC$2:$AC$59,"&gt;=4",Raw_Data!$AC$2:$AC$59,"&lt;=5",Raw_Data!$A$2:$A$59,"Yes",Raw_Data!$D$2:$D$59,"OR",Raw_Data!$E$2:$E$59,"สายวิชาชีพสาธารณสุข")/COUNTIFS(Raw_Data!$AC$2:$AC$59,"&gt;=1",Raw_Data!$AC$2:$AC$59,"&lt;=5",Raw_Data!$A$2:$A$59,"Yes",Raw_Data!$D$2:$D$59,"OR",Raw_Data!$E$2:$E$59,"สายวิชาชีพสาธารณสุข"),"")</f>
        <v>0</v>
      </c>
      <c r="AB26" s="54">
        <f>IFERROR(100*COUNTIFS(Raw_Data!$AC$2:$AC$59,"&gt;=4",Raw_Data!$AC$2:$AC$59,"&lt;=5",Raw_Data!$A$2:$A$59,"Yes",Raw_Data!$D$2:$D$59,"การเงิน",Raw_Data!$E$2:$E$59,"สายสนับสนุนทั่วไป")/COUNTIFS(Raw_Data!$AC$2:$AC$59,"&gt;=1",Raw_Data!$AC$2:$AC$59,"&lt;=5",Raw_Data!$A$2:$A$59,"Yes",Raw_Data!$D$2:$D$59,"การเงิน",Raw_Data!$E$2:$E$59,"สายสนับสนุนทั่วไป"),"")</f>
        <v>33.333333333333336</v>
      </c>
      <c r="AC26" s="54">
        <f>IFERROR(100*COUNTIFS(Raw_Data!$AC$2:$AC$59,"&gt;=4",Raw_Data!$AC$2:$AC$59,"&lt;=5",Raw_Data!$A$2:$A$59,"Yes",Raw_Data!$D$2:$D$59,"เคหรักษ์",Raw_Data!$E$2:$E$59,"สายสนับสนุนทั่วไป")/COUNTIFS(Raw_Data!$AC$2:$AC$59,"&gt;=1",Raw_Data!$AC$2:$AC$59,"&lt;=5",Raw_Data!$A$2:$A$59,"Yes",Raw_Data!$D$2:$D$59,"เคหรักษ์",Raw_Data!$E$2:$E$59,"สายสนับสนุนทั่วไป"),"")</f>
        <v>50</v>
      </c>
      <c r="AD26" s="54">
        <f>IFERROR(100*COUNTIFS(Raw_Data!$AC$2:$AC$59,"&gt;=4",Raw_Data!$AC$2:$AC$59,"&lt;=5",Raw_Data!$A$2:$A$59,"Yes",Raw_Data!$D$2:$D$59,"จ่ายกลาง",Raw_Data!$E$2:$E$59,"สายสนับสนุนทั่วไป")/COUNTIFS(Raw_Data!$AC$2:$AC$59,"&gt;=1",Raw_Data!$AC$2:$AC$59,"&lt;=5",Raw_Data!$A$2:$A$59,"Yes",Raw_Data!$D$2:$D$59,"จ่ายกลาง",Raw_Data!$E$2:$E$59,"สายสนับสนุนทั่วไป"),"")</f>
        <v>100</v>
      </c>
      <c r="AE26" s="54">
        <f>IFERROR(100*COUNTIFS(Raw_Data!$AC$2:$AC$59,"&gt;=4",Raw_Data!$AC$2:$AC$59,"&lt;=5",Raw_Data!$A$2:$A$59,"Yes",Raw_Data!$D$2:$D$59,"ช่างและสนาม",Raw_Data!$E$2:$E$59,"สายสนับสนุนทั่วไป")/COUNTIFS(Raw_Data!$AC$2:$AC$59,"&gt;=1",Raw_Data!$AC$2:$AC$59,"&lt;=5",Raw_Data!$A$2:$A$59,"Yes",Raw_Data!$D$2:$D$59,"ช่างและสนาม",Raw_Data!$E$2:$E$59,"สายสนับสนุนทั่วไป"),"")</f>
        <v>50</v>
      </c>
      <c r="AF26" s="54">
        <f>IFERROR(100*COUNTIFS(Raw_Data!$AC$2:$AC$59,"&gt;=4",Raw_Data!$AC$2:$AC$59,"&lt;=5",Raw_Data!$A$2:$A$59,"Yes",Raw_Data!$D$2:$D$59,"ผู้ป่วยสัมพันธ์",Raw_Data!$E$2:$E$59,"สายสนับสนุนทั่วไป")/COUNTIFS(Raw_Data!$AC$2:$AC$59,"&gt;=1",Raw_Data!$AC$2:$AC$59,"&lt;=5",Raw_Data!$A$2:$A$59,"Yes",Raw_Data!$D$2:$D$59,"ผู้ป่วยสัมพันธ์",Raw_Data!$E$2:$E$59,"สายสนับสนุนทั่วไป"),"")</f>
        <v>100</v>
      </c>
      <c r="AG26" s="54">
        <f>IFERROR(100*COUNTIFS(Raw_Data!$AC$2:$AC$59,"&gt;=4",Raw_Data!$AC$2:$AC$59,"&lt;=5",Raw_Data!$A$2:$A$59,"Yes",Raw_Data!$D$2:$D$59,"ยานพาหนะ",Raw_Data!$E$2:$E$59,"สายสนับสนุนทั่วไป")/COUNTIFS(Raw_Data!$AC$2:$AC$59,"&gt;=1",Raw_Data!$AC$2:$AC$59,"&lt;=5",Raw_Data!$A$2:$A$59,"Yes",Raw_Data!$D$2:$D$59,"ยานพาหนะ",Raw_Data!$E$2:$E$59,"สายสนับสนุนทั่วไป"),"")</f>
        <v>100</v>
      </c>
      <c r="AH26" s="54">
        <f>IFERROR(100*COUNTIFS(Raw_Data!$AC$2:$AC$59,"&gt;=4",Raw_Data!$AC$2:$AC$59,"&lt;=5",Raw_Data!$A$2:$A$59,"Yes",Raw_Data!$D$2:$D$59,"สื่อสารการตลาด",Raw_Data!$E$2:$E$59,"สายสนับสนุนทั่วไป")/COUNTIFS(Raw_Data!$AC$2:$AC$59,"&gt;=1",Raw_Data!$AC$2:$AC$59,"&lt;=5",Raw_Data!$A$2:$A$59,"Yes",Raw_Data!$D$2:$D$59,"สื่อสารการตลาด",Raw_Data!$E$2:$E$59,"สายสนับสนุนทั่วไป"),"")</f>
        <v>0</v>
      </c>
      <c r="AI26" s="54">
        <f>IFERROR(100*COUNTIFS(Raw_Data!$AC$2:$AC$59,"&gt;=4",Raw_Data!$AC$2:$AC$59,"&lt;=5",Raw_Data!$A$2:$A$59,"Yes",Raw_Data!$D$2:$D$59,"ERและเปล",Raw_Data!$E$2:$E$59,"สายสนับสนุนทั่วไป")/COUNTIFS(Raw_Data!$AC$2:$AC$59,"&gt;=1",Raw_Data!$AC$2:$AC$59,"&lt;=5",Raw_Data!$A$2:$A$59,"Yes",Raw_Data!$D$2:$D$59,"ERและเปล",Raw_Data!$E$2:$E$59,"สายสนับสนุนทั่วไป"),"")</f>
        <v>33.333333333333336</v>
      </c>
      <c r="AJ26" s="54">
        <f>IFERROR(100*COUNTIFS(Raw_Data!$AC$2:$AC$59,"&gt;=4",Raw_Data!$AC$2:$AC$59,"&lt;=5",Raw_Data!$A$2:$A$59,"Yes",Raw_Data!$D$2:$D$59,"HR",Raw_Data!$E$2:$E$59,"สายสนับสนุนทั่วไป")/COUNTIFS(Raw_Data!$AC$2:$AC$59,"&gt;=1",Raw_Data!$AC$2:$AC$59,"&lt;=5",Raw_Data!$A$2:$A$59,"Yes",Raw_Data!$D$2:$D$59,"HR",Raw_Data!$E$2:$E$59,"สายสนับสนุนทั่วไป"),"")</f>
        <v>0</v>
      </c>
      <c r="AK26" s="54">
        <f>IFERROR(100*COUNTIFS(Raw_Data!$AC$2:$AC$59,"&gt;=4",Raw_Data!$AC$2:$AC$59,"&lt;=5",Raw_Data!$A$2:$A$59,"Yes",Raw_Data!$D$2:$D$59,"ICU",Raw_Data!$E$2:$E$59,"สายสนับสนุนทั่วไป")/COUNTIFS(Raw_Data!$AC$2:$AC$59,"&gt;=1",Raw_Data!$AC$2:$AC$59,"&lt;=5",Raw_Data!$A$2:$A$59,"Yes",Raw_Data!$D$2:$D$59,"ICU",Raw_Data!$E$2:$E$59,"สายสนับสนุนทั่วไป"),"")</f>
        <v>0</v>
      </c>
      <c r="AL26" s="54">
        <f>IFERROR(100*COUNTIFS(Raw_Data!$AC$2:$AC$59,"&gt;=4",Raw_Data!$AC$2:$AC$59,"&lt;=5",Raw_Data!$A$2:$A$59,"Yes",Raw_Data!$D$2:$D$59,"IPD",Raw_Data!$E$2:$E$59,"สายสนับสนุนทั่วไป")/COUNTIFS(Raw_Data!$AC$2:$AC$59,"&gt;=1",Raw_Data!$AC$2:$AC$59,"&lt;=5",Raw_Data!$A$2:$A$59,"Yes",Raw_Data!$D$2:$D$59,"IPD",Raw_Data!$E$2:$E$59,"สายสนับสนุนทั่วไป"),"")</f>
        <v>0</v>
      </c>
      <c r="AM26" s="54">
        <f>IFERROR(100*COUNTIFS(Raw_Data!$AC$2:$AC$59,"&gt;=4",Raw_Data!$AC$2:$AC$59,"&lt;=5",Raw_Data!$A$2:$A$59,"Yes",Raw_Data!$D$2:$D$59,"IT",Raw_Data!$E$2:$E$59,"สายสนับสนุนทั่วไป")/COUNTIFS(Raw_Data!$AC$2:$AC$59,"&gt;=1",Raw_Data!$AC$2:$AC$59,"&lt;=5",Raw_Data!$A$2:$A$59,"Yes",Raw_Data!$D$2:$D$59,"IT",Raw_Data!$E$2:$E$59,"สายสนับสนุนทั่วไป"),"")</f>
        <v>100</v>
      </c>
      <c r="AN26" s="54">
        <f>IFERROR(100*COUNTIFS(Raw_Data!$AC$2:$AC$59,"&gt;=4",Raw_Data!$AC$2:$AC$59,"&lt;=5",Raw_Data!$A$2:$A$59,"Yes",Raw_Data!$D$2:$D$59,"ผู้ป่วยสัมพันธ์",Raw_Data!$E$2:$E$59,"สายสนับสนุนทางการแพทย์")/COUNTIFS(Raw_Data!$AC$2:$AC$59,"&gt;=1",Raw_Data!$AC$2:$AC$59,"&lt;=5",Raw_Data!$A$2:$A$59,"Yes",Raw_Data!$D$2:$D$59,"ผู้ป่วยสัมพันธ์",Raw_Data!$E$2:$E$59,"สายสนับสนุนทางการแพทย์"),"")</f>
        <v>66.666666666666671</v>
      </c>
      <c r="AO26" s="54">
        <f>IFERROR(100*COUNTIFS(Raw_Data!$AC$2:$AC$59,"&gt;=4",Raw_Data!$AC$2:$AC$59,"&lt;=5",Raw_Data!$A$2:$A$59,"Yes",Raw_Data!$D$2:$D$59,"ฝ่ายการพยาบาล",Raw_Data!$E$2:$E$59,"สายสนับสนุนทางการแพทย์")/COUNTIFS(Raw_Data!$AC$2:$AC$59,"&gt;=1",Raw_Data!$AC$2:$AC$59,"&lt;=5",Raw_Data!$A$2:$A$59,"Yes",Raw_Data!$D$2:$D$59,"ฝ่ายการพยาบาล",Raw_Data!$E$2:$E$59,"สายสนับสนุนทางการแพทย์"),"")</f>
        <v>100</v>
      </c>
      <c r="AP26" s="54">
        <f>IFERROR(100*COUNTIFS(Raw_Data!$AC$2:$AC$59,"&gt;=4",Raw_Data!$AC$2:$AC$59,"&lt;=5",Raw_Data!$A$2:$A$59,"Yes",Raw_Data!$D$2:$D$59,"โภชนาการ",Raw_Data!$E$2:$E$59,"สายสนับสนุนทางการแพทย์")/COUNTIFS(Raw_Data!$AC$2:$AC$59,"&gt;=1",Raw_Data!$AC$2:$AC$59,"&lt;=5",Raw_Data!$A$2:$A$59,"Yes",Raw_Data!$D$2:$D$59,"โภชนาการ",Raw_Data!$E$2:$E$59,"สายสนับสนุนทางการแพทย์"),"")</f>
        <v>100</v>
      </c>
      <c r="AQ26" s="54">
        <f>IFERROR(100*COUNTIFS(Raw_Data!$AC$2:$AC$59,"&gt;=4",Raw_Data!$AC$2:$AC$59,"&lt;=5",Raw_Data!$A$2:$A$59,"Yes",Raw_Data!$D$2:$D$59,"ห้องยา",Raw_Data!$E$2:$E$59,"สายสนับสนุนทางการแพทย์")/COUNTIFS(Raw_Data!$AC$2:$AC$59,"&gt;=1",Raw_Data!$AC$2:$AC$59,"&lt;=5",Raw_Data!$A$2:$A$59,"Yes",Raw_Data!$D$2:$D$59,"ห้องยา",Raw_Data!$E$2:$E$59,"สายสนับสนุนทางการแพทย์"),"")</f>
        <v>100</v>
      </c>
      <c r="AR26" s="54">
        <f>IFERROR(100*COUNTIFS(Raw_Data!$AC$2:$AC$59,"&gt;=4",Raw_Data!$AC$2:$AC$59,"&lt;=5",Raw_Data!$A$2:$A$59,"Yes",Raw_Data!$D$2:$D$59,"ห้องแลป",Raw_Data!$E$2:$E$59,"สายสนับสนุนทางการแพทย์")/COUNTIFS(Raw_Data!$AC$2:$AC$59,"&gt;=1",Raw_Data!$AC$2:$AC$59,"&lt;=5",Raw_Data!$A$2:$A$59,"Yes",Raw_Data!$D$2:$D$59,"ห้องแลป",Raw_Data!$E$2:$E$59,"สายสนับสนุนทางการแพทย์"),"")</f>
        <v>50</v>
      </c>
      <c r="AS26" s="54">
        <f>IFERROR(100*COUNTIFS(Raw_Data!$AC$2:$AC$59,"&gt;=4",Raw_Data!$AC$2:$AC$59,"&lt;=5",Raw_Data!$A$2:$A$59,"Yes",Raw_Data!$D$2:$D$59,"ห้องเอ็กซเรย์",Raw_Data!$E$2:$E$59,"สายสนับสนุนทางการแพทย์")/COUNTIFS(Raw_Data!$AC$2:$AC$59,"&gt;=1",Raw_Data!$AC$2:$AC$59,"&lt;=5",Raw_Data!$A$2:$A$59,"Yes",Raw_Data!$D$2:$D$59,"ห้องเอ็กซเรย์",Raw_Data!$E$2:$E$59,"สายสนับสนุนทางการแพทย์"),"")</f>
        <v>66.666666666666671</v>
      </c>
      <c r="AT26" s="54">
        <f>IFERROR(100*COUNTIFS(Raw_Data!$AC$2:$AC$59,"&gt;=4",Raw_Data!$AC$2:$AC$59,"&lt;=5",Raw_Data!$A$2:$A$59,"Yes",Raw_Data!$D$2:$D$59,"ERและเปล",Raw_Data!$E$2:$E$59,"สายสนับสนุนทางการแพทย์")/COUNTIFS(Raw_Data!$AC$2:$AC$59,"&gt;=1",Raw_Data!$AC$2:$AC$59,"&lt;=5",Raw_Data!$A$2:$A$59,"Yes",Raw_Data!$D$2:$D$59,"ERและเปล",Raw_Data!$E$2:$E$59,"สายสนับสนุนทางการแพทย์"),"")</f>
        <v>0</v>
      </c>
      <c r="AU26" s="54">
        <f>IFERROR(100*COUNTIFS(Raw_Data!$AC$2:$AC$59,"&gt;=4",Raw_Data!$AC$2:$AC$59,"&lt;=5",Raw_Data!$A$2:$A$59,"Yes",Raw_Data!$D$2:$D$59,"ICU",Raw_Data!$E$2:$E$59,"สายสนับสนุนทางการแพทย์")/COUNTIFS(Raw_Data!$AC$2:$AC$59,"&gt;=1",Raw_Data!$AC$2:$AC$59,"&lt;=5",Raw_Data!$A$2:$A$59,"Yes",Raw_Data!$D$2:$D$59,"ICU",Raw_Data!$E$2:$E$59,"สายสนับสนุนทางการแพทย์"),"")</f>
        <v>100</v>
      </c>
      <c r="AV26" s="54">
        <f>IFERROR(100*COUNTIFS(Raw_Data!$AC$2:$AC$59,"&gt;=4",Raw_Data!$AC$2:$AC$59,"&lt;=5",Raw_Data!$A$2:$A$59,"Yes",Raw_Data!$D$2:$D$59,"IPD",Raw_Data!$E$2:$E$59,"สายสนับสนุนทางการแพทย์")/COUNTIFS(Raw_Data!$AC$2:$AC$59,"&gt;=1",Raw_Data!$AC$2:$AC$59,"&lt;=5",Raw_Data!$A$2:$A$59,"Yes",Raw_Data!$D$2:$D$59,"IPD",Raw_Data!$E$2:$E$59,"สายสนับสนุนทางการแพทย์"),"")</f>
        <v>50</v>
      </c>
      <c r="AW26" s="54">
        <f>IFERROR(100*COUNTIFS(Raw_Data!$AC$2:$AC$59,"&gt;=4",Raw_Data!$AC$2:$AC$59,"&lt;=5",Raw_Data!$A$2:$A$59,"Yes",Raw_Data!$D$2:$D$59,"IT",Raw_Data!$E$2:$E$59,"สายสนับสนุนทางการแพทย์")/COUNTIFS(Raw_Data!$AC$2:$AC$59,"&gt;=1",Raw_Data!$AC$2:$AC$59,"&lt;=5",Raw_Data!$A$2:$A$59,"Yes",Raw_Data!$D$2:$D$59,"IT",Raw_Data!$E$2:$E$59,"สายสนับสนุนทางการแพทย์"),"")</f>
        <v>100</v>
      </c>
    </row>
    <row r="27" spans="1:49" ht="42" customHeight="1">
      <c r="A27" s="50"/>
      <c r="B27" s="51" t="s">
        <v>54</v>
      </c>
      <c r="C27" s="54">
        <f>IFERROR(100*COUNTIFS(Raw_Data!$AD$2:$AD$59,"&gt;=1",Raw_Data!$AD$2:$AD$59,"&lt;=2",Raw_Data!$A$2:$A$59,"Yes")/COUNTIFS(Raw_Data!$AD$2:$AD$59,"&gt;=1",Raw_Data!$AD$2:$AD$59,"&lt;=5",Raw_Data!$A$2:$A$59,"Yes"),"")</f>
        <v>39.655172413793103</v>
      </c>
      <c r="D27" s="54">
        <f>IFERROR(100*COUNTIFS(Raw_Data!$AD$2:$AD$59,"&gt;=1",Raw_Data!$AD$2:$AD$59,"&lt;=2",Raw_Data!$A$2:$A$59,"Yes",Raw_Data!$D$2:$D$59,"การเงิน")/COUNTIFS(Raw_Data!$AD$2:$AD$59,"&gt;=1",Raw_Data!$AD$2:$AD$59,"&lt;=5",Raw_Data!$A$2:$A$59,"Yes",Raw_Data!$D$2:$D$59,"การเงิน"),"")</f>
        <v>66.666666666666671</v>
      </c>
      <c r="E27" s="54">
        <f>IFERROR(100*COUNTIFS(Raw_Data!$AD$2:$AD$59,"&gt;=1",Raw_Data!$AD$2:$AD$59,"&lt;=2",Raw_Data!$A$2:$A$59,"Yes",Raw_Data!$D$2:$D$59,"เคหรักษ์")/COUNTIFS(Raw_Data!$AD$2:$AD$59,"&gt;=1",Raw_Data!$AD$2:$AD$59,"&lt;=5",Raw_Data!$A$2:$A$59,"Yes",Raw_Data!$D$2:$D$59,"เคหรักษ์"),"")</f>
        <v>0</v>
      </c>
      <c r="F27" s="54">
        <f>IFERROR(100*COUNTIFS(Raw_Data!$AD$2:$AD$59,"&gt;=1",Raw_Data!$AD$2:$AD$59,"&lt;=2",Raw_Data!$A$2:$A$59,"Yes",Raw_Data!$D$2:$D$59,"จ่ายกลาง")/COUNTIFS(Raw_Data!$AD$2:$AD$59,"&gt;=1",Raw_Data!$AD$2:$AD$59,"&lt;=5",Raw_Data!$A$2:$A$59,"Yes",Raw_Data!$D$2:$D$59,"จ่ายกลาง"),"")</f>
        <v>0</v>
      </c>
      <c r="G27" s="54">
        <f>IFERROR(100*COUNTIFS(Raw_Data!$AD$2:$AD$59,"&gt;=1",Raw_Data!$AD$2:$AD$59,"&lt;=2",Raw_Data!$A$2:$A$59,"Yes",Raw_Data!$D$2:$D$59,"ช่างและสนาม")/COUNTIFS(Raw_Data!$AD$2:$AD$59,"&gt;=1",Raw_Data!$AD$2:$AD$59,"&lt;=5",Raw_Data!$A$2:$A$59,"Yes",Raw_Data!$D$2:$D$59,"ช่างและสนาม"),"")</f>
        <v>50</v>
      </c>
      <c r="H27" s="54">
        <f>IFERROR(100*COUNTIFS(Raw_Data!$AD$2:$AD$59,"&gt;=1",Raw_Data!$AD$2:$AD$59,"&lt;=2",Raw_Data!$A$2:$A$59,"Yes",Raw_Data!$D$2:$D$59,"ผู้ป่วยสัมพันธ์")/COUNTIFS(Raw_Data!$AD$2:$AD$59,"&gt;=1",Raw_Data!$AD$2:$AD$59,"&lt;=5",Raw_Data!$A$2:$A$59,"Yes",Raw_Data!$D$2:$D$59,"ผู้ป่วยสัมพันธ์"),"")</f>
        <v>75</v>
      </c>
      <c r="I27" s="54">
        <f>IFERROR(100*COUNTIFS(Raw_Data!$AD$2:$AD$59,"&gt;=1",Raw_Data!$AD$2:$AD$59,"&lt;=2",Raw_Data!$A$2:$A$59,"Yes",Raw_Data!$D$2:$D$59,"ฝ่ายการพยาบาล")/COUNTIFS(Raw_Data!$AD$2:$AD$59,"&gt;=1",Raw_Data!$AD$2:$AD$59,"&lt;=5",Raw_Data!$A$2:$A$59,"Yes",Raw_Data!$D$2:$D$59,"ฝ่ายการพยาบาล"),"")</f>
        <v>50</v>
      </c>
      <c r="J27" s="54">
        <f>IFERROR(100*COUNTIFS(Raw_Data!$AD$2:$AD$59,"&gt;=1",Raw_Data!$AD$2:$AD$59,"&lt;=2",Raw_Data!$A$2:$A$59,"Yes",Raw_Data!$D$2:$D$59,"โภชนาการ")/COUNTIFS(Raw_Data!$AD$2:$AD$59,"&gt;=1",Raw_Data!$AD$2:$AD$59,"&lt;=5",Raw_Data!$A$2:$A$59,"Yes",Raw_Data!$D$2:$D$59,"โภชนาการ"),"")</f>
        <v>100</v>
      </c>
      <c r="K27" s="54">
        <f>IFERROR(100*COUNTIFS(Raw_Data!$AD$2:$AD$59,"&gt;=1",Raw_Data!$AD$2:$AD$59,"&lt;=2",Raw_Data!$A$2:$A$59,"Yes",Raw_Data!$D$2:$D$59,"ยานพาหนะ")/COUNTIFS(Raw_Data!$AD$2:$AD$59,"&gt;=1",Raw_Data!$AD$2:$AD$59,"&lt;=5",Raw_Data!$A$2:$A$59,"Yes",Raw_Data!$D$2:$D$59,"ยานพาหนะ"),"")</f>
        <v>100</v>
      </c>
      <c r="L27" s="54">
        <f>IFERROR(100*COUNTIFS(Raw_Data!$AD$2:$AD$59,"&gt;=1",Raw_Data!$AD$2:$AD$59,"&lt;=2",Raw_Data!$A$2:$A$59,"Yes",Raw_Data!$D$2:$D$59,"สื่อสารการตลาด")/COUNTIFS(Raw_Data!$AD$2:$AD$59,"&gt;=1",Raw_Data!$AD$2:$AD$59,"&lt;=5",Raw_Data!$A$2:$A$59,"Yes",Raw_Data!$D$2:$D$59,"สื่อสารการตลาด"),"")</f>
        <v>0</v>
      </c>
      <c r="M27" s="54">
        <f>IFERROR(100*COUNTIFS(Raw_Data!$AD$2:$AD$59,"&gt;=1",Raw_Data!$AD$2:$AD$59,"&lt;=2",Raw_Data!$A$2:$A$59,"Yes",Raw_Data!$D$2:$D$59,"ห้องยา")/COUNTIFS(Raw_Data!$AD$2:$AD$59,"&gt;=1",Raw_Data!$AD$2:$AD$59,"&lt;=5",Raw_Data!$A$2:$A$59,"Yes",Raw_Data!$D$2:$D$59,"ห้องยา"),"")</f>
        <v>50</v>
      </c>
      <c r="N27" s="54">
        <f>IFERROR(100*COUNTIFS(Raw_Data!$AD$2:$AD$59,"&gt;=1",Raw_Data!$AD$2:$AD$59,"&lt;=2",Raw_Data!$A$2:$A$59,"Yes",Raw_Data!$D$2:$D$59,"ห้องแลป")/COUNTIFS(Raw_Data!$AD$2:$AD$59,"&gt;=1",Raw_Data!$AD$2:$AD$59,"&lt;=5",Raw_Data!$A$2:$A$59,"Yes",Raw_Data!$D$2:$D$59,"ห้องแลป"),"")</f>
        <v>0</v>
      </c>
      <c r="O27" s="54">
        <f>IFERROR(100*COUNTIFS(Raw_Data!$AD$2:$AD$59,"&gt;=1",Raw_Data!$AD$2:$AD$59,"&lt;=2",Raw_Data!$A$2:$A$59,"Yes",Raw_Data!$D$2:$D$59,"ห้องเอ็กซเรย์")/COUNTIFS(Raw_Data!$AD$2:$AD$59,"&gt;=1",Raw_Data!$AD$2:$AD$59,"&lt;=5",Raw_Data!$A$2:$A$59,"Yes",Raw_Data!$D$2:$D$59,"ห้องเอ็กซเรย์"),"")</f>
        <v>0</v>
      </c>
      <c r="P27" s="54">
        <f>IFERROR(100*COUNTIFS(Raw_Data!$AD$2:$AD$59,"&gt;=1",Raw_Data!$AD$2:$AD$59,"&lt;=2",Raw_Data!$A$2:$A$59,"Yes",Raw_Data!$D$2:$D$59,"ERและเปล")/COUNTIFS(Raw_Data!$AD$2:$AD$59,"&gt;=1",Raw_Data!$AD$2:$AD$59,"&lt;=5",Raw_Data!$A$2:$A$59,"Yes",Raw_Data!$D$2:$D$59,"ERและเปล"),"")</f>
        <v>18.181818181818183</v>
      </c>
      <c r="Q27" s="54">
        <f>IFERROR(100*COUNTIFS(Raw_Data!$AD$2:$AD$59,"&gt;=1",Raw_Data!$AD$2:$AD$59,"&lt;=2",Raw_Data!$A$2:$A$59,"Yes",Raw_Data!$D$2:$D$59,"HR")/COUNTIFS(Raw_Data!$AD$2:$AD$59,"&gt;=1",Raw_Data!$AD$2:$AD$59,"&lt;=5",Raw_Data!$A$2:$A$59,"Yes",Raw_Data!$D$2:$D$59,"HR"),"")</f>
        <v>0</v>
      </c>
      <c r="R27" s="54">
        <f>IFERROR(100*COUNTIFS(Raw_Data!$AD$2:$AD$59,"&gt;=1",Raw_Data!$AD$2:$AD$59,"&lt;=2",Raw_Data!$A$2:$A$59,"Yes",Raw_Data!$D$2:$D$59,"ICU")/COUNTIFS(Raw_Data!$AD$2:$AD$59,"&gt;=1",Raw_Data!$AD$2:$AD$59,"&lt;=5",Raw_Data!$A$2:$A$59,"Yes",Raw_Data!$D$2:$D$59,"ICU"),"")</f>
        <v>50</v>
      </c>
      <c r="S27" s="54">
        <f>IFERROR(100*COUNTIFS(Raw_Data!$AD$2:$AD$59,"&gt;=1",Raw_Data!$AD$2:$AD$59,"&lt;=2",Raw_Data!$A$2:$A$59,"Yes",Raw_Data!$D$2:$D$59,"IPD")/COUNTIFS(Raw_Data!$AD$2:$AD$59,"&gt;=1",Raw_Data!$AD$2:$AD$59,"&lt;=5",Raw_Data!$A$2:$A$59,"Yes",Raw_Data!$D$2:$D$59,"IPD"),"")</f>
        <v>50</v>
      </c>
      <c r="T27" s="54">
        <f>IFERROR(100*COUNTIFS(Raw_Data!$AD$2:$AD$59,"&gt;=1",Raw_Data!$AD$2:$AD$59,"&lt;=2",Raw_Data!$A$2:$A$59,"Yes",Raw_Data!$D$2:$D$59,"IT")/COUNTIFS(Raw_Data!$AD$2:$AD$59,"&gt;=1",Raw_Data!$AD$2:$AD$59,"&lt;=5",Raw_Data!$A$2:$A$59,"Yes",Raw_Data!$D$2:$D$59,"IT"),"")</f>
        <v>100</v>
      </c>
      <c r="U27" s="54">
        <f>IFERROR(100*COUNTIFS(Raw_Data!$AD$2:$AD$59,"&gt;=1",Raw_Data!$AD$2:$AD$59,"&lt;=2",Raw_Data!$A$2:$A$59,"Yes",Raw_Data!$D$2:$D$59,"OR")/COUNTIFS(Raw_Data!$AD$2:$AD$59,"&gt;=1",Raw_Data!$AD$2:$AD$59,"&lt;=5",Raw_Data!$A$2:$A$59,"Yes",Raw_Data!$D$2:$D$59,"OR"),"")</f>
        <v>25</v>
      </c>
      <c r="V27" s="54">
        <f>IFERROR(100*COUNTIFS(Raw_Data!$AD$2:$AD$59,"&gt;=1",Raw_Data!$AD$2:$AD$59,"&lt;=2",Raw_Data!$A$2:$A$59,"Yes",Raw_Data!$D$2:$D$59,"IPD",Raw_Data!$E$2:$E$59,"ผู้บริหาร")/COUNTIFS(Raw_Data!$AD$2:$AD$59,"&gt;=1",Raw_Data!$AD$2:$AD$59,"&lt;=5",Raw_Data!$A$2:$A$59,"Yes",Raw_Data!$D$2:$D$59,"IPD",Raw_Data!$E$2:$E$59,"ผู้บริหาร"),"")</f>
        <v>0</v>
      </c>
      <c r="W27" s="54">
        <f>IFERROR(100*COUNTIFS(Raw_Data!$AD$2:$AD$59,"&gt;=1",Raw_Data!$AD$2:$AD$59,"&lt;=2",Raw_Data!$A$2:$A$59,"Yes",Raw_Data!$D$2:$D$59,"ฝ่ายการพยาบาล",Raw_Data!$E$2:$E$59,"สายวิชาชีพสาธารณสุข")/COUNTIFS(Raw_Data!$AD$2:$AD$59,"&gt;=1",Raw_Data!$AD$2:$AD$59,"&lt;=5",Raw_Data!$A$2:$A$59,"Yes",Raw_Data!$D$2:$D$59,"ฝ่ายการพยาบาล",Raw_Data!$E$2:$E$59,"สายวิชาชีพสาธารณสุข"),"")</f>
        <v>0</v>
      </c>
      <c r="X27" s="54">
        <f>IFERROR(100*COUNTIFS(Raw_Data!$AD$2:$AD$59,"&gt;=1",Raw_Data!$AD$2:$AD$59,"&lt;=2",Raw_Data!$A$2:$A$59,"Yes",Raw_Data!$D$2:$D$59,"ERและเปล",Raw_Data!$E$2:$E$59,"สายวิชาชีพสาธารณสุข")/COUNTIFS(Raw_Data!$AD$2:$AD$59,"&gt;=1",Raw_Data!$AD$2:$AD$59,"&lt;=5",Raw_Data!$A$2:$A$59,"Yes",Raw_Data!$D$2:$D$59,"ERและเปล",Raw_Data!$E$2:$E$59,"สายวิชาชีพสาธารณสุข"),"")</f>
        <v>14.285714285714286</v>
      </c>
      <c r="Y27" s="54">
        <f>IFERROR(100*COUNTIFS(Raw_Data!$AD$2:$AD$59,"&gt;=1",Raw_Data!$AD$2:$AD$59,"&lt;=2",Raw_Data!$A$2:$A$59,"Yes",Raw_Data!$D$2:$D$59,"ICU",Raw_Data!$E$2:$E$59,"สายวิชาชีพสาธารณสุข")/COUNTIFS(Raw_Data!$AD$2:$AD$59,"&gt;=1",Raw_Data!$AD$2:$AD$59,"&lt;=5",Raw_Data!$A$2:$A$59,"Yes",Raw_Data!$D$2:$D$59,"ICU",Raw_Data!$E$2:$E$59,"สายวิชาชีพสาธารณสุข"),"")</f>
        <v>50</v>
      </c>
      <c r="Z27" s="54">
        <f>IFERROR(100*COUNTIFS(Raw_Data!$AD$2:$AD$59,"&gt;=1",Raw_Data!$AD$2:$AD$59,"&lt;=2",Raw_Data!$A$2:$A$59,"Yes",Raw_Data!$D$2:$D$59,"IPD",Raw_Data!$E$2:$E$59,"สายวิชาชีพสาธารณสุข")/COUNTIFS(Raw_Data!$AD$2:$AD$59,"&gt;=1",Raw_Data!$AD$2:$AD$59,"&lt;=5",Raw_Data!$A$2:$A$59,"Yes",Raw_Data!$D$2:$D$59,"IPD",Raw_Data!$E$2:$E$59,"สายวิชาชีพสาธารณสุข"),"")</f>
        <v>100</v>
      </c>
      <c r="AA27" s="54">
        <f>IFERROR(100*COUNTIFS(Raw_Data!$AD$2:$AD$59,"&gt;=1",Raw_Data!$AD$2:$AD$59,"&lt;=2",Raw_Data!$A$2:$A$59,"Yes",Raw_Data!$D$2:$D$59,"OR",Raw_Data!$E$2:$E$59,"สายวิชาชีพสาธารณสุข")/COUNTIFS(Raw_Data!$AD$2:$AD$59,"&gt;=1",Raw_Data!$AD$2:$AD$59,"&lt;=5",Raw_Data!$A$2:$A$59,"Yes",Raw_Data!$D$2:$D$59,"OR",Raw_Data!$E$2:$E$59,"สายวิชาชีพสาธารณสุข"),"")</f>
        <v>25</v>
      </c>
      <c r="AB27" s="54">
        <f>IFERROR(100*COUNTIFS(Raw_Data!$AD$2:$AD$59,"&gt;=1",Raw_Data!$AD$2:$AD$59,"&lt;=2",Raw_Data!$A$2:$A$59,"Yes",Raw_Data!$D$2:$D$59,"การเงิน",Raw_Data!$E$2:$E$59,"สายสนับสนุนทั่วไป")/COUNTIFS(Raw_Data!$AD$2:$AD$59,"&gt;=1",Raw_Data!$AD$2:$AD$59,"&lt;=5",Raw_Data!$A$2:$A$59,"Yes",Raw_Data!$D$2:$D$59,"การเงิน",Raw_Data!$E$2:$E$59,"สายสนับสนุนทั่วไป"),"")</f>
        <v>66.666666666666671</v>
      </c>
      <c r="AC27" s="54">
        <f>IFERROR(100*COUNTIFS(Raw_Data!$AD$2:$AD$59,"&gt;=1",Raw_Data!$AD$2:$AD$59,"&lt;=2",Raw_Data!$A$2:$A$59,"Yes",Raw_Data!$D$2:$D$59,"เคหรักษ์",Raw_Data!$E$2:$E$59,"สายสนับสนุนทั่วไป")/COUNTIFS(Raw_Data!$AD$2:$AD$59,"&gt;=1",Raw_Data!$AD$2:$AD$59,"&lt;=5",Raw_Data!$A$2:$A$59,"Yes",Raw_Data!$D$2:$D$59,"เคหรักษ์",Raw_Data!$E$2:$E$59,"สายสนับสนุนทั่วไป"),"")</f>
        <v>0</v>
      </c>
      <c r="AD27" s="54">
        <f>IFERROR(100*COUNTIFS(Raw_Data!$AD$2:$AD$59,"&gt;=1",Raw_Data!$AD$2:$AD$59,"&lt;=2",Raw_Data!$A$2:$A$59,"Yes",Raw_Data!$D$2:$D$59,"จ่ายกลาง",Raw_Data!$E$2:$E$59,"สายสนับสนุนทั่วไป")/COUNTIFS(Raw_Data!$AD$2:$AD$59,"&gt;=1",Raw_Data!$AD$2:$AD$59,"&lt;=5",Raw_Data!$A$2:$A$59,"Yes",Raw_Data!$D$2:$D$59,"จ่ายกลาง",Raw_Data!$E$2:$E$59,"สายสนับสนุนทั่วไป"),"")</f>
        <v>0</v>
      </c>
      <c r="AE27" s="54">
        <f>IFERROR(100*COUNTIFS(Raw_Data!$AD$2:$AD$59,"&gt;=1",Raw_Data!$AD$2:$AD$59,"&lt;=2",Raw_Data!$A$2:$A$59,"Yes",Raw_Data!$D$2:$D$59,"ช่างและสนาม",Raw_Data!$E$2:$E$59,"สายสนับสนุนทั่วไป")/COUNTIFS(Raw_Data!$AD$2:$AD$59,"&gt;=1",Raw_Data!$AD$2:$AD$59,"&lt;=5",Raw_Data!$A$2:$A$59,"Yes",Raw_Data!$D$2:$D$59,"ช่างและสนาม",Raw_Data!$E$2:$E$59,"สายสนับสนุนทั่วไป"),"")</f>
        <v>50</v>
      </c>
      <c r="AF27" s="54">
        <f>IFERROR(100*COUNTIFS(Raw_Data!$AD$2:$AD$59,"&gt;=1",Raw_Data!$AD$2:$AD$59,"&lt;=2",Raw_Data!$A$2:$A$59,"Yes",Raw_Data!$D$2:$D$59,"ผู้ป่วยสัมพันธ์",Raw_Data!$E$2:$E$59,"สายสนับสนุนทั่วไป")/COUNTIFS(Raw_Data!$AD$2:$AD$59,"&gt;=1",Raw_Data!$AD$2:$AD$59,"&lt;=5",Raw_Data!$A$2:$A$59,"Yes",Raw_Data!$D$2:$D$59,"ผู้ป่วยสัมพันธ์",Raw_Data!$E$2:$E$59,"สายสนับสนุนทั่วไป"),"")</f>
        <v>0</v>
      </c>
      <c r="AG27" s="54">
        <f>IFERROR(100*COUNTIFS(Raw_Data!$AD$2:$AD$59,"&gt;=1",Raw_Data!$AD$2:$AD$59,"&lt;=2",Raw_Data!$A$2:$A$59,"Yes",Raw_Data!$D$2:$D$59,"ยานพาหนะ",Raw_Data!$E$2:$E$59,"สายสนับสนุนทั่วไป")/COUNTIFS(Raw_Data!$AD$2:$AD$59,"&gt;=1",Raw_Data!$AD$2:$AD$59,"&lt;=5",Raw_Data!$A$2:$A$59,"Yes",Raw_Data!$D$2:$D$59,"ยานพาหนะ",Raw_Data!$E$2:$E$59,"สายสนับสนุนทั่วไป"),"")</f>
        <v>100</v>
      </c>
      <c r="AH27" s="54">
        <f>IFERROR(100*COUNTIFS(Raw_Data!$AD$2:$AD$59,"&gt;=1",Raw_Data!$AD$2:$AD$59,"&lt;=2",Raw_Data!$A$2:$A$59,"Yes",Raw_Data!$D$2:$D$59,"สื่อสารการตลาด",Raw_Data!$E$2:$E$59,"สายสนับสนุนทั่วไป")/COUNTIFS(Raw_Data!$AD$2:$AD$59,"&gt;=1",Raw_Data!$AD$2:$AD$59,"&lt;=5",Raw_Data!$A$2:$A$59,"Yes",Raw_Data!$D$2:$D$59,"สื่อสารการตลาด",Raw_Data!$E$2:$E$59,"สายสนับสนุนทั่วไป"),"")</f>
        <v>0</v>
      </c>
      <c r="AI27" s="54">
        <f>IFERROR(100*COUNTIFS(Raw_Data!$AD$2:$AD$59,"&gt;=1",Raw_Data!$AD$2:$AD$59,"&lt;=2",Raw_Data!$A$2:$A$59,"Yes",Raw_Data!$D$2:$D$59,"ERและเปล",Raw_Data!$E$2:$E$59,"สายสนับสนุนทั่วไป")/COUNTIFS(Raw_Data!$AD$2:$AD$59,"&gt;=1",Raw_Data!$AD$2:$AD$59,"&lt;=5",Raw_Data!$A$2:$A$59,"Yes",Raw_Data!$D$2:$D$59,"ERและเปล",Raw_Data!$E$2:$E$59,"สายสนับสนุนทั่วไป"),"")</f>
        <v>33.333333333333336</v>
      </c>
      <c r="AJ27" s="54">
        <f>IFERROR(100*COUNTIFS(Raw_Data!$AD$2:$AD$59,"&gt;=1",Raw_Data!$AD$2:$AD$59,"&lt;=2",Raw_Data!$A$2:$A$59,"Yes",Raw_Data!$D$2:$D$59,"HR",Raw_Data!$E$2:$E$59,"สายสนับสนุนทั่วไป")/COUNTIFS(Raw_Data!$AD$2:$AD$59,"&gt;=1",Raw_Data!$AD$2:$AD$59,"&lt;=5",Raw_Data!$A$2:$A$59,"Yes",Raw_Data!$D$2:$D$59,"HR",Raw_Data!$E$2:$E$59,"สายสนับสนุนทั่วไป"),"")</f>
        <v>0</v>
      </c>
      <c r="AK27" s="54">
        <f>IFERROR(100*COUNTIFS(Raw_Data!$AD$2:$AD$59,"&gt;=1",Raw_Data!$AD$2:$AD$59,"&lt;=2",Raw_Data!$A$2:$A$59,"Yes",Raw_Data!$D$2:$D$59,"ICU",Raw_Data!$E$2:$E$59,"สายสนับสนุนทั่วไป")/COUNTIFS(Raw_Data!$AD$2:$AD$59,"&gt;=1",Raw_Data!$AD$2:$AD$59,"&lt;=5",Raw_Data!$A$2:$A$59,"Yes",Raw_Data!$D$2:$D$59,"ICU",Raw_Data!$E$2:$E$59,"สายสนับสนุนทั่วไป"),"")</f>
        <v>0</v>
      </c>
      <c r="AL27" s="54">
        <f>IFERROR(100*COUNTIFS(Raw_Data!$AD$2:$AD$59,"&gt;=1",Raw_Data!$AD$2:$AD$59,"&lt;=2",Raw_Data!$A$2:$A$59,"Yes",Raw_Data!$D$2:$D$59,"IPD",Raw_Data!$E$2:$E$59,"สายสนับสนุนทั่วไป")/COUNTIFS(Raw_Data!$AD$2:$AD$59,"&gt;=1",Raw_Data!$AD$2:$AD$59,"&lt;=5",Raw_Data!$A$2:$A$59,"Yes",Raw_Data!$D$2:$D$59,"IPD",Raw_Data!$E$2:$E$59,"สายสนับสนุนทั่วไป"),"")</f>
        <v>0</v>
      </c>
      <c r="AM27" s="54">
        <f>IFERROR(100*COUNTIFS(Raw_Data!$AD$2:$AD$59,"&gt;=1",Raw_Data!$AD$2:$AD$59,"&lt;=2",Raw_Data!$A$2:$A$59,"Yes",Raw_Data!$D$2:$D$59,"IT",Raw_Data!$E$2:$E$59,"สายสนับสนุนทั่วไป")/COUNTIFS(Raw_Data!$AD$2:$AD$59,"&gt;=1",Raw_Data!$AD$2:$AD$59,"&lt;=5",Raw_Data!$A$2:$A$59,"Yes",Raw_Data!$D$2:$D$59,"IT",Raw_Data!$E$2:$E$59,"สายสนับสนุนทั่วไป"),"")</f>
        <v>100</v>
      </c>
      <c r="AN27" s="54">
        <f>IFERROR(100*COUNTIFS(Raw_Data!$AD$2:$AD$59,"&gt;=1",Raw_Data!$AD$2:$AD$59,"&lt;=2",Raw_Data!$A$2:$A$59,"Yes",Raw_Data!$D$2:$D$59,"ผู้ป่วยสัมพันธ์",Raw_Data!$E$2:$E$59,"สายสนับสนุนทางการแพทย์")/COUNTIFS(Raw_Data!$AD$2:$AD$59,"&gt;=1",Raw_Data!$AD$2:$AD$59,"&lt;=5",Raw_Data!$A$2:$A$59,"Yes",Raw_Data!$D$2:$D$59,"ผู้ป่วยสัมพันธ์",Raw_Data!$E$2:$E$59,"สายสนับสนุนทางการแพทย์"),"")</f>
        <v>100</v>
      </c>
      <c r="AO27" s="54">
        <f>IFERROR(100*COUNTIFS(Raw_Data!$AD$2:$AD$59,"&gt;=1",Raw_Data!$AD$2:$AD$59,"&lt;=2",Raw_Data!$A$2:$A$59,"Yes",Raw_Data!$D$2:$D$59,"ฝ่ายการพยาบาล",Raw_Data!$E$2:$E$59,"สายสนับสนุนทางการแพทย์")/COUNTIFS(Raw_Data!$AD$2:$AD$59,"&gt;=1",Raw_Data!$AD$2:$AD$59,"&lt;=5",Raw_Data!$A$2:$A$59,"Yes",Raw_Data!$D$2:$D$59,"ฝ่ายการพยาบาล",Raw_Data!$E$2:$E$59,"สายสนับสนุนทางการแพทย์"),"")</f>
        <v>100</v>
      </c>
      <c r="AP27" s="54">
        <f>IFERROR(100*COUNTIFS(Raw_Data!$AD$2:$AD$59,"&gt;=1",Raw_Data!$AD$2:$AD$59,"&lt;=2",Raw_Data!$A$2:$A$59,"Yes",Raw_Data!$D$2:$D$59,"โภชนาการ",Raw_Data!$E$2:$E$59,"สายสนับสนุนทางการแพทย์")/COUNTIFS(Raw_Data!$AD$2:$AD$59,"&gt;=1",Raw_Data!$AD$2:$AD$59,"&lt;=5",Raw_Data!$A$2:$A$59,"Yes",Raw_Data!$D$2:$D$59,"โภชนาการ",Raw_Data!$E$2:$E$59,"สายสนับสนุนทางการแพทย์"),"")</f>
        <v>100</v>
      </c>
      <c r="AQ27" s="54">
        <f>IFERROR(100*COUNTIFS(Raw_Data!$AD$2:$AD$59,"&gt;=1",Raw_Data!$AD$2:$AD$59,"&lt;=2",Raw_Data!$A$2:$A$59,"Yes",Raw_Data!$D$2:$D$59,"ห้องยา",Raw_Data!$E$2:$E$59,"สายสนับสนุนทางการแพทย์")/COUNTIFS(Raw_Data!$AD$2:$AD$59,"&gt;=1",Raw_Data!$AD$2:$AD$59,"&lt;=5",Raw_Data!$A$2:$A$59,"Yes",Raw_Data!$D$2:$D$59,"ห้องยา",Raw_Data!$E$2:$E$59,"สายสนับสนุนทางการแพทย์"),"")</f>
        <v>50</v>
      </c>
      <c r="AR27" s="54">
        <f>IFERROR(100*COUNTIFS(Raw_Data!$AD$2:$AD$59,"&gt;=1",Raw_Data!$AD$2:$AD$59,"&lt;=2",Raw_Data!$A$2:$A$59,"Yes",Raw_Data!$D$2:$D$59,"ห้องแลป",Raw_Data!$E$2:$E$59,"สายสนับสนุนทางการแพทย์")/COUNTIFS(Raw_Data!$AD$2:$AD$59,"&gt;=1",Raw_Data!$AD$2:$AD$59,"&lt;=5",Raw_Data!$A$2:$A$59,"Yes",Raw_Data!$D$2:$D$59,"ห้องแลป",Raw_Data!$E$2:$E$59,"สายสนับสนุนทางการแพทย์"),"")</f>
        <v>0</v>
      </c>
      <c r="AS27" s="54">
        <f>IFERROR(100*COUNTIFS(Raw_Data!$AD$2:$AD$59,"&gt;=1",Raw_Data!$AD$2:$AD$59,"&lt;=2",Raw_Data!$A$2:$A$59,"Yes",Raw_Data!$D$2:$D$59,"ห้องเอ็กซเรย์",Raw_Data!$E$2:$E$59,"สายสนับสนุนทางการแพทย์")/COUNTIFS(Raw_Data!$AD$2:$AD$59,"&gt;=1",Raw_Data!$AD$2:$AD$59,"&lt;=5",Raw_Data!$A$2:$A$59,"Yes",Raw_Data!$D$2:$D$59,"ห้องเอ็กซเรย์",Raw_Data!$E$2:$E$59,"สายสนับสนุนทางการแพทย์"),"")</f>
        <v>0</v>
      </c>
      <c r="AT27" s="54">
        <f>IFERROR(100*COUNTIFS(Raw_Data!$AD$2:$AD$59,"&gt;=1",Raw_Data!$AD$2:$AD$59,"&lt;=2",Raw_Data!$A$2:$A$59,"Yes",Raw_Data!$D$2:$D$59,"ERและเปล",Raw_Data!$E$2:$E$59,"สายสนับสนุนทางการแพทย์")/COUNTIFS(Raw_Data!$AD$2:$AD$59,"&gt;=1",Raw_Data!$AD$2:$AD$59,"&lt;=5",Raw_Data!$A$2:$A$59,"Yes",Raw_Data!$D$2:$D$59,"ERและเปล",Raw_Data!$E$2:$E$59,"สายสนับสนุนทางการแพทย์"),"")</f>
        <v>0</v>
      </c>
      <c r="AU27" s="54">
        <f>IFERROR(100*COUNTIFS(Raw_Data!$AD$2:$AD$59,"&gt;=1",Raw_Data!$AD$2:$AD$59,"&lt;=2",Raw_Data!$A$2:$A$59,"Yes",Raw_Data!$D$2:$D$59,"ICU",Raw_Data!$E$2:$E$59,"สายสนับสนุนทางการแพทย์")/COUNTIFS(Raw_Data!$AD$2:$AD$59,"&gt;=1",Raw_Data!$AD$2:$AD$59,"&lt;=5",Raw_Data!$A$2:$A$59,"Yes",Raw_Data!$D$2:$D$59,"ICU",Raw_Data!$E$2:$E$59,"สายสนับสนุนทางการแพทย์"),"")</f>
        <v>100</v>
      </c>
      <c r="AV27" s="54">
        <f>IFERROR(100*COUNTIFS(Raw_Data!$AD$2:$AD$59,"&gt;=1",Raw_Data!$AD$2:$AD$59,"&lt;=2",Raw_Data!$A$2:$A$59,"Yes",Raw_Data!$D$2:$D$59,"IPD",Raw_Data!$E$2:$E$59,"สายสนับสนุนทางการแพทย์")/COUNTIFS(Raw_Data!$AD$2:$AD$59,"&gt;=1",Raw_Data!$AD$2:$AD$59,"&lt;=5",Raw_Data!$A$2:$A$59,"Yes",Raw_Data!$D$2:$D$59,"IPD",Raw_Data!$E$2:$E$59,"สายสนับสนุนทางการแพทย์"),"")</f>
        <v>50</v>
      </c>
      <c r="AW27" s="54">
        <f>IFERROR(100*COUNTIFS(Raw_Data!$AD$2:$AD$59,"&gt;=1",Raw_Data!$AD$2:$AD$59,"&lt;=2",Raw_Data!$A$2:$A$59,"Yes",Raw_Data!$D$2:$D$59,"IT",Raw_Data!$E$2:$E$59,"สายสนับสนุนทางการแพทย์")/COUNTIFS(Raw_Data!$AD$2:$AD$59,"&gt;=1",Raw_Data!$AD$2:$AD$59,"&lt;=5",Raw_Data!$A$2:$A$59,"Yes",Raw_Data!$D$2:$D$59,"IT",Raw_Data!$E$2:$E$59,"สายสนับสนุนทางการแพทย์"),"")</f>
        <v>100</v>
      </c>
    </row>
    <row r="28" spans="1:49" ht="42" customHeight="1">
      <c r="A28" s="50" t="s">
        <v>22</v>
      </c>
      <c r="B28" s="51" t="s">
        <v>55</v>
      </c>
      <c r="C28" s="54">
        <f>IFERROR(100*COUNTIFS(Raw_Data!$AE$2:$AE$59,"&gt;=4",Raw_Data!$AE$2:$AE$59,"&lt;=5",Raw_Data!$A$2:$A$59,"Yes")/COUNTIFS(Raw_Data!$AE$2:$AE$59,"&gt;=1",Raw_Data!$AE$2:$AE$59,"&lt;=5",Raw_Data!$A$2:$A$59,"Yes"),"")</f>
        <v>43.103448275862071</v>
      </c>
      <c r="D28" s="54">
        <f>IFERROR(100*COUNTIFS(Raw_Data!$AE$2:$AE$59,"&gt;=4",Raw_Data!$AE$2:$AE$59,"&lt;=5",Raw_Data!$A$2:$A$59,"Yes",Raw_Data!$D$2:$D$59,"การเงิน")/COUNTIFS(Raw_Data!$AE$2:$AE$59,"&gt;=1",Raw_Data!$AE$2:$AE$59,"&lt;=5",Raw_Data!$A$2:$A$59,"Yes",Raw_Data!$D$2:$D$59,"การเงิน"),"")</f>
        <v>0</v>
      </c>
      <c r="E28" s="54">
        <f>IFERROR(100*COUNTIFS(Raw_Data!$AE$2:$AE$59,"&gt;=4",Raw_Data!$AE$2:$AE$59,"&lt;=5",Raw_Data!$A$2:$A$59,"Yes",Raw_Data!$D$2:$D$59,"เคหรักษ์")/COUNTIFS(Raw_Data!$AE$2:$AE$59,"&gt;=1",Raw_Data!$AE$2:$AE$59,"&lt;=5",Raw_Data!$A$2:$A$59,"Yes",Raw_Data!$D$2:$D$59,"เคหรักษ์"),"")</f>
        <v>50</v>
      </c>
      <c r="F28" s="54">
        <f>IFERROR(100*COUNTIFS(Raw_Data!$AE$2:$AE$59,"&gt;=4",Raw_Data!$AE$2:$AE$59,"&lt;=5",Raw_Data!$A$2:$A$59,"Yes",Raw_Data!$D$2:$D$59,"จ่ายกลาง")/COUNTIFS(Raw_Data!$AE$2:$AE$59,"&gt;=1",Raw_Data!$AE$2:$AE$59,"&lt;=5",Raw_Data!$A$2:$A$59,"Yes",Raw_Data!$D$2:$D$59,"จ่ายกลาง"),"")</f>
        <v>0</v>
      </c>
      <c r="G28" s="54">
        <f>IFERROR(100*COUNTIFS(Raw_Data!$AE$2:$AE$59,"&gt;=4",Raw_Data!$AE$2:$AE$59,"&lt;=5",Raw_Data!$A$2:$A$59,"Yes",Raw_Data!$D$2:$D$59,"ช่างและสนาม")/COUNTIFS(Raw_Data!$AE$2:$AE$59,"&gt;=1",Raw_Data!$AE$2:$AE$59,"&lt;=5",Raw_Data!$A$2:$A$59,"Yes",Raw_Data!$D$2:$D$59,"ช่างและสนาม"),"")</f>
        <v>0</v>
      </c>
      <c r="H28" s="54">
        <f>IFERROR(100*COUNTIFS(Raw_Data!$AE$2:$AE$59,"&gt;=4",Raw_Data!$AE$2:$AE$59,"&lt;=5",Raw_Data!$A$2:$A$59,"Yes",Raw_Data!$D$2:$D$59,"ผู้ป่วยสัมพันธ์")/COUNTIFS(Raw_Data!$AE$2:$AE$59,"&gt;=1",Raw_Data!$AE$2:$AE$59,"&lt;=5",Raw_Data!$A$2:$A$59,"Yes",Raw_Data!$D$2:$D$59,"ผู้ป่วยสัมพันธ์"),"")</f>
        <v>50</v>
      </c>
      <c r="I28" s="54">
        <f>IFERROR(100*COUNTIFS(Raw_Data!$AE$2:$AE$59,"&gt;=4",Raw_Data!$AE$2:$AE$59,"&lt;=5",Raw_Data!$A$2:$A$59,"Yes",Raw_Data!$D$2:$D$59,"ฝ่ายการพยาบาล")/COUNTIFS(Raw_Data!$AE$2:$AE$59,"&gt;=1",Raw_Data!$AE$2:$AE$59,"&lt;=5",Raw_Data!$A$2:$A$59,"Yes",Raw_Data!$D$2:$D$59,"ฝ่ายการพยาบาล"),"")</f>
        <v>50</v>
      </c>
      <c r="J28" s="54">
        <f>IFERROR(100*COUNTIFS(Raw_Data!$AE$2:$AE$59,"&gt;=4",Raw_Data!$AE$2:$AE$59,"&lt;=5",Raw_Data!$A$2:$A$59,"Yes",Raw_Data!$D$2:$D$59,"โภชนาการ")/COUNTIFS(Raw_Data!$AE$2:$AE$59,"&gt;=1",Raw_Data!$AE$2:$AE$59,"&lt;=5",Raw_Data!$A$2:$A$59,"Yes",Raw_Data!$D$2:$D$59,"โภชนาการ"),"")</f>
        <v>100</v>
      </c>
      <c r="K28" s="54">
        <f>IFERROR(100*COUNTIFS(Raw_Data!$AE$2:$AE$59,"&gt;=4",Raw_Data!$AE$2:$AE$59,"&lt;=5",Raw_Data!$A$2:$A$59,"Yes",Raw_Data!$D$2:$D$59,"ยานพาหนะ")/COUNTIFS(Raw_Data!$AE$2:$AE$59,"&gt;=1",Raw_Data!$AE$2:$AE$59,"&lt;=5",Raw_Data!$A$2:$A$59,"Yes",Raw_Data!$D$2:$D$59,"ยานพาหนะ"),"")</f>
        <v>100</v>
      </c>
      <c r="L28" s="54">
        <f>IFERROR(100*COUNTIFS(Raw_Data!$AE$2:$AE$59,"&gt;=4",Raw_Data!$AE$2:$AE$59,"&lt;=5",Raw_Data!$A$2:$A$59,"Yes",Raw_Data!$D$2:$D$59,"สื่อสารการตลาด")/COUNTIFS(Raw_Data!$AE$2:$AE$59,"&gt;=1",Raw_Data!$AE$2:$AE$59,"&lt;=5",Raw_Data!$A$2:$A$59,"Yes",Raw_Data!$D$2:$D$59,"สื่อสารการตลาด"),"")</f>
        <v>0</v>
      </c>
      <c r="M28" s="54">
        <f>IFERROR(100*COUNTIFS(Raw_Data!$AE$2:$AE$59,"&gt;=4",Raw_Data!$AE$2:$AE$59,"&lt;=5",Raw_Data!$A$2:$A$59,"Yes",Raw_Data!$D$2:$D$59,"ห้องยา")/COUNTIFS(Raw_Data!$AE$2:$AE$59,"&gt;=1",Raw_Data!$AE$2:$AE$59,"&lt;=5",Raw_Data!$A$2:$A$59,"Yes",Raw_Data!$D$2:$D$59,"ห้องยา"),"")</f>
        <v>83.333333333333329</v>
      </c>
      <c r="N28" s="54">
        <f>IFERROR(100*COUNTIFS(Raw_Data!$AE$2:$AE$59,"&gt;=4",Raw_Data!$AE$2:$AE$59,"&lt;=5",Raw_Data!$A$2:$A$59,"Yes",Raw_Data!$D$2:$D$59,"ห้องแลป")/COUNTIFS(Raw_Data!$AE$2:$AE$59,"&gt;=1",Raw_Data!$AE$2:$AE$59,"&lt;=5",Raw_Data!$A$2:$A$59,"Yes",Raw_Data!$D$2:$D$59,"ห้องแลป"),"")</f>
        <v>50</v>
      </c>
      <c r="O28" s="54">
        <f>IFERROR(100*COUNTIFS(Raw_Data!$AE$2:$AE$59,"&gt;=4",Raw_Data!$AE$2:$AE$59,"&lt;=5",Raw_Data!$A$2:$A$59,"Yes",Raw_Data!$D$2:$D$59,"ห้องเอ็กซเรย์")/COUNTIFS(Raw_Data!$AE$2:$AE$59,"&gt;=1",Raw_Data!$AE$2:$AE$59,"&lt;=5",Raw_Data!$A$2:$A$59,"Yes",Raw_Data!$D$2:$D$59,"ห้องเอ็กซเรย์"),"")</f>
        <v>66.666666666666671</v>
      </c>
      <c r="P28" s="54">
        <f>IFERROR(100*COUNTIFS(Raw_Data!$AE$2:$AE$59,"&gt;=4",Raw_Data!$AE$2:$AE$59,"&lt;=5",Raw_Data!$A$2:$A$59,"Yes",Raw_Data!$D$2:$D$59,"ERและเปล")/COUNTIFS(Raw_Data!$AE$2:$AE$59,"&gt;=1",Raw_Data!$AE$2:$AE$59,"&lt;=5",Raw_Data!$A$2:$A$59,"Yes",Raw_Data!$D$2:$D$59,"ERและเปล"),"")</f>
        <v>18.181818181818183</v>
      </c>
      <c r="Q28" s="54">
        <f>IFERROR(100*COUNTIFS(Raw_Data!$AE$2:$AE$59,"&gt;=4",Raw_Data!$AE$2:$AE$59,"&lt;=5",Raw_Data!$A$2:$A$59,"Yes",Raw_Data!$D$2:$D$59,"HR")/COUNTIFS(Raw_Data!$AE$2:$AE$59,"&gt;=1",Raw_Data!$AE$2:$AE$59,"&lt;=5",Raw_Data!$A$2:$A$59,"Yes",Raw_Data!$D$2:$D$59,"HR"),"")</f>
        <v>0</v>
      </c>
      <c r="R28" s="54">
        <f>IFERROR(100*COUNTIFS(Raw_Data!$AE$2:$AE$59,"&gt;=4",Raw_Data!$AE$2:$AE$59,"&lt;=5",Raw_Data!$A$2:$A$59,"Yes",Raw_Data!$D$2:$D$59,"ICU")/COUNTIFS(Raw_Data!$AE$2:$AE$59,"&gt;=1",Raw_Data!$AE$2:$AE$59,"&lt;=5",Raw_Data!$A$2:$A$59,"Yes",Raw_Data!$D$2:$D$59,"ICU"),"")</f>
        <v>50</v>
      </c>
      <c r="S28" s="54">
        <f>IFERROR(100*COUNTIFS(Raw_Data!$AE$2:$AE$59,"&gt;=4",Raw_Data!$AE$2:$AE$59,"&lt;=5",Raw_Data!$A$2:$A$59,"Yes",Raw_Data!$D$2:$D$59,"IPD")/COUNTIFS(Raw_Data!$AE$2:$AE$59,"&gt;=1",Raw_Data!$AE$2:$AE$59,"&lt;=5",Raw_Data!$A$2:$A$59,"Yes",Raw_Data!$D$2:$D$59,"IPD"),"")</f>
        <v>33.333333333333336</v>
      </c>
      <c r="T28" s="54">
        <f>IFERROR(100*COUNTIFS(Raw_Data!$AE$2:$AE$59,"&gt;=4",Raw_Data!$AE$2:$AE$59,"&lt;=5",Raw_Data!$A$2:$A$59,"Yes",Raw_Data!$D$2:$D$59,"IT")/COUNTIFS(Raw_Data!$AE$2:$AE$59,"&gt;=1",Raw_Data!$AE$2:$AE$59,"&lt;=5",Raw_Data!$A$2:$A$59,"Yes",Raw_Data!$D$2:$D$59,"IT"),"")</f>
        <v>100</v>
      </c>
      <c r="U28" s="54">
        <f>IFERROR(100*COUNTIFS(Raw_Data!$AE$2:$AE$59,"&gt;=4",Raw_Data!$AE$2:$AE$59,"&lt;=5",Raw_Data!$A$2:$A$59,"Yes",Raw_Data!$D$2:$D$59,"OR")/COUNTIFS(Raw_Data!$AE$2:$AE$59,"&gt;=1",Raw_Data!$AE$2:$AE$59,"&lt;=5",Raw_Data!$A$2:$A$59,"Yes",Raw_Data!$D$2:$D$59,"OR"),"")</f>
        <v>75</v>
      </c>
      <c r="V28" s="54">
        <f>IFERROR(100*COUNTIFS(Raw_Data!$AE$2:$AE$59,"&gt;=4",Raw_Data!$AE$2:$AE$59,"&lt;=5",Raw_Data!$A$2:$A$59,"Yes",Raw_Data!$D$2:$D$59,"IPD",Raw_Data!$E$2:$E$59,"ผู้บริหาร")/COUNTIFS(Raw_Data!$AE$2:$AE$59,"&gt;=1",Raw_Data!$AE$2:$AE$59,"&lt;=5",Raw_Data!$A$2:$A$59,"Yes",Raw_Data!$D$2:$D$59,"IPD",Raw_Data!$E$2:$E$59,"ผู้บริหาร"),"")</f>
        <v>100</v>
      </c>
      <c r="W28" s="54">
        <f>IFERROR(100*COUNTIFS(Raw_Data!$AE$2:$AE$59,"&gt;=4",Raw_Data!$AE$2:$AE$59,"&lt;=5",Raw_Data!$A$2:$A$59,"Yes",Raw_Data!$D$2:$D$59,"ฝ่ายการพยาบาล",Raw_Data!$E$2:$E$59,"สายวิชาชีพสาธารณสุข")/COUNTIFS(Raw_Data!$AE$2:$AE$59,"&gt;=1",Raw_Data!$AE$2:$AE$59,"&lt;=5",Raw_Data!$A$2:$A$59,"Yes",Raw_Data!$D$2:$D$59,"ฝ่ายการพยาบาล",Raw_Data!$E$2:$E$59,"สายวิชาชีพสาธารณสุข"),"")</f>
        <v>0</v>
      </c>
      <c r="X28" s="54">
        <f>IFERROR(100*COUNTIFS(Raw_Data!$AE$2:$AE$59,"&gt;=4",Raw_Data!$AE$2:$AE$59,"&lt;=5",Raw_Data!$A$2:$A$59,"Yes",Raw_Data!$D$2:$D$59,"ERและเปล",Raw_Data!$E$2:$E$59,"สายวิชาชีพสาธารณสุข")/COUNTIFS(Raw_Data!$AE$2:$AE$59,"&gt;=1",Raw_Data!$AE$2:$AE$59,"&lt;=5",Raw_Data!$A$2:$A$59,"Yes",Raw_Data!$D$2:$D$59,"ERและเปล",Raw_Data!$E$2:$E$59,"สายวิชาชีพสาธารณสุข"),"")</f>
        <v>28.571428571428573</v>
      </c>
      <c r="Y28" s="54">
        <f>IFERROR(100*COUNTIFS(Raw_Data!$AE$2:$AE$59,"&gt;=4",Raw_Data!$AE$2:$AE$59,"&lt;=5",Raw_Data!$A$2:$A$59,"Yes",Raw_Data!$D$2:$D$59,"ICU",Raw_Data!$E$2:$E$59,"สายวิชาชีพสาธารณสุข")/COUNTIFS(Raw_Data!$AE$2:$AE$59,"&gt;=1",Raw_Data!$AE$2:$AE$59,"&lt;=5",Raw_Data!$A$2:$A$59,"Yes",Raw_Data!$D$2:$D$59,"ICU",Raw_Data!$E$2:$E$59,"สายวิชาชีพสาธารณสุข"),"")</f>
        <v>100</v>
      </c>
      <c r="Z28" s="54">
        <f>IFERROR(100*COUNTIFS(Raw_Data!$AE$2:$AE$59,"&gt;=4",Raw_Data!$AE$2:$AE$59,"&lt;=5",Raw_Data!$A$2:$A$59,"Yes",Raw_Data!$D$2:$D$59,"IPD",Raw_Data!$E$2:$E$59,"สายวิชาชีพสาธารณสุข")/COUNTIFS(Raw_Data!$AE$2:$AE$59,"&gt;=1",Raw_Data!$AE$2:$AE$59,"&lt;=5",Raw_Data!$A$2:$A$59,"Yes",Raw_Data!$D$2:$D$59,"IPD",Raw_Data!$E$2:$E$59,"สายวิชาชีพสาธารณสุข"),"")</f>
        <v>0</v>
      </c>
      <c r="AA28" s="54">
        <f>IFERROR(100*COUNTIFS(Raw_Data!$AE$2:$AE$59,"&gt;=4",Raw_Data!$AE$2:$AE$59,"&lt;=5",Raw_Data!$A$2:$A$59,"Yes",Raw_Data!$D$2:$D$59,"OR",Raw_Data!$E$2:$E$59,"สายวิชาชีพสาธารณสุข")/COUNTIFS(Raw_Data!$AE$2:$AE$59,"&gt;=1",Raw_Data!$AE$2:$AE$59,"&lt;=5",Raw_Data!$A$2:$A$59,"Yes",Raw_Data!$D$2:$D$59,"OR",Raw_Data!$E$2:$E$59,"สายวิชาชีพสาธารณสุข"),"")</f>
        <v>75</v>
      </c>
      <c r="AB28" s="54">
        <f>IFERROR(100*COUNTIFS(Raw_Data!$AE$2:$AE$59,"&gt;=4",Raw_Data!$AE$2:$AE$59,"&lt;=5",Raw_Data!$A$2:$A$59,"Yes",Raw_Data!$D$2:$D$59,"การเงิน",Raw_Data!$E$2:$E$59,"สายสนับสนุนทั่วไป")/COUNTIFS(Raw_Data!$AE$2:$AE$59,"&gt;=1",Raw_Data!$AE$2:$AE$59,"&lt;=5",Raw_Data!$A$2:$A$59,"Yes",Raw_Data!$D$2:$D$59,"การเงิน",Raw_Data!$E$2:$E$59,"สายสนับสนุนทั่วไป"),"")</f>
        <v>0</v>
      </c>
      <c r="AC28" s="54">
        <f>IFERROR(100*COUNTIFS(Raw_Data!$AE$2:$AE$59,"&gt;=4",Raw_Data!$AE$2:$AE$59,"&lt;=5",Raw_Data!$A$2:$A$59,"Yes",Raw_Data!$D$2:$D$59,"เคหรักษ์",Raw_Data!$E$2:$E$59,"สายสนับสนุนทั่วไป")/COUNTIFS(Raw_Data!$AE$2:$AE$59,"&gt;=1",Raw_Data!$AE$2:$AE$59,"&lt;=5",Raw_Data!$A$2:$A$59,"Yes",Raw_Data!$D$2:$D$59,"เคหรักษ์",Raw_Data!$E$2:$E$59,"สายสนับสนุนทั่วไป"),"")</f>
        <v>50</v>
      </c>
      <c r="AD28" s="54">
        <f>IFERROR(100*COUNTIFS(Raw_Data!$AE$2:$AE$59,"&gt;=4",Raw_Data!$AE$2:$AE$59,"&lt;=5",Raw_Data!$A$2:$A$59,"Yes",Raw_Data!$D$2:$D$59,"จ่ายกลาง",Raw_Data!$E$2:$E$59,"สายสนับสนุนทั่วไป")/COUNTIFS(Raw_Data!$AE$2:$AE$59,"&gt;=1",Raw_Data!$AE$2:$AE$59,"&lt;=5",Raw_Data!$A$2:$A$59,"Yes",Raw_Data!$D$2:$D$59,"จ่ายกลาง",Raw_Data!$E$2:$E$59,"สายสนับสนุนทั่วไป"),"")</f>
        <v>0</v>
      </c>
      <c r="AE28" s="54">
        <f>IFERROR(100*COUNTIFS(Raw_Data!$AE$2:$AE$59,"&gt;=4",Raw_Data!$AE$2:$AE$59,"&lt;=5",Raw_Data!$A$2:$A$59,"Yes",Raw_Data!$D$2:$D$59,"ช่างและสนาม",Raw_Data!$E$2:$E$59,"สายสนับสนุนทั่วไป")/COUNTIFS(Raw_Data!$AE$2:$AE$59,"&gt;=1",Raw_Data!$AE$2:$AE$59,"&lt;=5",Raw_Data!$A$2:$A$59,"Yes",Raw_Data!$D$2:$D$59,"ช่างและสนาม",Raw_Data!$E$2:$E$59,"สายสนับสนุนทั่วไป"),"")</f>
        <v>0</v>
      </c>
      <c r="AF28" s="54">
        <f>IFERROR(100*COUNTIFS(Raw_Data!$AE$2:$AE$59,"&gt;=4",Raw_Data!$AE$2:$AE$59,"&lt;=5",Raw_Data!$A$2:$A$59,"Yes",Raw_Data!$D$2:$D$59,"ผู้ป่วยสัมพันธ์",Raw_Data!$E$2:$E$59,"สายสนับสนุนทั่วไป")/COUNTIFS(Raw_Data!$AE$2:$AE$59,"&gt;=1",Raw_Data!$AE$2:$AE$59,"&lt;=5",Raw_Data!$A$2:$A$59,"Yes",Raw_Data!$D$2:$D$59,"ผู้ป่วยสัมพันธ์",Raw_Data!$E$2:$E$59,"สายสนับสนุนทั่วไป"),"")</f>
        <v>0</v>
      </c>
      <c r="AG28" s="54">
        <f>IFERROR(100*COUNTIFS(Raw_Data!$AE$2:$AE$59,"&gt;=4",Raw_Data!$AE$2:$AE$59,"&lt;=5",Raw_Data!$A$2:$A$59,"Yes",Raw_Data!$D$2:$D$59,"ยานพาหนะ",Raw_Data!$E$2:$E$59,"สายสนับสนุนทั่วไป")/COUNTIFS(Raw_Data!$AE$2:$AE$59,"&gt;=1",Raw_Data!$AE$2:$AE$59,"&lt;=5",Raw_Data!$A$2:$A$59,"Yes",Raw_Data!$D$2:$D$59,"ยานพาหนะ",Raw_Data!$E$2:$E$59,"สายสนับสนุนทั่วไป"),"")</f>
        <v>100</v>
      </c>
      <c r="AH28" s="54">
        <f>IFERROR(100*COUNTIFS(Raw_Data!$AE$2:$AE$59,"&gt;=4",Raw_Data!$AE$2:$AE$59,"&lt;=5",Raw_Data!$A$2:$A$59,"Yes",Raw_Data!$D$2:$D$59,"สื่อสารการตลาด",Raw_Data!$E$2:$E$59,"สายสนับสนุนทั่วไป")/COUNTIFS(Raw_Data!$AE$2:$AE$59,"&gt;=1",Raw_Data!$AE$2:$AE$59,"&lt;=5",Raw_Data!$A$2:$A$59,"Yes",Raw_Data!$D$2:$D$59,"สื่อสารการตลาด",Raw_Data!$E$2:$E$59,"สายสนับสนุนทั่วไป"),"")</f>
        <v>0</v>
      </c>
      <c r="AI28" s="54">
        <f>IFERROR(100*COUNTIFS(Raw_Data!$AE$2:$AE$59,"&gt;=4",Raw_Data!$AE$2:$AE$59,"&lt;=5",Raw_Data!$A$2:$A$59,"Yes",Raw_Data!$D$2:$D$59,"ERและเปล",Raw_Data!$E$2:$E$59,"สายสนับสนุนทั่วไป")/COUNTIFS(Raw_Data!$AE$2:$AE$59,"&gt;=1",Raw_Data!$AE$2:$AE$59,"&lt;=5",Raw_Data!$A$2:$A$59,"Yes",Raw_Data!$D$2:$D$59,"ERและเปล",Raw_Data!$E$2:$E$59,"สายสนับสนุนทั่วไป"),"")</f>
        <v>0</v>
      </c>
      <c r="AJ28" s="54">
        <f>IFERROR(100*COUNTIFS(Raw_Data!$AE$2:$AE$59,"&gt;=4",Raw_Data!$AE$2:$AE$59,"&lt;=5",Raw_Data!$A$2:$A$59,"Yes",Raw_Data!$D$2:$D$59,"HR",Raw_Data!$E$2:$E$59,"สายสนับสนุนทั่วไป")/COUNTIFS(Raw_Data!$AE$2:$AE$59,"&gt;=1",Raw_Data!$AE$2:$AE$59,"&lt;=5",Raw_Data!$A$2:$A$59,"Yes",Raw_Data!$D$2:$D$59,"HR",Raw_Data!$E$2:$E$59,"สายสนับสนุนทั่วไป"),"")</f>
        <v>0</v>
      </c>
      <c r="AK28" s="54">
        <f>IFERROR(100*COUNTIFS(Raw_Data!$AE$2:$AE$59,"&gt;=4",Raw_Data!$AE$2:$AE$59,"&lt;=5",Raw_Data!$A$2:$A$59,"Yes",Raw_Data!$D$2:$D$59,"ICU",Raw_Data!$E$2:$E$59,"สายสนับสนุนทั่วไป")/COUNTIFS(Raw_Data!$AE$2:$AE$59,"&gt;=1",Raw_Data!$AE$2:$AE$59,"&lt;=5",Raw_Data!$A$2:$A$59,"Yes",Raw_Data!$D$2:$D$59,"ICU",Raw_Data!$E$2:$E$59,"สายสนับสนุนทั่วไป"),"")</f>
        <v>0</v>
      </c>
      <c r="AL28" s="54">
        <f>IFERROR(100*COUNTIFS(Raw_Data!$AE$2:$AE$59,"&gt;=4",Raw_Data!$AE$2:$AE$59,"&lt;=5",Raw_Data!$A$2:$A$59,"Yes",Raw_Data!$D$2:$D$59,"IPD",Raw_Data!$E$2:$E$59,"สายสนับสนุนทั่วไป")/COUNTIFS(Raw_Data!$AE$2:$AE$59,"&gt;=1",Raw_Data!$AE$2:$AE$59,"&lt;=5",Raw_Data!$A$2:$A$59,"Yes",Raw_Data!$D$2:$D$59,"IPD",Raw_Data!$E$2:$E$59,"สายสนับสนุนทั่วไป"),"")</f>
        <v>0</v>
      </c>
      <c r="AM28" s="54">
        <f>IFERROR(100*COUNTIFS(Raw_Data!$AE$2:$AE$59,"&gt;=4",Raw_Data!$AE$2:$AE$59,"&lt;=5",Raw_Data!$A$2:$A$59,"Yes",Raw_Data!$D$2:$D$59,"IT",Raw_Data!$E$2:$E$59,"สายสนับสนุนทั่วไป")/COUNTIFS(Raw_Data!$AE$2:$AE$59,"&gt;=1",Raw_Data!$AE$2:$AE$59,"&lt;=5",Raw_Data!$A$2:$A$59,"Yes",Raw_Data!$D$2:$D$59,"IT",Raw_Data!$E$2:$E$59,"สายสนับสนุนทั่วไป"),"")</f>
        <v>100</v>
      </c>
      <c r="AN28" s="54">
        <f>IFERROR(100*COUNTIFS(Raw_Data!$AE$2:$AE$59,"&gt;=4",Raw_Data!$AE$2:$AE$59,"&lt;=5",Raw_Data!$A$2:$A$59,"Yes",Raw_Data!$D$2:$D$59,"ผู้ป่วยสัมพันธ์",Raw_Data!$E$2:$E$59,"สายสนับสนุนทางการแพทย์")/COUNTIFS(Raw_Data!$AE$2:$AE$59,"&gt;=1",Raw_Data!$AE$2:$AE$59,"&lt;=5",Raw_Data!$A$2:$A$59,"Yes",Raw_Data!$D$2:$D$59,"ผู้ป่วยสัมพันธ์",Raw_Data!$E$2:$E$59,"สายสนับสนุนทางการแพทย์"),"")</f>
        <v>66.666666666666671</v>
      </c>
      <c r="AO28" s="54">
        <f>IFERROR(100*COUNTIFS(Raw_Data!$AE$2:$AE$59,"&gt;=4",Raw_Data!$AE$2:$AE$59,"&lt;=5",Raw_Data!$A$2:$A$59,"Yes",Raw_Data!$D$2:$D$59,"ฝ่ายการพยาบาล",Raw_Data!$E$2:$E$59,"สายสนับสนุนทางการแพทย์")/COUNTIFS(Raw_Data!$AE$2:$AE$59,"&gt;=1",Raw_Data!$AE$2:$AE$59,"&lt;=5",Raw_Data!$A$2:$A$59,"Yes",Raw_Data!$D$2:$D$59,"ฝ่ายการพยาบาล",Raw_Data!$E$2:$E$59,"สายสนับสนุนทางการแพทย์"),"")</f>
        <v>100</v>
      </c>
      <c r="AP28" s="54">
        <f>IFERROR(100*COUNTIFS(Raw_Data!$AE$2:$AE$59,"&gt;=4",Raw_Data!$AE$2:$AE$59,"&lt;=5",Raw_Data!$A$2:$A$59,"Yes",Raw_Data!$D$2:$D$59,"โภชนาการ",Raw_Data!$E$2:$E$59,"สายสนับสนุนทางการแพทย์")/COUNTIFS(Raw_Data!$AE$2:$AE$59,"&gt;=1",Raw_Data!$AE$2:$AE$59,"&lt;=5",Raw_Data!$A$2:$A$59,"Yes",Raw_Data!$D$2:$D$59,"โภชนาการ",Raw_Data!$E$2:$E$59,"สายสนับสนุนทางการแพทย์"),"")</f>
        <v>100</v>
      </c>
      <c r="AQ28" s="54">
        <f>IFERROR(100*COUNTIFS(Raw_Data!$AE$2:$AE$59,"&gt;=4",Raw_Data!$AE$2:$AE$59,"&lt;=5",Raw_Data!$A$2:$A$59,"Yes",Raw_Data!$D$2:$D$59,"ห้องยา",Raw_Data!$E$2:$E$59,"สายสนับสนุนทางการแพทย์")/COUNTIFS(Raw_Data!$AE$2:$AE$59,"&gt;=1",Raw_Data!$AE$2:$AE$59,"&lt;=5",Raw_Data!$A$2:$A$59,"Yes",Raw_Data!$D$2:$D$59,"ห้องยา",Raw_Data!$E$2:$E$59,"สายสนับสนุนทางการแพทย์"),"")</f>
        <v>83.333333333333329</v>
      </c>
      <c r="AR28" s="54">
        <f>IFERROR(100*COUNTIFS(Raw_Data!$AE$2:$AE$59,"&gt;=4",Raw_Data!$AE$2:$AE$59,"&lt;=5",Raw_Data!$A$2:$A$59,"Yes",Raw_Data!$D$2:$D$59,"ห้องแลป",Raw_Data!$E$2:$E$59,"สายสนับสนุนทางการแพทย์")/COUNTIFS(Raw_Data!$AE$2:$AE$59,"&gt;=1",Raw_Data!$AE$2:$AE$59,"&lt;=5",Raw_Data!$A$2:$A$59,"Yes",Raw_Data!$D$2:$D$59,"ห้องแลป",Raw_Data!$E$2:$E$59,"สายสนับสนุนทางการแพทย์"),"")</f>
        <v>50</v>
      </c>
      <c r="AS28" s="54">
        <f>IFERROR(100*COUNTIFS(Raw_Data!$AE$2:$AE$59,"&gt;=4",Raw_Data!$AE$2:$AE$59,"&lt;=5",Raw_Data!$A$2:$A$59,"Yes",Raw_Data!$D$2:$D$59,"ห้องเอ็กซเรย์",Raw_Data!$E$2:$E$59,"สายสนับสนุนทางการแพทย์")/COUNTIFS(Raw_Data!$AE$2:$AE$59,"&gt;=1",Raw_Data!$AE$2:$AE$59,"&lt;=5",Raw_Data!$A$2:$A$59,"Yes",Raw_Data!$D$2:$D$59,"ห้องเอ็กซเรย์",Raw_Data!$E$2:$E$59,"สายสนับสนุนทางการแพทย์"),"")</f>
        <v>66.666666666666671</v>
      </c>
      <c r="AT28" s="54">
        <f>IFERROR(100*COUNTIFS(Raw_Data!$AE$2:$AE$59,"&gt;=4",Raw_Data!$AE$2:$AE$59,"&lt;=5",Raw_Data!$A$2:$A$59,"Yes",Raw_Data!$D$2:$D$59,"ERและเปล",Raw_Data!$E$2:$E$59,"สายสนับสนุนทางการแพทย์")/COUNTIFS(Raw_Data!$AE$2:$AE$59,"&gt;=1",Raw_Data!$AE$2:$AE$59,"&lt;=5",Raw_Data!$A$2:$A$59,"Yes",Raw_Data!$D$2:$D$59,"ERและเปล",Raw_Data!$E$2:$E$59,"สายสนับสนุนทางการแพทย์"),"")</f>
        <v>0</v>
      </c>
      <c r="AU28" s="54">
        <f>IFERROR(100*COUNTIFS(Raw_Data!$AE$2:$AE$59,"&gt;=4",Raw_Data!$AE$2:$AE$59,"&lt;=5",Raw_Data!$A$2:$A$59,"Yes",Raw_Data!$D$2:$D$59,"ICU",Raw_Data!$E$2:$E$59,"สายสนับสนุนทางการแพทย์")/COUNTIFS(Raw_Data!$AE$2:$AE$59,"&gt;=1",Raw_Data!$AE$2:$AE$59,"&lt;=5",Raw_Data!$A$2:$A$59,"Yes",Raw_Data!$D$2:$D$59,"ICU",Raw_Data!$E$2:$E$59,"สายสนับสนุนทางการแพทย์"),"")</f>
        <v>0</v>
      </c>
      <c r="AV28" s="54">
        <f>IFERROR(100*COUNTIFS(Raw_Data!$AE$2:$AE$59,"&gt;=4",Raw_Data!$AE$2:$AE$59,"&lt;=5",Raw_Data!$A$2:$A$59,"Yes",Raw_Data!$D$2:$D$59,"IPD",Raw_Data!$E$2:$E$59,"สายสนับสนุนทางการแพทย์")/COUNTIFS(Raw_Data!$AE$2:$AE$59,"&gt;=1",Raw_Data!$AE$2:$AE$59,"&lt;=5",Raw_Data!$A$2:$A$59,"Yes",Raw_Data!$D$2:$D$59,"IPD",Raw_Data!$E$2:$E$59,"สายสนับสนุนทางการแพทย์"),"")</f>
        <v>50</v>
      </c>
      <c r="AW28" s="54">
        <f>IFERROR(100*COUNTIFS(Raw_Data!$AE$2:$AE$59,"&gt;=4",Raw_Data!$AE$2:$AE$59,"&lt;=5",Raw_Data!$A$2:$A$59,"Yes",Raw_Data!$D$2:$D$59,"IT",Raw_Data!$E$2:$E$59,"สายสนับสนุนทางการแพทย์")/COUNTIFS(Raw_Data!$AE$2:$AE$59,"&gt;=1",Raw_Data!$AE$2:$AE$59,"&lt;=5",Raw_Data!$A$2:$A$59,"Yes",Raw_Data!$D$2:$D$59,"IT",Raw_Data!$E$2:$E$59,"สายสนับสนุนทางการแพทย์"),"")</f>
        <v>100</v>
      </c>
    </row>
    <row r="29" spans="1:49" ht="42" customHeight="1">
      <c r="A29" s="50"/>
      <c r="B29" s="51" t="s">
        <v>56</v>
      </c>
      <c r="C29" s="54">
        <f>IFERROR(100*COUNTIFS(Raw_Data!$AF$2:$AF$59,"&gt;=4",Raw_Data!$AF$2:$AF$59,"&lt;=5",Raw_Data!$A$2:$A$59,"Yes")/COUNTIFS(Raw_Data!$AF$2:$AF$59,"&gt;=1",Raw_Data!$AF$2:$AF$59,"&lt;=5",Raw_Data!$A$2:$A$59,"Yes"),"")</f>
        <v>43.103448275862071</v>
      </c>
      <c r="D29" s="54">
        <f>IFERROR(100*COUNTIFS(Raw_Data!$AF$2:$AF$59,"&gt;=4",Raw_Data!$AF$2:$AF$59,"&lt;=5",Raw_Data!$A$2:$A$59,"Yes",Raw_Data!$D$2:$D$59,"การเงิน")/COUNTIFS(Raw_Data!$AF$2:$AF$59,"&gt;=1",Raw_Data!$AF$2:$AF$59,"&lt;=5",Raw_Data!$A$2:$A$59,"Yes",Raw_Data!$D$2:$D$59,"การเงิน"),"")</f>
        <v>33.333333333333336</v>
      </c>
      <c r="E29" s="54">
        <f>IFERROR(100*COUNTIFS(Raw_Data!$AF$2:$AF$59,"&gt;=4",Raw_Data!$AF$2:$AF$59,"&lt;=5",Raw_Data!$A$2:$A$59,"Yes",Raw_Data!$D$2:$D$59,"เคหรักษ์")/COUNTIFS(Raw_Data!$AF$2:$AF$59,"&gt;=1",Raw_Data!$AF$2:$AF$59,"&lt;=5",Raw_Data!$A$2:$A$59,"Yes",Raw_Data!$D$2:$D$59,"เคหรักษ์"),"")</f>
        <v>50</v>
      </c>
      <c r="F29" s="54">
        <f>IFERROR(100*COUNTIFS(Raw_Data!$AF$2:$AF$59,"&gt;=4",Raw_Data!$AF$2:$AF$59,"&lt;=5",Raw_Data!$A$2:$A$59,"Yes",Raw_Data!$D$2:$D$59,"จ่ายกลาง")/COUNTIFS(Raw_Data!$AF$2:$AF$59,"&gt;=1",Raw_Data!$AF$2:$AF$59,"&lt;=5",Raw_Data!$A$2:$A$59,"Yes",Raw_Data!$D$2:$D$59,"จ่ายกลาง"),"")</f>
        <v>0</v>
      </c>
      <c r="G29" s="54">
        <f>IFERROR(100*COUNTIFS(Raw_Data!$AF$2:$AF$59,"&gt;=4",Raw_Data!$AF$2:$AF$59,"&lt;=5",Raw_Data!$A$2:$A$59,"Yes",Raw_Data!$D$2:$D$59,"ช่างและสนาม")/COUNTIFS(Raw_Data!$AF$2:$AF$59,"&gt;=1",Raw_Data!$AF$2:$AF$59,"&lt;=5",Raw_Data!$A$2:$A$59,"Yes",Raw_Data!$D$2:$D$59,"ช่างและสนาม"),"")</f>
        <v>0</v>
      </c>
      <c r="H29" s="54">
        <f>IFERROR(100*COUNTIFS(Raw_Data!$AF$2:$AF$59,"&gt;=4",Raw_Data!$AF$2:$AF$59,"&lt;=5",Raw_Data!$A$2:$A$59,"Yes",Raw_Data!$D$2:$D$59,"ผู้ป่วยสัมพันธ์")/COUNTIFS(Raw_Data!$AF$2:$AF$59,"&gt;=1",Raw_Data!$AF$2:$AF$59,"&lt;=5",Raw_Data!$A$2:$A$59,"Yes",Raw_Data!$D$2:$D$59,"ผู้ป่วยสัมพันธ์"),"")</f>
        <v>25</v>
      </c>
      <c r="I29" s="54">
        <f>IFERROR(100*COUNTIFS(Raw_Data!$AF$2:$AF$59,"&gt;=4",Raw_Data!$AF$2:$AF$59,"&lt;=5",Raw_Data!$A$2:$A$59,"Yes",Raw_Data!$D$2:$D$59,"ฝ่ายการพยาบาล")/COUNTIFS(Raw_Data!$AF$2:$AF$59,"&gt;=1",Raw_Data!$AF$2:$AF$59,"&lt;=5",Raw_Data!$A$2:$A$59,"Yes",Raw_Data!$D$2:$D$59,"ฝ่ายการพยาบาล"),"")</f>
        <v>100</v>
      </c>
      <c r="J29" s="54">
        <f>IFERROR(100*COUNTIFS(Raw_Data!$AF$2:$AF$59,"&gt;=4",Raw_Data!$AF$2:$AF$59,"&lt;=5",Raw_Data!$A$2:$A$59,"Yes",Raw_Data!$D$2:$D$59,"โภชนาการ")/COUNTIFS(Raw_Data!$AF$2:$AF$59,"&gt;=1",Raw_Data!$AF$2:$AF$59,"&lt;=5",Raw_Data!$A$2:$A$59,"Yes",Raw_Data!$D$2:$D$59,"โภชนาการ"),"")</f>
        <v>100</v>
      </c>
      <c r="K29" s="54">
        <f>IFERROR(100*COUNTIFS(Raw_Data!$AF$2:$AF$59,"&gt;=4",Raw_Data!$AF$2:$AF$59,"&lt;=5",Raw_Data!$A$2:$A$59,"Yes",Raw_Data!$D$2:$D$59,"ยานพาหนะ")/COUNTIFS(Raw_Data!$AF$2:$AF$59,"&gt;=1",Raw_Data!$AF$2:$AF$59,"&lt;=5",Raw_Data!$A$2:$A$59,"Yes",Raw_Data!$D$2:$D$59,"ยานพาหนะ"),"")</f>
        <v>100</v>
      </c>
      <c r="L29" s="54">
        <f>IFERROR(100*COUNTIFS(Raw_Data!$AF$2:$AF$59,"&gt;=4",Raw_Data!$AF$2:$AF$59,"&lt;=5",Raw_Data!$A$2:$A$59,"Yes",Raw_Data!$D$2:$D$59,"สื่อสารการตลาด")/COUNTIFS(Raw_Data!$AF$2:$AF$59,"&gt;=1",Raw_Data!$AF$2:$AF$59,"&lt;=5",Raw_Data!$A$2:$A$59,"Yes",Raw_Data!$D$2:$D$59,"สื่อสารการตลาด"),"")</f>
        <v>0</v>
      </c>
      <c r="M29" s="54">
        <f>IFERROR(100*COUNTIFS(Raw_Data!$AF$2:$AF$59,"&gt;=4",Raw_Data!$AF$2:$AF$59,"&lt;=5",Raw_Data!$A$2:$A$59,"Yes",Raw_Data!$D$2:$D$59,"ห้องยา")/COUNTIFS(Raw_Data!$AF$2:$AF$59,"&gt;=1",Raw_Data!$AF$2:$AF$59,"&lt;=5",Raw_Data!$A$2:$A$59,"Yes",Raw_Data!$D$2:$D$59,"ห้องยา"),"")</f>
        <v>66.666666666666671</v>
      </c>
      <c r="N29" s="54">
        <f>IFERROR(100*COUNTIFS(Raw_Data!$AF$2:$AF$59,"&gt;=4",Raw_Data!$AF$2:$AF$59,"&lt;=5",Raw_Data!$A$2:$A$59,"Yes",Raw_Data!$D$2:$D$59,"ห้องแลป")/COUNTIFS(Raw_Data!$AF$2:$AF$59,"&gt;=1",Raw_Data!$AF$2:$AF$59,"&lt;=5",Raw_Data!$A$2:$A$59,"Yes",Raw_Data!$D$2:$D$59,"ห้องแลป"),"")</f>
        <v>50</v>
      </c>
      <c r="O29" s="54">
        <f>IFERROR(100*COUNTIFS(Raw_Data!$AF$2:$AF$59,"&gt;=4",Raw_Data!$AF$2:$AF$59,"&lt;=5",Raw_Data!$A$2:$A$59,"Yes",Raw_Data!$D$2:$D$59,"ห้องเอ็กซเรย์")/COUNTIFS(Raw_Data!$AF$2:$AF$59,"&gt;=1",Raw_Data!$AF$2:$AF$59,"&lt;=5",Raw_Data!$A$2:$A$59,"Yes",Raw_Data!$D$2:$D$59,"ห้องเอ็กซเรย์"),"")</f>
        <v>0</v>
      </c>
      <c r="P29" s="54">
        <f>IFERROR(100*COUNTIFS(Raw_Data!$AF$2:$AF$59,"&gt;=4",Raw_Data!$AF$2:$AF$59,"&lt;=5",Raw_Data!$A$2:$A$59,"Yes",Raw_Data!$D$2:$D$59,"ERและเปล")/COUNTIFS(Raw_Data!$AF$2:$AF$59,"&gt;=1",Raw_Data!$AF$2:$AF$59,"&lt;=5",Raw_Data!$A$2:$A$59,"Yes",Raw_Data!$D$2:$D$59,"ERและเปล"),"")</f>
        <v>45.454545454545453</v>
      </c>
      <c r="Q29" s="54">
        <f>IFERROR(100*COUNTIFS(Raw_Data!$AF$2:$AF$59,"&gt;=4",Raw_Data!$AF$2:$AF$59,"&lt;=5",Raw_Data!$A$2:$A$59,"Yes",Raw_Data!$D$2:$D$59,"HR")/COUNTIFS(Raw_Data!$AF$2:$AF$59,"&gt;=1",Raw_Data!$AF$2:$AF$59,"&lt;=5",Raw_Data!$A$2:$A$59,"Yes",Raw_Data!$D$2:$D$59,"HR"),"")</f>
        <v>100</v>
      </c>
      <c r="R29" s="54">
        <f>IFERROR(100*COUNTIFS(Raw_Data!$AF$2:$AF$59,"&gt;=4",Raw_Data!$AF$2:$AF$59,"&lt;=5",Raw_Data!$A$2:$A$59,"Yes",Raw_Data!$D$2:$D$59,"ICU")/COUNTIFS(Raw_Data!$AF$2:$AF$59,"&gt;=1",Raw_Data!$AF$2:$AF$59,"&lt;=5",Raw_Data!$A$2:$A$59,"Yes",Raw_Data!$D$2:$D$59,"ICU"),"")</f>
        <v>25</v>
      </c>
      <c r="S29" s="54">
        <f>IFERROR(100*COUNTIFS(Raw_Data!$AF$2:$AF$59,"&gt;=4",Raw_Data!$AF$2:$AF$59,"&lt;=5",Raw_Data!$A$2:$A$59,"Yes",Raw_Data!$D$2:$D$59,"IPD")/COUNTIFS(Raw_Data!$AF$2:$AF$59,"&gt;=1",Raw_Data!$AF$2:$AF$59,"&lt;=5",Raw_Data!$A$2:$A$59,"Yes",Raw_Data!$D$2:$D$59,"IPD"),"")</f>
        <v>33.333333333333336</v>
      </c>
      <c r="T29" s="54">
        <f>IFERROR(100*COUNTIFS(Raw_Data!$AF$2:$AF$59,"&gt;=4",Raw_Data!$AF$2:$AF$59,"&lt;=5",Raw_Data!$A$2:$A$59,"Yes",Raw_Data!$D$2:$D$59,"IT")/COUNTIFS(Raw_Data!$AF$2:$AF$59,"&gt;=1",Raw_Data!$AF$2:$AF$59,"&lt;=5",Raw_Data!$A$2:$A$59,"Yes",Raw_Data!$D$2:$D$59,"IT"),"")</f>
        <v>50</v>
      </c>
      <c r="U29" s="54">
        <f>IFERROR(100*COUNTIFS(Raw_Data!$AF$2:$AF$59,"&gt;=4",Raw_Data!$AF$2:$AF$59,"&lt;=5",Raw_Data!$A$2:$A$59,"Yes",Raw_Data!$D$2:$D$59,"OR")/COUNTIFS(Raw_Data!$AF$2:$AF$59,"&gt;=1",Raw_Data!$AF$2:$AF$59,"&lt;=5",Raw_Data!$A$2:$A$59,"Yes",Raw_Data!$D$2:$D$59,"OR"),"")</f>
        <v>75</v>
      </c>
      <c r="V29" s="54">
        <f>IFERROR(100*COUNTIFS(Raw_Data!$AF$2:$AF$59,"&gt;=4",Raw_Data!$AF$2:$AF$59,"&lt;=5",Raw_Data!$A$2:$A$59,"Yes",Raw_Data!$D$2:$D$59,"IPD",Raw_Data!$E$2:$E$59,"ผู้บริหาร")/COUNTIFS(Raw_Data!$AF$2:$AF$59,"&gt;=1",Raw_Data!$AF$2:$AF$59,"&lt;=5",Raw_Data!$A$2:$A$59,"Yes",Raw_Data!$D$2:$D$59,"IPD",Raw_Data!$E$2:$E$59,"ผู้บริหาร"),"")</f>
        <v>100</v>
      </c>
      <c r="W29" s="54">
        <f>IFERROR(100*COUNTIFS(Raw_Data!$AF$2:$AF$59,"&gt;=4",Raw_Data!$AF$2:$AF$59,"&lt;=5",Raw_Data!$A$2:$A$59,"Yes",Raw_Data!$D$2:$D$59,"ฝ่ายการพยาบาล",Raw_Data!$E$2:$E$59,"สายวิชาชีพสาธารณสุข")/COUNTIFS(Raw_Data!$AF$2:$AF$59,"&gt;=1",Raw_Data!$AF$2:$AF$59,"&lt;=5",Raw_Data!$A$2:$A$59,"Yes",Raw_Data!$D$2:$D$59,"ฝ่ายการพยาบาล",Raw_Data!$E$2:$E$59,"สายวิชาชีพสาธารณสุข"),"")</f>
        <v>100</v>
      </c>
      <c r="X29" s="54">
        <f>IFERROR(100*COUNTIFS(Raw_Data!$AF$2:$AF$59,"&gt;=4",Raw_Data!$AF$2:$AF$59,"&lt;=5",Raw_Data!$A$2:$A$59,"Yes",Raw_Data!$D$2:$D$59,"ERและเปล",Raw_Data!$E$2:$E$59,"สายวิชาชีพสาธารณสุข")/COUNTIFS(Raw_Data!$AF$2:$AF$59,"&gt;=1",Raw_Data!$AF$2:$AF$59,"&lt;=5",Raw_Data!$A$2:$A$59,"Yes",Raw_Data!$D$2:$D$59,"ERและเปล",Raw_Data!$E$2:$E$59,"สายวิชาชีพสาธารณสุข"),"")</f>
        <v>57.142857142857146</v>
      </c>
      <c r="Y29" s="54">
        <f>IFERROR(100*COUNTIFS(Raw_Data!$AF$2:$AF$59,"&gt;=4",Raw_Data!$AF$2:$AF$59,"&lt;=5",Raw_Data!$A$2:$A$59,"Yes",Raw_Data!$D$2:$D$59,"ICU",Raw_Data!$E$2:$E$59,"สายวิชาชีพสาธารณสุข")/COUNTIFS(Raw_Data!$AF$2:$AF$59,"&gt;=1",Raw_Data!$AF$2:$AF$59,"&lt;=5",Raw_Data!$A$2:$A$59,"Yes",Raw_Data!$D$2:$D$59,"ICU",Raw_Data!$E$2:$E$59,"สายวิชาชีพสาธารณสุข"),"")</f>
        <v>50</v>
      </c>
      <c r="Z29" s="54">
        <f>IFERROR(100*COUNTIFS(Raw_Data!$AF$2:$AF$59,"&gt;=4",Raw_Data!$AF$2:$AF$59,"&lt;=5",Raw_Data!$A$2:$A$59,"Yes",Raw_Data!$D$2:$D$59,"IPD",Raw_Data!$E$2:$E$59,"สายวิชาชีพสาธารณสุข")/COUNTIFS(Raw_Data!$AF$2:$AF$59,"&gt;=1",Raw_Data!$AF$2:$AF$59,"&lt;=5",Raw_Data!$A$2:$A$59,"Yes",Raw_Data!$D$2:$D$59,"IPD",Raw_Data!$E$2:$E$59,"สายวิชาชีพสาธารณสุข"),"")</f>
        <v>0</v>
      </c>
      <c r="AA29" s="54">
        <f>IFERROR(100*COUNTIFS(Raw_Data!$AF$2:$AF$59,"&gt;=4",Raw_Data!$AF$2:$AF$59,"&lt;=5",Raw_Data!$A$2:$A$59,"Yes",Raw_Data!$D$2:$D$59,"OR",Raw_Data!$E$2:$E$59,"สายวิชาชีพสาธารณสุข")/COUNTIFS(Raw_Data!$AF$2:$AF$59,"&gt;=1",Raw_Data!$AF$2:$AF$59,"&lt;=5",Raw_Data!$A$2:$A$59,"Yes",Raw_Data!$D$2:$D$59,"OR",Raw_Data!$E$2:$E$59,"สายวิชาชีพสาธารณสุข"),"")</f>
        <v>75</v>
      </c>
      <c r="AB29" s="54">
        <f>IFERROR(100*COUNTIFS(Raw_Data!$AF$2:$AF$59,"&gt;=4",Raw_Data!$AF$2:$AF$59,"&lt;=5",Raw_Data!$A$2:$A$59,"Yes",Raw_Data!$D$2:$D$59,"การเงิน",Raw_Data!$E$2:$E$59,"สายสนับสนุนทั่วไป")/COUNTIFS(Raw_Data!$AF$2:$AF$59,"&gt;=1",Raw_Data!$AF$2:$AF$59,"&lt;=5",Raw_Data!$A$2:$A$59,"Yes",Raw_Data!$D$2:$D$59,"การเงิน",Raw_Data!$E$2:$E$59,"สายสนับสนุนทั่วไป"),"")</f>
        <v>33.333333333333336</v>
      </c>
      <c r="AC29" s="54">
        <f>IFERROR(100*COUNTIFS(Raw_Data!$AF$2:$AF$59,"&gt;=4",Raw_Data!$AF$2:$AF$59,"&lt;=5",Raw_Data!$A$2:$A$59,"Yes",Raw_Data!$D$2:$D$59,"เคหรักษ์",Raw_Data!$E$2:$E$59,"สายสนับสนุนทั่วไป")/COUNTIFS(Raw_Data!$AF$2:$AF$59,"&gt;=1",Raw_Data!$AF$2:$AF$59,"&lt;=5",Raw_Data!$A$2:$A$59,"Yes",Raw_Data!$D$2:$D$59,"เคหรักษ์",Raw_Data!$E$2:$E$59,"สายสนับสนุนทั่วไป"),"")</f>
        <v>50</v>
      </c>
      <c r="AD29" s="54">
        <f>IFERROR(100*COUNTIFS(Raw_Data!$AF$2:$AF$59,"&gt;=4",Raw_Data!$AF$2:$AF$59,"&lt;=5",Raw_Data!$A$2:$A$59,"Yes",Raw_Data!$D$2:$D$59,"จ่ายกลาง",Raw_Data!$E$2:$E$59,"สายสนับสนุนทั่วไป")/COUNTIFS(Raw_Data!$AF$2:$AF$59,"&gt;=1",Raw_Data!$AF$2:$AF$59,"&lt;=5",Raw_Data!$A$2:$A$59,"Yes",Raw_Data!$D$2:$D$59,"จ่ายกลาง",Raw_Data!$E$2:$E$59,"สายสนับสนุนทั่วไป"),"")</f>
        <v>0</v>
      </c>
      <c r="AE29" s="54">
        <f>IFERROR(100*COUNTIFS(Raw_Data!$AF$2:$AF$59,"&gt;=4",Raw_Data!$AF$2:$AF$59,"&lt;=5",Raw_Data!$A$2:$A$59,"Yes",Raw_Data!$D$2:$D$59,"ช่างและสนาม",Raw_Data!$E$2:$E$59,"สายสนับสนุนทั่วไป")/COUNTIFS(Raw_Data!$AF$2:$AF$59,"&gt;=1",Raw_Data!$AF$2:$AF$59,"&lt;=5",Raw_Data!$A$2:$A$59,"Yes",Raw_Data!$D$2:$D$59,"ช่างและสนาม",Raw_Data!$E$2:$E$59,"สายสนับสนุนทั่วไป"),"")</f>
        <v>0</v>
      </c>
      <c r="AF29" s="54">
        <f>IFERROR(100*COUNTIFS(Raw_Data!$AF$2:$AF$59,"&gt;=4",Raw_Data!$AF$2:$AF$59,"&lt;=5",Raw_Data!$A$2:$A$59,"Yes",Raw_Data!$D$2:$D$59,"ผู้ป่วยสัมพันธ์",Raw_Data!$E$2:$E$59,"สายสนับสนุนทั่วไป")/COUNTIFS(Raw_Data!$AF$2:$AF$59,"&gt;=1",Raw_Data!$AF$2:$AF$59,"&lt;=5",Raw_Data!$A$2:$A$59,"Yes",Raw_Data!$D$2:$D$59,"ผู้ป่วยสัมพันธ์",Raw_Data!$E$2:$E$59,"สายสนับสนุนทั่วไป"),"")</f>
        <v>0</v>
      </c>
      <c r="AG29" s="54">
        <f>IFERROR(100*COUNTIFS(Raw_Data!$AF$2:$AF$59,"&gt;=4",Raw_Data!$AF$2:$AF$59,"&lt;=5",Raw_Data!$A$2:$A$59,"Yes",Raw_Data!$D$2:$D$59,"ยานพาหนะ",Raw_Data!$E$2:$E$59,"สายสนับสนุนทั่วไป")/COUNTIFS(Raw_Data!$AF$2:$AF$59,"&gt;=1",Raw_Data!$AF$2:$AF$59,"&lt;=5",Raw_Data!$A$2:$A$59,"Yes",Raw_Data!$D$2:$D$59,"ยานพาหนะ",Raw_Data!$E$2:$E$59,"สายสนับสนุนทั่วไป"),"")</f>
        <v>100</v>
      </c>
      <c r="AH29" s="54">
        <f>IFERROR(100*COUNTIFS(Raw_Data!$AF$2:$AF$59,"&gt;=4",Raw_Data!$AF$2:$AF$59,"&lt;=5",Raw_Data!$A$2:$A$59,"Yes",Raw_Data!$D$2:$D$59,"สื่อสารการตลาด",Raw_Data!$E$2:$E$59,"สายสนับสนุนทั่วไป")/COUNTIFS(Raw_Data!$AF$2:$AF$59,"&gt;=1",Raw_Data!$AF$2:$AF$59,"&lt;=5",Raw_Data!$A$2:$A$59,"Yes",Raw_Data!$D$2:$D$59,"สื่อสารการตลาด",Raw_Data!$E$2:$E$59,"สายสนับสนุนทั่วไป"),"")</f>
        <v>0</v>
      </c>
      <c r="AI29" s="54">
        <f>IFERROR(100*COUNTIFS(Raw_Data!$AF$2:$AF$59,"&gt;=4",Raw_Data!$AF$2:$AF$59,"&lt;=5",Raw_Data!$A$2:$A$59,"Yes",Raw_Data!$D$2:$D$59,"ERและเปล",Raw_Data!$E$2:$E$59,"สายสนับสนุนทั่วไป")/COUNTIFS(Raw_Data!$AF$2:$AF$59,"&gt;=1",Raw_Data!$AF$2:$AF$59,"&lt;=5",Raw_Data!$A$2:$A$59,"Yes",Raw_Data!$D$2:$D$59,"ERและเปล",Raw_Data!$E$2:$E$59,"สายสนับสนุนทั่วไป"),"")</f>
        <v>0</v>
      </c>
      <c r="AJ29" s="54">
        <f>IFERROR(100*COUNTIFS(Raw_Data!$AF$2:$AF$59,"&gt;=4",Raw_Data!$AF$2:$AF$59,"&lt;=5",Raw_Data!$A$2:$A$59,"Yes",Raw_Data!$D$2:$D$59,"HR",Raw_Data!$E$2:$E$59,"สายสนับสนุนทั่วไป")/COUNTIFS(Raw_Data!$AF$2:$AF$59,"&gt;=1",Raw_Data!$AF$2:$AF$59,"&lt;=5",Raw_Data!$A$2:$A$59,"Yes",Raw_Data!$D$2:$D$59,"HR",Raw_Data!$E$2:$E$59,"สายสนับสนุนทั่วไป"),"")</f>
        <v>100</v>
      </c>
      <c r="AK29" s="54">
        <f>IFERROR(100*COUNTIFS(Raw_Data!$AF$2:$AF$59,"&gt;=4",Raw_Data!$AF$2:$AF$59,"&lt;=5",Raw_Data!$A$2:$A$59,"Yes",Raw_Data!$D$2:$D$59,"ICU",Raw_Data!$E$2:$E$59,"สายสนับสนุนทั่วไป")/COUNTIFS(Raw_Data!$AF$2:$AF$59,"&gt;=1",Raw_Data!$AF$2:$AF$59,"&lt;=5",Raw_Data!$A$2:$A$59,"Yes",Raw_Data!$D$2:$D$59,"ICU",Raw_Data!$E$2:$E$59,"สายสนับสนุนทั่วไป"),"")</f>
        <v>0</v>
      </c>
      <c r="AL29" s="54">
        <f>IFERROR(100*COUNTIFS(Raw_Data!$AF$2:$AF$59,"&gt;=4",Raw_Data!$AF$2:$AF$59,"&lt;=5",Raw_Data!$A$2:$A$59,"Yes",Raw_Data!$D$2:$D$59,"IPD",Raw_Data!$E$2:$E$59,"สายสนับสนุนทั่วไป")/COUNTIFS(Raw_Data!$AF$2:$AF$59,"&gt;=1",Raw_Data!$AF$2:$AF$59,"&lt;=5",Raw_Data!$A$2:$A$59,"Yes",Raw_Data!$D$2:$D$59,"IPD",Raw_Data!$E$2:$E$59,"สายสนับสนุนทั่วไป"),"")</f>
        <v>0</v>
      </c>
      <c r="AM29" s="54">
        <f>IFERROR(100*COUNTIFS(Raw_Data!$AF$2:$AF$59,"&gt;=4",Raw_Data!$AF$2:$AF$59,"&lt;=5",Raw_Data!$A$2:$A$59,"Yes",Raw_Data!$D$2:$D$59,"IT",Raw_Data!$E$2:$E$59,"สายสนับสนุนทั่วไป")/COUNTIFS(Raw_Data!$AF$2:$AF$59,"&gt;=1",Raw_Data!$AF$2:$AF$59,"&lt;=5",Raw_Data!$A$2:$A$59,"Yes",Raw_Data!$D$2:$D$59,"IT",Raw_Data!$E$2:$E$59,"สายสนับสนุนทั่วไป"),"")</f>
        <v>0</v>
      </c>
      <c r="AN29" s="54">
        <f>IFERROR(100*COUNTIFS(Raw_Data!$AF$2:$AF$59,"&gt;=4",Raw_Data!$AF$2:$AF$59,"&lt;=5",Raw_Data!$A$2:$A$59,"Yes",Raw_Data!$D$2:$D$59,"ผู้ป่วยสัมพันธ์",Raw_Data!$E$2:$E$59,"สายสนับสนุนทางการแพทย์")/COUNTIFS(Raw_Data!$AF$2:$AF$59,"&gt;=1",Raw_Data!$AF$2:$AF$59,"&lt;=5",Raw_Data!$A$2:$A$59,"Yes",Raw_Data!$D$2:$D$59,"ผู้ป่วยสัมพันธ์",Raw_Data!$E$2:$E$59,"สายสนับสนุนทางการแพทย์"),"")</f>
        <v>33.333333333333336</v>
      </c>
      <c r="AO29" s="54">
        <f>IFERROR(100*COUNTIFS(Raw_Data!$AF$2:$AF$59,"&gt;=4",Raw_Data!$AF$2:$AF$59,"&lt;=5",Raw_Data!$A$2:$A$59,"Yes",Raw_Data!$D$2:$D$59,"ฝ่ายการพยาบาล",Raw_Data!$E$2:$E$59,"สายสนับสนุนทางการแพทย์")/COUNTIFS(Raw_Data!$AF$2:$AF$59,"&gt;=1",Raw_Data!$AF$2:$AF$59,"&lt;=5",Raw_Data!$A$2:$A$59,"Yes",Raw_Data!$D$2:$D$59,"ฝ่ายการพยาบาล",Raw_Data!$E$2:$E$59,"สายสนับสนุนทางการแพทย์"),"")</f>
        <v>100</v>
      </c>
      <c r="AP29" s="54">
        <f>IFERROR(100*COUNTIFS(Raw_Data!$AF$2:$AF$59,"&gt;=4",Raw_Data!$AF$2:$AF$59,"&lt;=5",Raw_Data!$A$2:$A$59,"Yes",Raw_Data!$D$2:$D$59,"โภชนาการ",Raw_Data!$E$2:$E$59,"สายสนับสนุนทางการแพทย์")/COUNTIFS(Raw_Data!$AF$2:$AF$59,"&gt;=1",Raw_Data!$AF$2:$AF$59,"&lt;=5",Raw_Data!$A$2:$A$59,"Yes",Raw_Data!$D$2:$D$59,"โภชนาการ",Raw_Data!$E$2:$E$59,"สายสนับสนุนทางการแพทย์"),"")</f>
        <v>100</v>
      </c>
      <c r="AQ29" s="54">
        <f>IFERROR(100*COUNTIFS(Raw_Data!$AF$2:$AF$59,"&gt;=4",Raw_Data!$AF$2:$AF$59,"&lt;=5",Raw_Data!$A$2:$A$59,"Yes",Raw_Data!$D$2:$D$59,"ห้องยา",Raw_Data!$E$2:$E$59,"สายสนับสนุนทางการแพทย์")/COUNTIFS(Raw_Data!$AF$2:$AF$59,"&gt;=1",Raw_Data!$AF$2:$AF$59,"&lt;=5",Raw_Data!$A$2:$A$59,"Yes",Raw_Data!$D$2:$D$59,"ห้องยา",Raw_Data!$E$2:$E$59,"สายสนับสนุนทางการแพทย์"),"")</f>
        <v>66.666666666666671</v>
      </c>
      <c r="AR29" s="54">
        <f>IFERROR(100*COUNTIFS(Raw_Data!$AF$2:$AF$59,"&gt;=4",Raw_Data!$AF$2:$AF$59,"&lt;=5",Raw_Data!$A$2:$A$59,"Yes",Raw_Data!$D$2:$D$59,"ห้องแลป",Raw_Data!$E$2:$E$59,"สายสนับสนุนทางการแพทย์")/COUNTIFS(Raw_Data!$AF$2:$AF$59,"&gt;=1",Raw_Data!$AF$2:$AF$59,"&lt;=5",Raw_Data!$A$2:$A$59,"Yes",Raw_Data!$D$2:$D$59,"ห้องแลป",Raw_Data!$E$2:$E$59,"สายสนับสนุนทางการแพทย์"),"")</f>
        <v>50</v>
      </c>
      <c r="AS29" s="54">
        <f>IFERROR(100*COUNTIFS(Raw_Data!$AF$2:$AF$59,"&gt;=4",Raw_Data!$AF$2:$AF$59,"&lt;=5",Raw_Data!$A$2:$A$59,"Yes",Raw_Data!$D$2:$D$59,"ห้องเอ็กซเรย์",Raw_Data!$E$2:$E$59,"สายสนับสนุนทางการแพทย์")/COUNTIFS(Raw_Data!$AF$2:$AF$59,"&gt;=1",Raw_Data!$AF$2:$AF$59,"&lt;=5",Raw_Data!$A$2:$A$59,"Yes",Raw_Data!$D$2:$D$59,"ห้องเอ็กซเรย์",Raw_Data!$E$2:$E$59,"สายสนับสนุนทางการแพทย์"),"")</f>
        <v>0</v>
      </c>
      <c r="AT29" s="54">
        <f>IFERROR(100*COUNTIFS(Raw_Data!$AF$2:$AF$59,"&gt;=4",Raw_Data!$AF$2:$AF$59,"&lt;=5",Raw_Data!$A$2:$A$59,"Yes",Raw_Data!$D$2:$D$59,"ERและเปล",Raw_Data!$E$2:$E$59,"สายสนับสนุนทางการแพทย์")/COUNTIFS(Raw_Data!$AF$2:$AF$59,"&gt;=1",Raw_Data!$AF$2:$AF$59,"&lt;=5",Raw_Data!$A$2:$A$59,"Yes",Raw_Data!$D$2:$D$59,"ERและเปล",Raw_Data!$E$2:$E$59,"สายสนับสนุนทางการแพทย์"),"")</f>
        <v>100</v>
      </c>
      <c r="AU29" s="54">
        <f>IFERROR(100*COUNTIFS(Raw_Data!$AF$2:$AF$59,"&gt;=4",Raw_Data!$AF$2:$AF$59,"&lt;=5",Raw_Data!$A$2:$A$59,"Yes",Raw_Data!$D$2:$D$59,"ICU",Raw_Data!$E$2:$E$59,"สายสนับสนุนทางการแพทย์")/COUNTIFS(Raw_Data!$AF$2:$AF$59,"&gt;=1",Raw_Data!$AF$2:$AF$59,"&lt;=5",Raw_Data!$A$2:$A$59,"Yes",Raw_Data!$D$2:$D$59,"ICU",Raw_Data!$E$2:$E$59,"สายสนับสนุนทางการแพทย์"),"")</f>
        <v>0</v>
      </c>
      <c r="AV29" s="54">
        <f>IFERROR(100*COUNTIFS(Raw_Data!$AF$2:$AF$59,"&gt;=4",Raw_Data!$AF$2:$AF$59,"&lt;=5",Raw_Data!$A$2:$A$59,"Yes",Raw_Data!$D$2:$D$59,"IPD",Raw_Data!$E$2:$E$59,"สายสนับสนุนทางการแพทย์")/COUNTIFS(Raw_Data!$AF$2:$AF$59,"&gt;=1",Raw_Data!$AF$2:$AF$59,"&lt;=5",Raw_Data!$A$2:$A$59,"Yes",Raw_Data!$D$2:$D$59,"IPD",Raw_Data!$E$2:$E$59,"สายสนับสนุนทางการแพทย์"),"")</f>
        <v>50</v>
      </c>
      <c r="AW29" s="54">
        <f>IFERROR(100*COUNTIFS(Raw_Data!$AF$2:$AF$59,"&gt;=4",Raw_Data!$AF$2:$AF$59,"&lt;=5",Raw_Data!$A$2:$A$59,"Yes",Raw_Data!$D$2:$D$59,"IT",Raw_Data!$E$2:$E$59,"สายสนับสนุนทางการแพทย์")/COUNTIFS(Raw_Data!$AF$2:$AF$59,"&gt;=1",Raw_Data!$AF$2:$AF$59,"&lt;=5",Raw_Data!$A$2:$A$59,"Yes",Raw_Data!$D$2:$D$59,"IT",Raw_Data!$E$2:$E$59,"สายสนับสนุนทางการแพทย์"),"")</f>
        <v>100</v>
      </c>
    </row>
    <row r="30" spans="1:49" ht="42" customHeight="1">
      <c r="A30" s="50" t="s">
        <v>24</v>
      </c>
      <c r="B30" s="51" t="s">
        <v>57</v>
      </c>
      <c r="C30" s="54">
        <f>IFERROR(100*COUNTIFS(Raw_Data!$AG$2:$AG$59,"&gt;=4",Raw_Data!$AG$2:$AG$59,"&lt;=5",Raw_Data!$A$2:$A$59,"Yes")/COUNTIFS(Raw_Data!$AG$2:$AG$59,"&gt;=1",Raw_Data!$AG$2:$AG$59,"&lt;=5",Raw_Data!$A$2:$A$59,"Yes"),"")</f>
        <v>82.758620689655174</v>
      </c>
      <c r="D30" s="54">
        <f>IFERROR(100*COUNTIFS(Raw_Data!$AG$2:$AG$59,"&gt;=4",Raw_Data!$AG$2:$AG$59,"&lt;=5",Raw_Data!$A$2:$A$59,"Yes",Raw_Data!$D$2:$D$59,"การเงิน")/COUNTIFS(Raw_Data!$AG$2:$AG$59,"&gt;=1",Raw_Data!$AG$2:$AG$59,"&lt;=5",Raw_Data!$A$2:$A$59,"Yes",Raw_Data!$D$2:$D$59,"การเงิน"),"")</f>
        <v>66.666666666666671</v>
      </c>
      <c r="E30" s="54">
        <f>IFERROR(100*COUNTIFS(Raw_Data!$AG$2:$AG$59,"&gt;=4",Raw_Data!$AG$2:$AG$59,"&lt;=5",Raw_Data!$A$2:$A$59,"Yes",Raw_Data!$D$2:$D$59,"เคหรักษ์")/COUNTIFS(Raw_Data!$AG$2:$AG$59,"&gt;=1",Raw_Data!$AG$2:$AG$59,"&lt;=5",Raw_Data!$A$2:$A$59,"Yes",Raw_Data!$D$2:$D$59,"เคหรักษ์"),"")</f>
        <v>50</v>
      </c>
      <c r="F30" s="54">
        <f>IFERROR(100*COUNTIFS(Raw_Data!$AG$2:$AG$59,"&gt;=4",Raw_Data!$AG$2:$AG$59,"&lt;=5",Raw_Data!$A$2:$A$59,"Yes",Raw_Data!$D$2:$D$59,"จ่ายกลาง")/COUNTIFS(Raw_Data!$AG$2:$AG$59,"&gt;=1",Raw_Data!$AG$2:$AG$59,"&lt;=5",Raw_Data!$A$2:$A$59,"Yes",Raw_Data!$D$2:$D$59,"จ่ายกลาง"),"")</f>
        <v>100</v>
      </c>
      <c r="G30" s="54">
        <f>IFERROR(100*COUNTIFS(Raw_Data!$AG$2:$AG$59,"&gt;=4",Raw_Data!$AG$2:$AG$59,"&lt;=5",Raw_Data!$A$2:$A$59,"Yes",Raw_Data!$D$2:$D$59,"ช่างและสนาม")/COUNTIFS(Raw_Data!$AG$2:$AG$59,"&gt;=1",Raw_Data!$AG$2:$AG$59,"&lt;=5",Raw_Data!$A$2:$A$59,"Yes",Raw_Data!$D$2:$D$59,"ช่างและสนาม"),"")</f>
        <v>50</v>
      </c>
      <c r="H30" s="54">
        <f>IFERROR(100*COUNTIFS(Raw_Data!$AG$2:$AG$59,"&gt;=4",Raw_Data!$AG$2:$AG$59,"&lt;=5",Raw_Data!$A$2:$A$59,"Yes",Raw_Data!$D$2:$D$59,"ผู้ป่วยสัมพันธ์")/COUNTIFS(Raw_Data!$AG$2:$AG$59,"&gt;=1",Raw_Data!$AG$2:$AG$59,"&lt;=5",Raw_Data!$A$2:$A$59,"Yes",Raw_Data!$D$2:$D$59,"ผู้ป่วยสัมพันธ์"),"")</f>
        <v>100</v>
      </c>
      <c r="I30" s="54">
        <f>IFERROR(100*COUNTIFS(Raw_Data!$AG$2:$AG$59,"&gt;=4",Raw_Data!$AG$2:$AG$59,"&lt;=5",Raw_Data!$A$2:$A$59,"Yes",Raw_Data!$D$2:$D$59,"ฝ่ายการพยาบาล")/COUNTIFS(Raw_Data!$AG$2:$AG$59,"&gt;=1",Raw_Data!$AG$2:$AG$59,"&lt;=5",Raw_Data!$A$2:$A$59,"Yes",Raw_Data!$D$2:$D$59,"ฝ่ายการพยาบาล"),"")</f>
        <v>100</v>
      </c>
      <c r="J30" s="54">
        <f>IFERROR(100*COUNTIFS(Raw_Data!$AG$2:$AG$59,"&gt;=4",Raw_Data!$AG$2:$AG$59,"&lt;=5",Raw_Data!$A$2:$A$59,"Yes",Raw_Data!$D$2:$D$59,"โภชนาการ")/COUNTIFS(Raw_Data!$AG$2:$AG$59,"&gt;=1",Raw_Data!$AG$2:$AG$59,"&lt;=5",Raw_Data!$A$2:$A$59,"Yes",Raw_Data!$D$2:$D$59,"โภชนาการ"),"")</f>
        <v>100</v>
      </c>
      <c r="K30" s="54">
        <f>IFERROR(100*COUNTIFS(Raw_Data!$AG$2:$AG$59,"&gt;=4",Raw_Data!$AG$2:$AG$59,"&lt;=5",Raw_Data!$A$2:$A$59,"Yes",Raw_Data!$D$2:$D$59,"ยานพาหนะ")/COUNTIFS(Raw_Data!$AG$2:$AG$59,"&gt;=1",Raw_Data!$AG$2:$AG$59,"&lt;=5",Raw_Data!$A$2:$A$59,"Yes",Raw_Data!$D$2:$D$59,"ยานพาหนะ"),"")</f>
        <v>100</v>
      </c>
      <c r="L30" s="54">
        <f>IFERROR(100*COUNTIFS(Raw_Data!$AG$2:$AG$59,"&gt;=4",Raw_Data!$AG$2:$AG$59,"&lt;=5",Raw_Data!$A$2:$A$59,"Yes",Raw_Data!$D$2:$D$59,"สื่อสารการตลาด")/COUNTIFS(Raw_Data!$AG$2:$AG$59,"&gt;=1",Raw_Data!$AG$2:$AG$59,"&lt;=5",Raw_Data!$A$2:$A$59,"Yes",Raw_Data!$D$2:$D$59,"สื่อสารการตลาด"),"")</f>
        <v>100</v>
      </c>
      <c r="M30" s="54">
        <f>IFERROR(100*COUNTIFS(Raw_Data!$AG$2:$AG$59,"&gt;=4",Raw_Data!$AG$2:$AG$59,"&lt;=5",Raw_Data!$A$2:$A$59,"Yes",Raw_Data!$D$2:$D$59,"ห้องยา")/COUNTIFS(Raw_Data!$AG$2:$AG$59,"&gt;=1",Raw_Data!$AG$2:$AG$59,"&lt;=5",Raw_Data!$A$2:$A$59,"Yes",Raw_Data!$D$2:$D$59,"ห้องยา"),"")</f>
        <v>100</v>
      </c>
      <c r="N30" s="54">
        <f>IFERROR(100*COUNTIFS(Raw_Data!$AG$2:$AG$59,"&gt;=4",Raw_Data!$AG$2:$AG$59,"&lt;=5",Raw_Data!$A$2:$A$59,"Yes",Raw_Data!$D$2:$D$59,"ห้องแลป")/COUNTIFS(Raw_Data!$AG$2:$AG$59,"&gt;=1",Raw_Data!$AG$2:$AG$59,"&lt;=5",Raw_Data!$A$2:$A$59,"Yes",Raw_Data!$D$2:$D$59,"ห้องแลป"),"")</f>
        <v>50</v>
      </c>
      <c r="O30" s="54">
        <f>IFERROR(100*COUNTIFS(Raw_Data!$AG$2:$AG$59,"&gt;=4",Raw_Data!$AG$2:$AG$59,"&lt;=5",Raw_Data!$A$2:$A$59,"Yes",Raw_Data!$D$2:$D$59,"ห้องเอ็กซเรย์")/COUNTIFS(Raw_Data!$AG$2:$AG$59,"&gt;=1",Raw_Data!$AG$2:$AG$59,"&lt;=5",Raw_Data!$A$2:$A$59,"Yes",Raw_Data!$D$2:$D$59,"ห้องเอ็กซเรย์"),"")</f>
        <v>100</v>
      </c>
      <c r="P30" s="54">
        <f>IFERROR(100*COUNTIFS(Raw_Data!$AG$2:$AG$59,"&gt;=4",Raw_Data!$AG$2:$AG$59,"&lt;=5",Raw_Data!$A$2:$A$59,"Yes",Raw_Data!$D$2:$D$59,"ERและเปล")/COUNTIFS(Raw_Data!$AG$2:$AG$59,"&gt;=1",Raw_Data!$AG$2:$AG$59,"&lt;=5",Raw_Data!$A$2:$A$59,"Yes",Raw_Data!$D$2:$D$59,"ERและเปล"),"")</f>
        <v>72.727272727272734</v>
      </c>
      <c r="Q30" s="54">
        <f>IFERROR(100*COUNTIFS(Raw_Data!$AG$2:$AG$59,"&gt;=4",Raw_Data!$AG$2:$AG$59,"&lt;=5",Raw_Data!$A$2:$A$59,"Yes",Raw_Data!$D$2:$D$59,"HR")/COUNTIFS(Raw_Data!$AG$2:$AG$59,"&gt;=1",Raw_Data!$AG$2:$AG$59,"&lt;=5",Raw_Data!$A$2:$A$59,"Yes",Raw_Data!$D$2:$D$59,"HR"),"")</f>
        <v>100</v>
      </c>
      <c r="R30" s="54">
        <f>IFERROR(100*COUNTIFS(Raw_Data!$AG$2:$AG$59,"&gt;=4",Raw_Data!$AG$2:$AG$59,"&lt;=5",Raw_Data!$A$2:$A$59,"Yes",Raw_Data!$D$2:$D$59,"ICU")/COUNTIFS(Raw_Data!$AG$2:$AG$59,"&gt;=1",Raw_Data!$AG$2:$AG$59,"&lt;=5",Raw_Data!$A$2:$A$59,"Yes",Raw_Data!$D$2:$D$59,"ICU"),"")</f>
        <v>75</v>
      </c>
      <c r="S30" s="54">
        <f>IFERROR(100*COUNTIFS(Raw_Data!$AG$2:$AG$59,"&gt;=4",Raw_Data!$AG$2:$AG$59,"&lt;=5",Raw_Data!$A$2:$A$59,"Yes",Raw_Data!$D$2:$D$59,"IPD")/COUNTIFS(Raw_Data!$AG$2:$AG$59,"&gt;=1",Raw_Data!$AG$2:$AG$59,"&lt;=5",Raw_Data!$A$2:$A$59,"Yes",Raw_Data!$D$2:$D$59,"IPD"),"")</f>
        <v>83.333333333333329</v>
      </c>
      <c r="T30" s="54">
        <f>IFERROR(100*COUNTIFS(Raw_Data!$AG$2:$AG$59,"&gt;=4",Raw_Data!$AG$2:$AG$59,"&lt;=5",Raw_Data!$A$2:$A$59,"Yes",Raw_Data!$D$2:$D$59,"IT")/COUNTIFS(Raw_Data!$AG$2:$AG$59,"&gt;=1",Raw_Data!$AG$2:$AG$59,"&lt;=5",Raw_Data!$A$2:$A$59,"Yes",Raw_Data!$D$2:$D$59,"IT"),"")</f>
        <v>100</v>
      </c>
      <c r="U30" s="54">
        <f>IFERROR(100*COUNTIFS(Raw_Data!$AG$2:$AG$59,"&gt;=4",Raw_Data!$AG$2:$AG$59,"&lt;=5",Raw_Data!$A$2:$A$59,"Yes",Raw_Data!$D$2:$D$59,"OR")/COUNTIFS(Raw_Data!$AG$2:$AG$59,"&gt;=1",Raw_Data!$AG$2:$AG$59,"&lt;=5",Raw_Data!$A$2:$A$59,"Yes",Raw_Data!$D$2:$D$59,"OR"),"")</f>
        <v>100</v>
      </c>
      <c r="V30" s="54">
        <f>IFERROR(100*COUNTIFS(Raw_Data!$AG$2:$AG$59,"&gt;=4",Raw_Data!$AG$2:$AG$59,"&lt;=5",Raw_Data!$A$2:$A$59,"Yes",Raw_Data!$D$2:$D$59,"IPD",Raw_Data!$E$2:$E$59,"ผู้บริหาร")/COUNTIFS(Raw_Data!$AG$2:$AG$59,"&gt;=1",Raw_Data!$AG$2:$AG$59,"&lt;=5",Raw_Data!$A$2:$A$59,"Yes",Raw_Data!$D$2:$D$59,"IPD",Raw_Data!$E$2:$E$59,"ผู้บริหาร"),"")</f>
        <v>100</v>
      </c>
      <c r="W30" s="54">
        <f>IFERROR(100*COUNTIFS(Raw_Data!$AG$2:$AG$59,"&gt;=4",Raw_Data!$AG$2:$AG$59,"&lt;=5",Raw_Data!$A$2:$A$59,"Yes",Raw_Data!$D$2:$D$59,"ฝ่ายการพยาบาล",Raw_Data!$E$2:$E$59,"สายวิชาชีพสาธารณสุข")/COUNTIFS(Raw_Data!$AG$2:$AG$59,"&gt;=1",Raw_Data!$AG$2:$AG$59,"&lt;=5",Raw_Data!$A$2:$A$59,"Yes",Raw_Data!$D$2:$D$59,"ฝ่ายการพยาบาล",Raw_Data!$E$2:$E$59,"สายวิชาชีพสาธารณสุข"),"")</f>
        <v>100</v>
      </c>
      <c r="X30" s="54">
        <f>IFERROR(100*COUNTIFS(Raw_Data!$AG$2:$AG$59,"&gt;=4",Raw_Data!$AG$2:$AG$59,"&lt;=5",Raw_Data!$A$2:$A$59,"Yes",Raw_Data!$D$2:$D$59,"ERและเปล",Raw_Data!$E$2:$E$59,"สายวิชาชีพสาธารณสุข")/COUNTIFS(Raw_Data!$AG$2:$AG$59,"&gt;=1",Raw_Data!$AG$2:$AG$59,"&lt;=5",Raw_Data!$A$2:$A$59,"Yes",Raw_Data!$D$2:$D$59,"ERและเปล",Raw_Data!$E$2:$E$59,"สายวิชาชีพสาธารณสุข"),"")</f>
        <v>85.714285714285708</v>
      </c>
      <c r="Y30" s="54">
        <f>IFERROR(100*COUNTIFS(Raw_Data!$AG$2:$AG$59,"&gt;=4",Raw_Data!$AG$2:$AG$59,"&lt;=5",Raw_Data!$A$2:$A$59,"Yes",Raw_Data!$D$2:$D$59,"ICU",Raw_Data!$E$2:$E$59,"สายวิชาชีพสาธารณสุข")/COUNTIFS(Raw_Data!$AG$2:$AG$59,"&gt;=1",Raw_Data!$AG$2:$AG$59,"&lt;=5",Raw_Data!$A$2:$A$59,"Yes",Raw_Data!$D$2:$D$59,"ICU",Raw_Data!$E$2:$E$59,"สายวิชาชีพสาธารณสุข"),"")</f>
        <v>100</v>
      </c>
      <c r="Z30" s="54">
        <f>IFERROR(100*COUNTIFS(Raw_Data!$AG$2:$AG$59,"&gt;=4",Raw_Data!$AG$2:$AG$59,"&lt;=5",Raw_Data!$A$2:$A$59,"Yes",Raw_Data!$D$2:$D$59,"IPD",Raw_Data!$E$2:$E$59,"สายวิชาชีพสาธารณสุข")/COUNTIFS(Raw_Data!$AG$2:$AG$59,"&gt;=1",Raw_Data!$AG$2:$AG$59,"&lt;=5",Raw_Data!$A$2:$A$59,"Yes",Raw_Data!$D$2:$D$59,"IPD",Raw_Data!$E$2:$E$59,"สายวิชาชีพสาธารณสุข"),"")</f>
        <v>100</v>
      </c>
      <c r="AA30" s="54">
        <f>IFERROR(100*COUNTIFS(Raw_Data!$AG$2:$AG$59,"&gt;=4",Raw_Data!$AG$2:$AG$59,"&lt;=5",Raw_Data!$A$2:$A$59,"Yes",Raw_Data!$D$2:$D$59,"OR",Raw_Data!$E$2:$E$59,"สายวิชาชีพสาธารณสุข")/COUNTIFS(Raw_Data!$AG$2:$AG$59,"&gt;=1",Raw_Data!$AG$2:$AG$59,"&lt;=5",Raw_Data!$A$2:$A$59,"Yes",Raw_Data!$D$2:$D$59,"OR",Raw_Data!$E$2:$E$59,"สายวิชาชีพสาธารณสุข"),"")</f>
        <v>100</v>
      </c>
      <c r="AB30" s="54">
        <f>IFERROR(100*COUNTIFS(Raw_Data!$AG$2:$AG$59,"&gt;=4",Raw_Data!$AG$2:$AG$59,"&lt;=5",Raw_Data!$A$2:$A$59,"Yes",Raw_Data!$D$2:$D$59,"การเงิน",Raw_Data!$E$2:$E$59,"สายสนับสนุนทั่วไป")/COUNTIFS(Raw_Data!$AG$2:$AG$59,"&gt;=1",Raw_Data!$AG$2:$AG$59,"&lt;=5",Raw_Data!$A$2:$A$59,"Yes",Raw_Data!$D$2:$D$59,"การเงิน",Raw_Data!$E$2:$E$59,"สายสนับสนุนทั่วไป"),"")</f>
        <v>66.666666666666671</v>
      </c>
      <c r="AC30" s="54">
        <f>IFERROR(100*COUNTIFS(Raw_Data!$AG$2:$AG$59,"&gt;=4",Raw_Data!$AG$2:$AG$59,"&lt;=5",Raw_Data!$A$2:$A$59,"Yes",Raw_Data!$D$2:$D$59,"เคหรักษ์",Raw_Data!$E$2:$E$59,"สายสนับสนุนทั่วไป")/COUNTIFS(Raw_Data!$AG$2:$AG$59,"&gt;=1",Raw_Data!$AG$2:$AG$59,"&lt;=5",Raw_Data!$A$2:$A$59,"Yes",Raw_Data!$D$2:$D$59,"เคหรักษ์",Raw_Data!$E$2:$E$59,"สายสนับสนุนทั่วไป"),"")</f>
        <v>50</v>
      </c>
      <c r="AD30" s="54">
        <f>IFERROR(100*COUNTIFS(Raw_Data!$AG$2:$AG$59,"&gt;=4",Raw_Data!$AG$2:$AG$59,"&lt;=5",Raw_Data!$A$2:$A$59,"Yes",Raw_Data!$D$2:$D$59,"จ่ายกลาง",Raw_Data!$E$2:$E$59,"สายสนับสนุนทั่วไป")/COUNTIFS(Raw_Data!$AG$2:$AG$59,"&gt;=1",Raw_Data!$AG$2:$AG$59,"&lt;=5",Raw_Data!$A$2:$A$59,"Yes",Raw_Data!$D$2:$D$59,"จ่ายกลาง",Raw_Data!$E$2:$E$59,"สายสนับสนุนทั่วไป"),"")</f>
        <v>100</v>
      </c>
      <c r="AE30" s="54">
        <f>IFERROR(100*COUNTIFS(Raw_Data!$AG$2:$AG$59,"&gt;=4",Raw_Data!$AG$2:$AG$59,"&lt;=5",Raw_Data!$A$2:$A$59,"Yes",Raw_Data!$D$2:$D$59,"ช่างและสนาม",Raw_Data!$E$2:$E$59,"สายสนับสนุนทั่วไป")/COUNTIFS(Raw_Data!$AG$2:$AG$59,"&gt;=1",Raw_Data!$AG$2:$AG$59,"&lt;=5",Raw_Data!$A$2:$A$59,"Yes",Raw_Data!$D$2:$D$59,"ช่างและสนาม",Raw_Data!$E$2:$E$59,"สายสนับสนุนทั่วไป"),"")</f>
        <v>50</v>
      </c>
      <c r="AF30" s="54">
        <f>IFERROR(100*COUNTIFS(Raw_Data!$AG$2:$AG$59,"&gt;=4",Raw_Data!$AG$2:$AG$59,"&lt;=5",Raw_Data!$A$2:$A$59,"Yes",Raw_Data!$D$2:$D$59,"ผู้ป่วยสัมพันธ์",Raw_Data!$E$2:$E$59,"สายสนับสนุนทั่วไป")/COUNTIFS(Raw_Data!$AG$2:$AG$59,"&gt;=1",Raw_Data!$AG$2:$AG$59,"&lt;=5",Raw_Data!$A$2:$A$59,"Yes",Raw_Data!$D$2:$D$59,"ผู้ป่วยสัมพันธ์",Raw_Data!$E$2:$E$59,"สายสนับสนุนทั่วไป"),"")</f>
        <v>100</v>
      </c>
      <c r="AG30" s="54">
        <f>IFERROR(100*COUNTIFS(Raw_Data!$AG$2:$AG$59,"&gt;=4",Raw_Data!$AG$2:$AG$59,"&lt;=5",Raw_Data!$A$2:$A$59,"Yes",Raw_Data!$D$2:$D$59,"ยานพาหนะ",Raw_Data!$E$2:$E$59,"สายสนับสนุนทั่วไป")/COUNTIFS(Raw_Data!$AG$2:$AG$59,"&gt;=1",Raw_Data!$AG$2:$AG$59,"&lt;=5",Raw_Data!$A$2:$A$59,"Yes",Raw_Data!$D$2:$D$59,"ยานพาหนะ",Raw_Data!$E$2:$E$59,"สายสนับสนุนทั่วไป"),"")</f>
        <v>100</v>
      </c>
      <c r="AH30" s="54">
        <f>IFERROR(100*COUNTIFS(Raw_Data!$AG$2:$AG$59,"&gt;=4",Raw_Data!$AG$2:$AG$59,"&lt;=5",Raw_Data!$A$2:$A$59,"Yes",Raw_Data!$D$2:$D$59,"สื่อสารการตลาด",Raw_Data!$E$2:$E$59,"สายสนับสนุนทั่วไป")/COUNTIFS(Raw_Data!$AG$2:$AG$59,"&gt;=1",Raw_Data!$AG$2:$AG$59,"&lt;=5",Raw_Data!$A$2:$A$59,"Yes",Raw_Data!$D$2:$D$59,"สื่อสารการตลาด",Raw_Data!$E$2:$E$59,"สายสนับสนุนทั่วไป"),"")</f>
        <v>100</v>
      </c>
      <c r="AI30" s="54">
        <f>IFERROR(100*COUNTIFS(Raw_Data!$AG$2:$AG$59,"&gt;=4",Raw_Data!$AG$2:$AG$59,"&lt;=5",Raw_Data!$A$2:$A$59,"Yes",Raw_Data!$D$2:$D$59,"ERและเปล",Raw_Data!$E$2:$E$59,"สายสนับสนุนทั่วไป")/COUNTIFS(Raw_Data!$AG$2:$AG$59,"&gt;=1",Raw_Data!$AG$2:$AG$59,"&lt;=5",Raw_Data!$A$2:$A$59,"Yes",Raw_Data!$D$2:$D$59,"ERและเปล",Raw_Data!$E$2:$E$59,"สายสนับสนุนทั่วไป"),"")</f>
        <v>66.666666666666671</v>
      </c>
      <c r="AJ30" s="54">
        <f>IFERROR(100*COUNTIFS(Raw_Data!$AG$2:$AG$59,"&gt;=4",Raw_Data!$AG$2:$AG$59,"&lt;=5",Raw_Data!$A$2:$A$59,"Yes",Raw_Data!$D$2:$D$59,"HR",Raw_Data!$E$2:$E$59,"สายสนับสนุนทั่วไป")/COUNTIFS(Raw_Data!$AG$2:$AG$59,"&gt;=1",Raw_Data!$AG$2:$AG$59,"&lt;=5",Raw_Data!$A$2:$A$59,"Yes",Raw_Data!$D$2:$D$59,"HR",Raw_Data!$E$2:$E$59,"สายสนับสนุนทั่วไป"),"")</f>
        <v>100</v>
      </c>
      <c r="AK30" s="54">
        <f>IFERROR(100*COUNTIFS(Raw_Data!$AG$2:$AG$59,"&gt;=4",Raw_Data!$AG$2:$AG$59,"&lt;=5",Raw_Data!$A$2:$A$59,"Yes",Raw_Data!$D$2:$D$59,"ICU",Raw_Data!$E$2:$E$59,"สายสนับสนุนทั่วไป")/COUNTIFS(Raw_Data!$AG$2:$AG$59,"&gt;=1",Raw_Data!$AG$2:$AG$59,"&lt;=5",Raw_Data!$A$2:$A$59,"Yes",Raw_Data!$D$2:$D$59,"ICU",Raw_Data!$E$2:$E$59,"สายสนับสนุนทั่วไป"),"")</f>
        <v>0</v>
      </c>
      <c r="AL30" s="54">
        <f>IFERROR(100*COUNTIFS(Raw_Data!$AG$2:$AG$59,"&gt;=4",Raw_Data!$AG$2:$AG$59,"&lt;=5",Raw_Data!$A$2:$A$59,"Yes",Raw_Data!$D$2:$D$59,"IPD",Raw_Data!$E$2:$E$59,"สายสนับสนุนทั่วไป")/COUNTIFS(Raw_Data!$AG$2:$AG$59,"&gt;=1",Raw_Data!$AG$2:$AG$59,"&lt;=5",Raw_Data!$A$2:$A$59,"Yes",Raw_Data!$D$2:$D$59,"IPD",Raw_Data!$E$2:$E$59,"สายสนับสนุนทั่วไป"),"")</f>
        <v>0</v>
      </c>
      <c r="AM30" s="54">
        <f>IFERROR(100*COUNTIFS(Raw_Data!$AG$2:$AG$59,"&gt;=4",Raw_Data!$AG$2:$AG$59,"&lt;=5",Raw_Data!$A$2:$A$59,"Yes",Raw_Data!$D$2:$D$59,"IT",Raw_Data!$E$2:$E$59,"สายสนับสนุนทั่วไป")/COUNTIFS(Raw_Data!$AG$2:$AG$59,"&gt;=1",Raw_Data!$AG$2:$AG$59,"&lt;=5",Raw_Data!$A$2:$A$59,"Yes",Raw_Data!$D$2:$D$59,"IT",Raw_Data!$E$2:$E$59,"สายสนับสนุนทั่วไป"),"")</f>
        <v>100</v>
      </c>
      <c r="AN30" s="54">
        <f>IFERROR(100*COUNTIFS(Raw_Data!$AG$2:$AG$59,"&gt;=4",Raw_Data!$AG$2:$AG$59,"&lt;=5",Raw_Data!$A$2:$A$59,"Yes",Raw_Data!$D$2:$D$59,"ผู้ป่วยสัมพันธ์",Raw_Data!$E$2:$E$59,"สายสนับสนุนทางการแพทย์")/COUNTIFS(Raw_Data!$AG$2:$AG$59,"&gt;=1",Raw_Data!$AG$2:$AG$59,"&lt;=5",Raw_Data!$A$2:$A$59,"Yes",Raw_Data!$D$2:$D$59,"ผู้ป่วยสัมพันธ์",Raw_Data!$E$2:$E$59,"สายสนับสนุนทางการแพทย์"),"")</f>
        <v>100</v>
      </c>
      <c r="AO30" s="54">
        <f>IFERROR(100*COUNTIFS(Raw_Data!$AG$2:$AG$59,"&gt;=4",Raw_Data!$AG$2:$AG$59,"&lt;=5",Raw_Data!$A$2:$A$59,"Yes",Raw_Data!$D$2:$D$59,"ฝ่ายการพยาบาล",Raw_Data!$E$2:$E$59,"สายสนับสนุนทางการแพทย์")/COUNTIFS(Raw_Data!$AG$2:$AG$59,"&gt;=1",Raw_Data!$AG$2:$AG$59,"&lt;=5",Raw_Data!$A$2:$A$59,"Yes",Raw_Data!$D$2:$D$59,"ฝ่ายการพยาบาล",Raw_Data!$E$2:$E$59,"สายสนับสนุนทางการแพทย์"),"")</f>
        <v>100</v>
      </c>
      <c r="AP30" s="54">
        <f>IFERROR(100*COUNTIFS(Raw_Data!$AG$2:$AG$59,"&gt;=4",Raw_Data!$AG$2:$AG$59,"&lt;=5",Raw_Data!$A$2:$A$59,"Yes",Raw_Data!$D$2:$D$59,"โภชนาการ",Raw_Data!$E$2:$E$59,"สายสนับสนุนทางการแพทย์")/COUNTIFS(Raw_Data!$AG$2:$AG$59,"&gt;=1",Raw_Data!$AG$2:$AG$59,"&lt;=5",Raw_Data!$A$2:$A$59,"Yes",Raw_Data!$D$2:$D$59,"โภชนาการ",Raw_Data!$E$2:$E$59,"สายสนับสนุนทางการแพทย์"),"")</f>
        <v>100</v>
      </c>
      <c r="AQ30" s="54">
        <f>IFERROR(100*COUNTIFS(Raw_Data!$AG$2:$AG$59,"&gt;=4",Raw_Data!$AG$2:$AG$59,"&lt;=5",Raw_Data!$A$2:$A$59,"Yes",Raw_Data!$D$2:$D$59,"ห้องยา",Raw_Data!$E$2:$E$59,"สายสนับสนุนทางการแพทย์")/COUNTIFS(Raw_Data!$AG$2:$AG$59,"&gt;=1",Raw_Data!$AG$2:$AG$59,"&lt;=5",Raw_Data!$A$2:$A$59,"Yes",Raw_Data!$D$2:$D$59,"ห้องยา",Raw_Data!$E$2:$E$59,"สายสนับสนุนทางการแพทย์"),"")</f>
        <v>100</v>
      </c>
      <c r="AR30" s="54">
        <f>IFERROR(100*COUNTIFS(Raw_Data!$AG$2:$AG$59,"&gt;=4",Raw_Data!$AG$2:$AG$59,"&lt;=5",Raw_Data!$A$2:$A$59,"Yes",Raw_Data!$D$2:$D$59,"ห้องแลป",Raw_Data!$E$2:$E$59,"สายสนับสนุนทางการแพทย์")/COUNTIFS(Raw_Data!$AG$2:$AG$59,"&gt;=1",Raw_Data!$AG$2:$AG$59,"&lt;=5",Raw_Data!$A$2:$A$59,"Yes",Raw_Data!$D$2:$D$59,"ห้องแลป",Raw_Data!$E$2:$E$59,"สายสนับสนุนทางการแพทย์"),"")</f>
        <v>50</v>
      </c>
      <c r="AS30" s="54">
        <f>IFERROR(100*COUNTIFS(Raw_Data!$AG$2:$AG$59,"&gt;=4",Raw_Data!$AG$2:$AG$59,"&lt;=5",Raw_Data!$A$2:$A$59,"Yes",Raw_Data!$D$2:$D$59,"ห้องเอ็กซเรย์",Raw_Data!$E$2:$E$59,"สายสนับสนุนทางการแพทย์")/COUNTIFS(Raw_Data!$AG$2:$AG$59,"&gt;=1",Raw_Data!$AG$2:$AG$59,"&lt;=5",Raw_Data!$A$2:$A$59,"Yes",Raw_Data!$D$2:$D$59,"ห้องเอ็กซเรย์",Raw_Data!$E$2:$E$59,"สายสนับสนุนทางการแพทย์"),"")</f>
        <v>100</v>
      </c>
      <c r="AT30" s="54">
        <f>IFERROR(100*COUNTIFS(Raw_Data!$AG$2:$AG$59,"&gt;=4",Raw_Data!$AG$2:$AG$59,"&lt;=5",Raw_Data!$A$2:$A$59,"Yes",Raw_Data!$D$2:$D$59,"ERและเปล",Raw_Data!$E$2:$E$59,"สายสนับสนุนทางการแพทย์")/COUNTIFS(Raw_Data!$AG$2:$AG$59,"&gt;=1",Raw_Data!$AG$2:$AG$59,"&lt;=5",Raw_Data!$A$2:$A$59,"Yes",Raw_Data!$D$2:$D$59,"ERและเปล",Raw_Data!$E$2:$E$59,"สายสนับสนุนทางการแพทย์"),"")</f>
        <v>0</v>
      </c>
      <c r="AU30" s="54">
        <f>IFERROR(100*COUNTIFS(Raw_Data!$AG$2:$AG$59,"&gt;=4",Raw_Data!$AG$2:$AG$59,"&lt;=5",Raw_Data!$A$2:$A$59,"Yes",Raw_Data!$D$2:$D$59,"ICU",Raw_Data!$E$2:$E$59,"สายสนับสนุนทางการแพทย์")/COUNTIFS(Raw_Data!$AG$2:$AG$59,"&gt;=1",Raw_Data!$AG$2:$AG$59,"&lt;=5",Raw_Data!$A$2:$A$59,"Yes",Raw_Data!$D$2:$D$59,"ICU",Raw_Data!$E$2:$E$59,"สายสนับสนุนทางการแพทย์"),"")</f>
        <v>100</v>
      </c>
      <c r="AV30" s="54">
        <f>IFERROR(100*COUNTIFS(Raw_Data!$AG$2:$AG$59,"&gt;=4",Raw_Data!$AG$2:$AG$59,"&lt;=5",Raw_Data!$A$2:$A$59,"Yes",Raw_Data!$D$2:$D$59,"IPD",Raw_Data!$E$2:$E$59,"สายสนับสนุนทางการแพทย์")/COUNTIFS(Raw_Data!$AG$2:$AG$59,"&gt;=1",Raw_Data!$AG$2:$AG$59,"&lt;=5",Raw_Data!$A$2:$A$59,"Yes",Raw_Data!$D$2:$D$59,"IPD",Raw_Data!$E$2:$E$59,"สายสนับสนุนทางการแพทย์"),"")</f>
        <v>100</v>
      </c>
      <c r="AW30" s="54">
        <f>IFERROR(100*COUNTIFS(Raw_Data!$AG$2:$AG$59,"&gt;=4",Raw_Data!$AG$2:$AG$59,"&lt;=5",Raw_Data!$A$2:$A$59,"Yes",Raw_Data!$D$2:$D$59,"IT",Raw_Data!$E$2:$E$59,"สายสนับสนุนทางการแพทย์")/COUNTIFS(Raw_Data!$AG$2:$AG$59,"&gt;=1",Raw_Data!$AG$2:$AG$59,"&lt;=5",Raw_Data!$A$2:$A$59,"Yes",Raw_Data!$D$2:$D$59,"IT",Raw_Data!$E$2:$E$59,"สายสนับสนุนทางการแพทย์"),"")</f>
        <v>100</v>
      </c>
    </row>
    <row r="31" spans="1:49" ht="42" customHeight="1">
      <c r="A31" s="50"/>
      <c r="B31" s="51" t="s">
        <v>58</v>
      </c>
      <c r="C31" s="54">
        <f>IFERROR(100*COUNTIFS(Raw_Data!$AH$2:$AH$59,"&gt;=4",Raw_Data!$AH$2:$AH$59,"&lt;=5",Raw_Data!$A$2:$A$59,"Yes")/COUNTIFS(Raw_Data!$AH$2:$AH$59,"&gt;=1",Raw_Data!$AH$2:$AH$59,"&lt;=5",Raw_Data!$A$2:$A$59,"Yes"),"")</f>
        <v>65.517241379310349</v>
      </c>
      <c r="D31" s="54">
        <f>IFERROR(100*COUNTIFS(Raw_Data!$AH$2:$AH$59,"&gt;=4",Raw_Data!$AH$2:$AH$59,"&lt;=5",Raw_Data!$A$2:$A$59,"Yes",Raw_Data!$D$2:$D$59,"การเงิน")/COUNTIFS(Raw_Data!$AH$2:$AH$59,"&gt;=1",Raw_Data!$AH$2:$AH$59,"&lt;=5",Raw_Data!$A$2:$A$59,"Yes",Raw_Data!$D$2:$D$59,"การเงิน"),"")</f>
        <v>66.666666666666671</v>
      </c>
      <c r="E31" s="54">
        <f>IFERROR(100*COUNTIFS(Raw_Data!$AH$2:$AH$59,"&gt;=4",Raw_Data!$AH$2:$AH$59,"&lt;=5",Raw_Data!$A$2:$A$59,"Yes",Raw_Data!$D$2:$D$59,"เคหรักษ์")/COUNTIFS(Raw_Data!$AH$2:$AH$59,"&gt;=1",Raw_Data!$AH$2:$AH$59,"&lt;=5",Raw_Data!$A$2:$A$59,"Yes",Raw_Data!$D$2:$D$59,"เคหรักษ์"),"")</f>
        <v>50</v>
      </c>
      <c r="F31" s="54">
        <f>IFERROR(100*COUNTIFS(Raw_Data!$AH$2:$AH$59,"&gt;=4",Raw_Data!$AH$2:$AH$59,"&lt;=5",Raw_Data!$A$2:$A$59,"Yes",Raw_Data!$D$2:$D$59,"จ่ายกลาง")/COUNTIFS(Raw_Data!$AH$2:$AH$59,"&gt;=1",Raw_Data!$AH$2:$AH$59,"&lt;=5",Raw_Data!$A$2:$A$59,"Yes",Raw_Data!$D$2:$D$59,"จ่ายกลาง"),"")</f>
        <v>100</v>
      </c>
      <c r="G31" s="54">
        <f>IFERROR(100*COUNTIFS(Raw_Data!$AH$2:$AH$59,"&gt;=4",Raw_Data!$AH$2:$AH$59,"&lt;=5",Raw_Data!$A$2:$A$59,"Yes",Raw_Data!$D$2:$D$59,"ช่างและสนาม")/COUNTIFS(Raw_Data!$AH$2:$AH$59,"&gt;=1",Raw_Data!$AH$2:$AH$59,"&lt;=5",Raw_Data!$A$2:$A$59,"Yes",Raw_Data!$D$2:$D$59,"ช่างและสนาม"),"")</f>
        <v>50</v>
      </c>
      <c r="H31" s="54">
        <f>IFERROR(100*COUNTIFS(Raw_Data!$AH$2:$AH$59,"&gt;=4",Raw_Data!$AH$2:$AH$59,"&lt;=5",Raw_Data!$A$2:$A$59,"Yes",Raw_Data!$D$2:$D$59,"ผู้ป่วยสัมพันธ์")/COUNTIFS(Raw_Data!$AH$2:$AH$59,"&gt;=1",Raw_Data!$AH$2:$AH$59,"&lt;=5",Raw_Data!$A$2:$A$59,"Yes",Raw_Data!$D$2:$D$59,"ผู้ป่วยสัมพันธ์"),"")</f>
        <v>75</v>
      </c>
      <c r="I31" s="54">
        <f>IFERROR(100*COUNTIFS(Raw_Data!$AH$2:$AH$59,"&gt;=4",Raw_Data!$AH$2:$AH$59,"&lt;=5",Raw_Data!$A$2:$A$59,"Yes",Raw_Data!$D$2:$D$59,"ฝ่ายการพยาบาล")/COUNTIFS(Raw_Data!$AH$2:$AH$59,"&gt;=1",Raw_Data!$AH$2:$AH$59,"&lt;=5",Raw_Data!$A$2:$A$59,"Yes",Raw_Data!$D$2:$D$59,"ฝ่ายการพยาบาล"),"")</f>
        <v>100</v>
      </c>
      <c r="J31" s="54">
        <f>IFERROR(100*COUNTIFS(Raw_Data!$AH$2:$AH$59,"&gt;=4",Raw_Data!$AH$2:$AH$59,"&lt;=5",Raw_Data!$A$2:$A$59,"Yes",Raw_Data!$D$2:$D$59,"โภชนาการ")/COUNTIFS(Raw_Data!$AH$2:$AH$59,"&gt;=1",Raw_Data!$AH$2:$AH$59,"&lt;=5",Raw_Data!$A$2:$A$59,"Yes",Raw_Data!$D$2:$D$59,"โภชนาการ"),"")</f>
        <v>100</v>
      </c>
      <c r="K31" s="54">
        <f>IFERROR(100*COUNTIFS(Raw_Data!$AH$2:$AH$59,"&gt;=4",Raw_Data!$AH$2:$AH$59,"&lt;=5",Raw_Data!$A$2:$A$59,"Yes",Raw_Data!$D$2:$D$59,"ยานพาหนะ")/COUNTIFS(Raw_Data!$AH$2:$AH$59,"&gt;=1",Raw_Data!$AH$2:$AH$59,"&lt;=5",Raw_Data!$A$2:$A$59,"Yes",Raw_Data!$D$2:$D$59,"ยานพาหนะ"),"")</f>
        <v>100</v>
      </c>
      <c r="L31" s="54">
        <f>IFERROR(100*COUNTIFS(Raw_Data!$AH$2:$AH$59,"&gt;=4",Raw_Data!$AH$2:$AH$59,"&lt;=5",Raw_Data!$A$2:$A$59,"Yes",Raw_Data!$D$2:$D$59,"สื่อสารการตลาด")/COUNTIFS(Raw_Data!$AH$2:$AH$59,"&gt;=1",Raw_Data!$AH$2:$AH$59,"&lt;=5",Raw_Data!$A$2:$A$59,"Yes",Raw_Data!$D$2:$D$59,"สื่อสารการตลาด"),"")</f>
        <v>100</v>
      </c>
      <c r="M31" s="54">
        <f>IFERROR(100*COUNTIFS(Raw_Data!$AH$2:$AH$59,"&gt;=4",Raw_Data!$AH$2:$AH$59,"&lt;=5",Raw_Data!$A$2:$A$59,"Yes",Raw_Data!$D$2:$D$59,"ห้องยา")/COUNTIFS(Raw_Data!$AH$2:$AH$59,"&gt;=1",Raw_Data!$AH$2:$AH$59,"&lt;=5",Raw_Data!$A$2:$A$59,"Yes",Raw_Data!$D$2:$D$59,"ห้องยา"),"")</f>
        <v>100</v>
      </c>
      <c r="N31" s="54">
        <f>IFERROR(100*COUNTIFS(Raw_Data!$AH$2:$AH$59,"&gt;=4",Raw_Data!$AH$2:$AH$59,"&lt;=5",Raw_Data!$A$2:$A$59,"Yes",Raw_Data!$D$2:$D$59,"ห้องแลป")/COUNTIFS(Raw_Data!$AH$2:$AH$59,"&gt;=1",Raw_Data!$AH$2:$AH$59,"&lt;=5",Raw_Data!$A$2:$A$59,"Yes",Raw_Data!$D$2:$D$59,"ห้องแลป"),"")</f>
        <v>0</v>
      </c>
      <c r="O31" s="54">
        <f>IFERROR(100*COUNTIFS(Raw_Data!$AH$2:$AH$59,"&gt;=4",Raw_Data!$AH$2:$AH$59,"&lt;=5",Raw_Data!$A$2:$A$59,"Yes",Raw_Data!$D$2:$D$59,"ห้องเอ็กซเรย์")/COUNTIFS(Raw_Data!$AH$2:$AH$59,"&gt;=1",Raw_Data!$AH$2:$AH$59,"&lt;=5",Raw_Data!$A$2:$A$59,"Yes",Raw_Data!$D$2:$D$59,"ห้องเอ็กซเรย์"),"")</f>
        <v>100</v>
      </c>
      <c r="P31" s="54">
        <f>IFERROR(100*COUNTIFS(Raw_Data!$AH$2:$AH$59,"&gt;=4",Raw_Data!$AH$2:$AH$59,"&lt;=5",Raw_Data!$A$2:$A$59,"Yes",Raw_Data!$D$2:$D$59,"ERและเปล")/COUNTIFS(Raw_Data!$AH$2:$AH$59,"&gt;=1",Raw_Data!$AH$2:$AH$59,"&lt;=5",Raw_Data!$A$2:$A$59,"Yes",Raw_Data!$D$2:$D$59,"ERและเปล"),"")</f>
        <v>18.181818181818183</v>
      </c>
      <c r="Q31" s="54">
        <f>IFERROR(100*COUNTIFS(Raw_Data!$AH$2:$AH$59,"&gt;=4",Raw_Data!$AH$2:$AH$59,"&lt;=5",Raw_Data!$A$2:$A$59,"Yes",Raw_Data!$D$2:$D$59,"HR")/COUNTIFS(Raw_Data!$AH$2:$AH$59,"&gt;=1",Raw_Data!$AH$2:$AH$59,"&lt;=5",Raw_Data!$A$2:$A$59,"Yes",Raw_Data!$D$2:$D$59,"HR"),"")</f>
        <v>100</v>
      </c>
      <c r="R31" s="54">
        <f>IFERROR(100*COUNTIFS(Raw_Data!$AH$2:$AH$59,"&gt;=4",Raw_Data!$AH$2:$AH$59,"&lt;=5",Raw_Data!$A$2:$A$59,"Yes",Raw_Data!$D$2:$D$59,"ICU")/COUNTIFS(Raw_Data!$AH$2:$AH$59,"&gt;=1",Raw_Data!$AH$2:$AH$59,"&lt;=5",Raw_Data!$A$2:$A$59,"Yes",Raw_Data!$D$2:$D$59,"ICU"),"")</f>
        <v>75</v>
      </c>
      <c r="S31" s="54">
        <f>IFERROR(100*COUNTIFS(Raw_Data!$AH$2:$AH$59,"&gt;=4",Raw_Data!$AH$2:$AH$59,"&lt;=5",Raw_Data!$A$2:$A$59,"Yes",Raw_Data!$D$2:$D$59,"IPD")/COUNTIFS(Raw_Data!$AH$2:$AH$59,"&gt;=1",Raw_Data!$AH$2:$AH$59,"&lt;=5",Raw_Data!$A$2:$A$59,"Yes",Raw_Data!$D$2:$D$59,"IPD"),"")</f>
        <v>83.333333333333329</v>
      </c>
      <c r="T31" s="54">
        <f>IFERROR(100*COUNTIFS(Raw_Data!$AH$2:$AH$59,"&gt;=4",Raw_Data!$AH$2:$AH$59,"&lt;=5",Raw_Data!$A$2:$A$59,"Yes",Raw_Data!$D$2:$D$59,"IT")/COUNTIFS(Raw_Data!$AH$2:$AH$59,"&gt;=1",Raw_Data!$AH$2:$AH$59,"&lt;=5",Raw_Data!$A$2:$A$59,"Yes",Raw_Data!$D$2:$D$59,"IT"),"")</f>
        <v>100</v>
      </c>
      <c r="U31" s="54">
        <f>IFERROR(100*COUNTIFS(Raw_Data!$AH$2:$AH$59,"&gt;=4",Raw_Data!$AH$2:$AH$59,"&lt;=5",Raw_Data!$A$2:$A$59,"Yes",Raw_Data!$D$2:$D$59,"OR")/COUNTIFS(Raw_Data!$AH$2:$AH$59,"&gt;=1",Raw_Data!$AH$2:$AH$59,"&lt;=5",Raw_Data!$A$2:$A$59,"Yes",Raw_Data!$D$2:$D$59,"OR"),"")</f>
        <v>50</v>
      </c>
      <c r="V31" s="54">
        <f>IFERROR(100*COUNTIFS(Raw_Data!$AH$2:$AH$59,"&gt;=4",Raw_Data!$AH$2:$AH$59,"&lt;=5",Raw_Data!$A$2:$A$59,"Yes",Raw_Data!$D$2:$D$59,"IPD",Raw_Data!$E$2:$E$59,"ผู้บริหาร")/COUNTIFS(Raw_Data!$AH$2:$AH$59,"&gt;=1",Raw_Data!$AH$2:$AH$59,"&lt;=5",Raw_Data!$A$2:$A$59,"Yes",Raw_Data!$D$2:$D$59,"IPD",Raw_Data!$E$2:$E$59,"ผู้บริหาร"),"")</f>
        <v>100</v>
      </c>
      <c r="W31" s="54">
        <f>IFERROR(100*COUNTIFS(Raw_Data!$AH$2:$AH$59,"&gt;=4",Raw_Data!$AH$2:$AH$59,"&lt;=5",Raw_Data!$A$2:$A$59,"Yes",Raw_Data!$D$2:$D$59,"ฝ่ายการพยาบาล",Raw_Data!$E$2:$E$59,"สายวิชาชีพสาธารณสุข")/COUNTIFS(Raw_Data!$AH$2:$AH$59,"&gt;=1",Raw_Data!$AH$2:$AH$59,"&lt;=5",Raw_Data!$A$2:$A$59,"Yes",Raw_Data!$D$2:$D$59,"ฝ่ายการพยาบาล",Raw_Data!$E$2:$E$59,"สายวิชาชีพสาธารณสุข"),"")</f>
        <v>100</v>
      </c>
      <c r="X31" s="54">
        <f>IFERROR(100*COUNTIFS(Raw_Data!$AH$2:$AH$59,"&gt;=4",Raw_Data!$AH$2:$AH$59,"&lt;=5",Raw_Data!$A$2:$A$59,"Yes",Raw_Data!$D$2:$D$59,"ERและเปล",Raw_Data!$E$2:$E$59,"สายวิชาชีพสาธารณสุข")/COUNTIFS(Raw_Data!$AH$2:$AH$59,"&gt;=1",Raw_Data!$AH$2:$AH$59,"&lt;=5",Raw_Data!$A$2:$A$59,"Yes",Raw_Data!$D$2:$D$59,"ERและเปล",Raw_Data!$E$2:$E$59,"สายวิชาชีพสาธารณสุข"),"")</f>
        <v>14.285714285714286</v>
      </c>
      <c r="Y31" s="54">
        <f>IFERROR(100*COUNTIFS(Raw_Data!$AH$2:$AH$59,"&gt;=4",Raw_Data!$AH$2:$AH$59,"&lt;=5",Raw_Data!$A$2:$A$59,"Yes",Raw_Data!$D$2:$D$59,"ICU",Raw_Data!$E$2:$E$59,"สายวิชาชีพสาธารณสุข")/COUNTIFS(Raw_Data!$AH$2:$AH$59,"&gt;=1",Raw_Data!$AH$2:$AH$59,"&lt;=5",Raw_Data!$A$2:$A$59,"Yes",Raw_Data!$D$2:$D$59,"ICU",Raw_Data!$E$2:$E$59,"สายวิชาชีพสาธารณสุข"),"")</f>
        <v>100</v>
      </c>
      <c r="Z31" s="54">
        <f>IFERROR(100*COUNTIFS(Raw_Data!$AH$2:$AH$59,"&gt;=4",Raw_Data!$AH$2:$AH$59,"&lt;=5",Raw_Data!$A$2:$A$59,"Yes",Raw_Data!$D$2:$D$59,"IPD",Raw_Data!$E$2:$E$59,"สายวิชาชีพสาธารณสุข")/COUNTIFS(Raw_Data!$AH$2:$AH$59,"&gt;=1",Raw_Data!$AH$2:$AH$59,"&lt;=5",Raw_Data!$A$2:$A$59,"Yes",Raw_Data!$D$2:$D$59,"IPD",Raw_Data!$E$2:$E$59,"สายวิชาชีพสาธารณสุข"),"")</f>
        <v>100</v>
      </c>
      <c r="AA31" s="54">
        <f>IFERROR(100*COUNTIFS(Raw_Data!$AH$2:$AH$59,"&gt;=4",Raw_Data!$AH$2:$AH$59,"&lt;=5",Raw_Data!$A$2:$A$59,"Yes",Raw_Data!$D$2:$D$59,"OR",Raw_Data!$E$2:$E$59,"สายวิชาชีพสาธารณสุข")/COUNTIFS(Raw_Data!$AH$2:$AH$59,"&gt;=1",Raw_Data!$AH$2:$AH$59,"&lt;=5",Raw_Data!$A$2:$A$59,"Yes",Raw_Data!$D$2:$D$59,"OR",Raw_Data!$E$2:$E$59,"สายวิชาชีพสาธารณสุข"),"")</f>
        <v>50</v>
      </c>
      <c r="AB31" s="54">
        <f>IFERROR(100*COUNTIFS(Raw_Data!$AH$2:$AH$59,"&gt;=4",Raw_Data!$AH$2:$AH$59,"&lt;=5",Raw_Data!$A$2:$A$59,"Yes",Raw_Data!$D$2:$D$59,"การเงิน",Raw_Data!$E$2:$E$59,"สายสนับสนุนทั่วไป")/COUNTIFS(Raw_Data!$AH$2:$AH$59,"&gt;=1",Raw_Data!$AH$2:$AH$59,"&lt;=5",Raw_Data!$A$2:$A$59,"Yes",Raw_Data!$D$2:$D$59,"การเงิน",Raw_Data!$E$2:$E$59,"สายสนับสนุนทั่วไป"),"")</f>
        <v>66.666666666666671</v>
      </c>
      <c r="AC31" s="54">
        <f>IFERROR(100*COUNTIFS(Raw_Data!$AH$2:$AH$59,"&gt;=4",Raw_Data!$AH$2:$AH$59,"&lt;=5",Raw_Data!$A$2:$A$59,"Yes",Raw_Data!$D$2:$D$59,"เคหรักษ์",Raw_Data!$E$2:$E$59,"สายสนับสนุนทั่วไป")/COUNTIFS(Raw_Data!$AH$2:$AH$59,"&gt;=1",Raw_Data!$AH$2:$AH$59,"&lt;=5",Raw_Data!$A$2:$A$59,"Yes",Raw_Data!$D$2:$D$59,"เคหรักษ์",Raw_Data!$E$2:$E$59,"สายสนับสนุนทั่วไป"),"")</f>
        <v>50</v>
      </c>
      <c r="AD31" s="54">
        <f>IFERROR(100*COUNTIFS(Raw_Data!$AH$2:$AH$59,"&gt;=4",Raw_Data!$AH$2:$AH$59,"&lt;=5",Raw_Data!$A$2:$A$59,"Yes",Raw_Data!$D$2:$D$59,"จ่ายกลาง",Raw_Data!$E$2:$E$59,"สายสนับสนุนทั่วไป")/COUNTIFS(Raw_Data!$AH$2:$AH$59,"&gt;=1",Raw_Data!$AH$2:$AH$59,"&lt;=5",Raw_Data!$A$2:$A$59,"Yes",Raw_Data!$D$2:$D$59,"จ่ายกลาง",Raw_Data!$E$2:$E$59,"สายสนับสนุนทั่วไป"),"")</f>
        <v>100</v>
      </c>
      <c r="AE31" s="54">
        <f>IFERROR(100*COUNTIFS(Raw_Data!$AH$2:$AH$59,"&gt;=4",Raw_Data!$AH$2:$AH$59,"&lt;=5",Raw_Data!$A$2:$A$59,"Yes",Raw_Data!$D$2:$D$59,"ช่างและสนาม",Raw_Data!$E$2:$E$59,"สายสนับสนุนทั่วไป")/COUNTIFS(Raw_Data!$AH$2:$AH$59,"&gt;=1",Raw_Data!$AH$2:$AH$59,"&lt;=5",Raw_Data!$A$2:$A$59,"Yes",Raw_Data!$D$2:$D$59,"ช่างและสนาม",Raw_Data!$E$2:$E$59,"สายสนับสนุนทั่วไป"),"")</f>
        <v>50</v>
      </c>
      <c r="AF31" s="54">
        <f>IFERROR(100*COUNTIFS(Raw_Data!$AH$2:$AH$59,"&gt;=4",Raw_Data!$AH$2:$AH$59,"&lt;=5",Raw_Data!$A$2:$A$59,"Yes",Raw_Data!$D$2:$D$59,"ผู้ป่วยสัมพันธ์",Raw_Data!$E$2:$E$59,"สายสนับสนุนทั่วไป")/COUNTIFS(Raw_Data!$AH$2:$AH$59,"&gt;=1",Raw_Data!$AH$2:$AH$59,"&lt;=5",Raw_Data!$A$2:$A$59,"Yes",Raw_Data!$D$2:$D$59,"ผู้ป่วยสัมพันธ์",Raw_Data!$E$2:$E$59,"สายสนับสนุนทั่วไป"),"")</f>
        <v>0</v>
      </c>
      <c r="AG31" s="54">
        <f>IFERROR(100*COUNTIFS(Raw_Data!$AH$2:$AH$59,"&gt;=4",Raw_Data!$AH$2:$AH$59,"&lt;=5",Raw_Data!$A$2:$A$59,"Yes",Raw_Data!$D$2:$D$59,"ยานพาหนะ",Raw_Data!$E$2:$E$59,"สายสนับสนุนทั่วไป")/COUNTIFS(Raw_Data!$AH$2:$AH$59,"&gt;=1",Raw_Data!$AH$2:$AH$59,"&lt;=5",Raw_Data!$A$2:$A$59,"Yes",Raw_Data!$D$2:$D$59,"ยานพาหนะ",Raw_Data!$E$2:$E$59,"สายสนับสนุนทั่วไป"),"")</f>
        <v>100</v>
      </c>
      <c r="AH31" s="54">
        <f>IFERROR(100*COUNTIFS(Raw_Data!$AH$2:$AH$59,"&gt;=4",Raw_Data!$AH$2:$AH$59,"&lt;=5",Raw_Data!$A$2:$A$59,"Yes",Raw_Data!$D$2:$D$59,"สื่อสารการตลาด",Raw_Data!$E$2:$E$59,"สายสนับสนุนทั่วไป")/COUNTIFS(Raw_Data!$AH$2:$AH$59,"&gt;=1",Raw_Data!$AH$2:$AH$59,"&lt;=5",Raw_Data!$A$2:$A$59,"Yes",Raw_Data!$D$2:$D$59,"สื่อสารการตลาด",Raw_Data!$E$2:$E$59,"สายสนับสนุนทั่วไป"),"")</f>
        <v>100</v>
      </c>
      <c r="AI31" s="54">
        <f>IFERROR(100*COUNTIFS(Raw_Data!$AH$2:$AH$59,"&gt;=4",Raw_Data!$AH$2:$AH$59,"&lt;=5",Raw_Data!$A$2:$A$59,"Yes",Raw_Data!$D$2:$D$59,"ERและเปล",Raw_Data!$E$2:$E$59,"สายสนับสนุนทั่วไป")/COUNTIFS(Raw_Data!$AH$2:$AH$59,"&gt;=1",Raw_Data!$AH$2:$AH$59,"&lt;=5",Raw_Data!$A$2:$A$59,"Yes",Raw_Data!$D$2:$D$59,"ERและเปล",Raw_Data!$E$2:$E$59,"สายสนับสนุนทั่วไป"),"")</f>
        <v>33.333333333333336</v>
      </c>
      <c r="AJ31" s="54">
        <f>IFERROR(100*COUNTIFS(Raw_Data!$AH$2:$AH$59,"&gt;=4",Raw_Data!$AH$2:$AH$59,"&lt;=5",Raw_Data!$A$2:$A$59,"Yes",Raw_Data!$D$2:$D$59,"HR",Raw_Data!$E$2:$E$59,"สายสนับสนุนทั่วไป")/COUNTIFS(Raw_Data!$AH$2:$AH$59,"&gt;=1",Raw_Data!$AH$2:$AH$59,"&lt;=5",Raw_Data!$A$2:$A$59,"Yes",Raw_Data!$D$2:$D$59,"HR",Raw_Data!$E$2:$E$59,"สายสนับสนุนทั่วไป"),"")</f>
        <v>100</v>
      </c>
      <c r="AK31" s="54">
        <f>IFERROR(100*COUNTIFS(Raw_Data!$AH$2:$AH$59,"&gt;=4",Raw_Data!$AH$2:$AH$59,"&lt;=5",Raw_Data!$A$2:$A$59,"Yes",Raw_Data!$D$2:$D$59,"ICU",Raw_Data!$E$2:$E$59,"สายสนับสนุนทั่วไป")/COUNTIFS(Raw_Data!$AH$2:$AH$59,"&gt;=1",Raw_Data!$AH$2:$AH$59,"&lt;=5",Raw_Data!$A$2:$A$59,"Yes",Raw_Data!$D$2:$D$59,"ICU",Raw_Data!$E$2:$E$59,"สายสนับสนุนทั่วไป"),"")</f>
        <v>0</v>
      </c>
      <c r="AL31" s="54">
        <f>IFERROR(100*COUNTIFS(Raw_Data!$AH$2:$AH$59,"&gt;=4",Raw_Data!$AH$2:$AH$59,"&lt;=5",Raw_Data!$A$2:$A$59,"Yes",Raw_Data!$D$2:$D$59,"IPD",Raw_Data!$E$2:$E$59,"สายสนับสนุนทั่วไป")/COUNTIFS(Raw_Data!$AH$2:$AH$59,"&gt;=1",Raw_Data!$AH$2:$AH$59,"&lt;=5",Raw_Data!$A$2:$A$59,"Yes",Raw_Data!$D$2:$D$59,"IPD",Raw_Data!$E$2:$E$59,"สายสนับสนุนทั่วไป"),"")</f>
        <v>0</v>
      </c>
      <c r="AM31" s="54">
        <f>IFERROR(100*COUNTIFS(Raw_Data!$AH$2:$AH$59,"&gt;=4",Raw_Data!$AH$2:$AH$59,"&lt;=5",Raw_Data!$A$2:$A$59,"Yes",Raw_Data!$D$2:$D$59,"IT",Raw_Data!$E$2:$E$59,"สายสนับสนุนทั่วไป")/COUNTIFS(Raw_Data!$AH$2:$AH$59,"&gt;=1",Raw_Data!$AH$2:$AH$59,"&lt;=5",Raw_Data!$A$2:$A$59,"Yes",Raw_Data!$D$2:$D$59,"IT",Raw_Data!$E$2:$E$59,"สายสนับสนุนทั่วไป"),"")</f>
        <v>100</v>
      </c>
      <c r="AN31" s="54">
        <f>IFERROR(100*COUNTIFS(Raw_Data!$AH$2:$AH$59,"&gt;=4",Raw_Data!$AH$2:$AH$59,"&lt;=5",Raw_Data!$A$2:$A$59,"Yes",Raw_Data!$D$2:$D$59,"ผู้ป่วยสัมพันธ์",Raw_Data!$E$2:$E$59,"สายสนับสนุนทางการแพทย์")/COUNTIFS(Raw_Data!$AH$2:$AH$59,"&gt;=1",Raw_Data!$AH$2:$AH$59,"&lt;=5",Raw_Data!$A$2:$A$59,"Yes",Raw_Data!$D$2:$D$59,"ผู้ป่วยสัมพันธ์",Raw_Data!$E$2:$E$59,"สายสนับสนุนทางการแพทย์"),"")</f>
        <v>100</v>
      </c>
      <c r="AO31" s="54">
        <f>IFERROR(100*COUNTIFS(Raw_Data!$AH$2:$AH$59,"&gt;=4",Raw_Data!$AH$2:$AH$59,"&lt;=5",Raw_Data!$A$2:$A$59,"Yes",Raw_Data!$D$2:$D$59,"ฝ่ายการพยาบาล",Raw_Data!$E$2:$E$59,"สายสนับสนุนทางการแพทย์")/COUNTIFS(Raw_Data!$AH$2:$AH$59,"&gt;=1",Raw_Data!$AH$2:$AH$59,"&lt;=5",Raw_Data!$A$2:$A$59,"Yes",Raw_Data!$D$2:$D$59,"ฝ่ายการพยาบาล",Raw_Data!$E$2:$E$59,"สายสนับสนุนทางการแพทย์"),"")</f>
        <v>100</v>
      </c>
      <c r="AP31" s="54">
        <f>IFERROR(100*COUNTIFS(Raw_Data!$AH$2:$AH$59,"&gt;=4",Raw_Data!$AH$2:$AH$59,"&lt;=5",Raw_Data!$A$2:$A$59,"Yes",Raw_Data!$D$2:$D$59,"โภชนาการ",Raw_Data!$E$2:$E$59,"สายสนับสนุนทางการแพทย์")/COUNTIFS(Raw_Data!$AH$2:$AH$59,"&gt;=1",Raw_Data!$AH$2:$AH$59,"&lt;=5",Raw_Data!$A$2:$A$59,"Yes",Raw_Data!$D$2:$D$59,"โภชนาการ",Raw_Data!$E$2:$E$59,"สายสนับสนุนทางการแพทย์"),"")</f>
        <v>100</v>
      </c>
      <c r="AQ31" s="54">
        <f>IFERROR(100*COUNTIFS(Raw_Data!$AH$2:$AH$59,"&gt;=4",Raw_Data!$AH$2:$AH$59,"&lt;=5",Raw_Data!$A$2:$A$59,"Yes",Raw_Data!$D$2:$D$59,"ห้องยา",Raw_Data!$E$2:$E$59,"สายสนับสนุนทางการแพทย์")/COUNTIFS(Raw_Data!$AH$2:$AH$59,"&gt;=1",Raw_Data!$AH$2:$AH$59,"&lt;=5",Raw_Data!$A$2:$A$59,"Yes",Raw_Data!$D$2:$D$59,"ห้องยา",Raw_Data!$E$2:$E$59,"สายสนับสนุนทางการแพทย์"),"")</f>
        <v>100</v>
      </c>
      <c r="AR31" s="54">
        <f>IFERROR(100*COUNTIFS(Raw_Data!$AH$2:$AH$59,"&gt;=4",Raw_Data!$AH$2:$AH$59,"&lt;=5",Raw_Data!$A$2:$A$59,"Yes",Raw_Data!$D$2:$D$59,"ห้องแลป",Raw_Data!$E$2:$E$59,"สายสนับสนุนทางการแพทย์")/COUNTIFS(Raw_Data!$AH$2:$AH$59,"&gt;=1",Raw_Data!$AH$2:$AH$59,"&lt;=5",Raw_Data!$A$2:$A$59,"Yes",Raw_Data!$D$2:$D$59,"ห้องแลป",Raw_Data!$E$2:$E$59,"สายสนับสนุนทางการแพทย์"),"")</f>
        <v>0</v>
      </c>
      <c r="AS31" s="54">
        <f>IFERROR(100*COUNTIFS(Raw_Data!$AH$2:$AH$59,"&gt;=4",Raw_Data!$AH$2:$AH$59,"&lt;=5",Raw_Data!$A$2:$A$59,"Yes",Raw_Data!$D$2:$D$59,"ห้องเอ็กซเรย์",Raw_Data!$E$2:$E$59,"สายสนับสนุนทางการแพทย์")/COUNTIFS(Raw_Data!$AH$2:$AH$59,"&gt;=1",Raw_Data!$AH$2:$AH$59,"&lt;=5",Raw_Data!$A$2:$A$59,"Yes",Raw_Data!$D$2:$D$59,"ห้องเอ็กซเรย์",Raw_Data!$E$2:$E$59,"สายสนับสนุนทางการแพทย์"),"")</f>
        <v>100</v>
      </c>
      <c r="AT31" s="54">
        <f>IFERROR(100*COUNTIFS(Raw_Data!$AH$2:$AH$59,"&gt;=4",Raw_Data!$AH$2:$AH$59,"&lt;=5",Raw_Data!$A$2:$A$59,"Yes",Raw_Data!$D$2:$D$59,"ERและเปล",Raw_Data!$E$2:$E$59,"สายสนับสนุนทางการแพทย์")/COUNTIFS(Raw_Data!$AH$2:$AH$59,"&gt;=1",Raw_Data!$AH$2:$AH$59,"&lt;=5",Raw_Data!$A$2:$A$59,"Yes",Raw_Data!$D$2:$D$59,"ERและเปล",Raw_Data!$E$2:$E$59,"สายสนับสนุนทางการแพทย์"),"")</f>
        <v>0</v>
      </c>
      <c r="AU31" s="54">
        <f>IFERROR(100*COUNTIFS(Raw_Data!$AH$2:$AH$59,"&gt;=4",Raw_Data!$AH$2:$AH$59,"&lt;=5",Raw_Data!$A$2:$A$59,"Yes",Raw_Data!$D$2:$D$59,"ICU",Raw_Data!$E$2:$E$59,"สายสนับสนุนทางการแพทย์")/COUNTIFS(Raw_Data!$AH$2:$AH$59,"&gt;=1",Raw_Data!$AH$2:$AH$59,"&lt;=5",Raw_Data!$A$2:$A$59,"Yes",Raw_Data!$D$2:$D$59,"ICU",Raw_Data!$E$2:$E$59,"สายสนับสนุนทางการแพทย์"),"")</f>
        <v>100</v>
      </c>
      <c r="AV31" s="54">
        <f>IFERROR(100*COUNTIFS(Raw_Data!$AH$2:$AH$59,"&gt;=4",Raw_Data!$AH$2:$AH$59,"&lt;=5",Raw_Data!$A$2:$A$59,"Yes",Raw_Data!$D$2:$D$59,"IPD",Raw_Data!$E$2:$E$59,"สายสนับสนุนทางการแพทย์")/COUNTIFS(Raw_Data!$AH$2:$AH$59,"&gt;=1",Raw_Data!$AH$2:$AH$59,"&lt;=5",Raw_Data!$A$2:$A$59,"Yes",Raw_Data!$D$2:$D$59,"IPD",Raw_Data!$E$2:$E$59,"สายสนับสนุนทางการแพทย์"),"")</f>
        <v>100</v>
      </c>
      <c r="AW31" s="54">
        <f>IFERROR(100*COUNTIFS(Raw_Data!$AH$2:$AH$59,"&gt;=4",Raw_Data!$AH$2:$AH$59,"&lt;=5",Raw_Data!$A$2:$A$59,"Yes",Raw_Data!$D$2:$D$59,"IT",Raw_Data!$E$2:$E$59,"สายสนับสนุนทางการแพทย์")/COUNTIFS(Raw_Data!$AH$2:$AH$59,"&gt;=1",Raw_Data!$AH$2:$AH$59,"&lt;=5",Raw_Data!$A$2:$A$59,"Yes",Raw_Data!$D$2:$D$59,"IT",Raw_Data!$E$2:$E$59,"สายสนับสนุนทางการแพทย์"),"")</f>
        <v>100</v>
      </c>
    </row>
    <row r="32" spans="1:49" ht="42" customHeight="1">
      <c r="A32" s="50"/>
      <c r="B32" s="51" t="s">
        <v>59</v>
      </c>
      <c r="C32" s="54">
        <f>IFERROR(100*COUNTIFS(Raw_Data!$AI$2:$AI$59,"&gt;=1",Raw_Data!$AI$2:$AI$59,"&lt;=2",Raw_Data!$A$2:$A$59,"Yes")/COUNTIFS(Raw_Data!$AI$2:$AI$59,"&gt;=1",Raw_Data!$AI$2:$AI$59,"&lt;=5",Raw_Data!$A$2:$A$59,"Yes"),"")</f>
        <v>44.827586206896555</v>
      </c>
      <c r="D32" s="54">
        <f>IFERROR(100*COUNTIFS(Raw_Data!$AI$2:$AI$59,"&gt;=1",Raw_Data!$AI$2:$AI$59,"&lt;=2",Raw_Data!$A$2:$A$59,"Yes",Raw_Data!$D$2:$D$59,"การเงิน")/COUNTIFS(Raw_Data!$AI$2:$AI$59,"&gt;=1",Raw_Data!$AI$2:$AI$59,"&lt;=5",Raw_Data!$A$2:$A$59,"Yes",Raw_Data!$D$2:$D$59,"การเงิน"),"")</f>
        <v>33.333333333333336</v>
      </c>
      <c r="E32" s="54">
        <f>IFERROR(100*COUNTIFS(Raw_Data!$AI$2:$AI$59,"&gt;=1",Raw_Data!$AI$2:$AI$59,"&lt;=2",Raw_Data!$A$2:$A$59,"Yes",Raw_Data!$D$2:$D$59,"เคหรักษ์")/COUNTIFS(Raw_Data!$AI$2:$AI$59,"&gt;=1",Raw_Data!$AI$2:$AI$59,"&lt;=5",Raw_Data!$A$2:$A$59,"Yes",Raw_Data!$D$2:$D$59,"เคหรักษ์"),"")</f>
        <v>0</v>
      </c>
      <c r="F32" s="54">
        <f>IFERROR(100*COUNTIFS(Raw_Data!$AI$2:$AI$59,"&gt;=1",Raw_Data!$AI$2:$AI$59,"&lt;=2",Raw_Data!$A$2:$A$59,"Yes",Raw_Data!$D$2:$D$59,"จ่ายกลาง")/COUNTIFS(Raw_Data!$AI$2:$AI$59,"&gt;=1",Raw_Data!$AI$2:$AI$59,"&lt;=5",Raw_Data!$A$2:$A$59,"Yes",Raw_Data!$D$2:$D$59,"จ่ายกลาง"),"")</f>
        <v>100</v>
      </c>
      <c r="G32" s="54">
        <f>IFERROR(100*COUNTIFS(Raw_Data!$AI$2:$AI$59,"&gt;=1",Raw_Data!$AI$2:$AI$59,"&lt;=2",Raw_Data!$A$2:$A$59,"Yes",Raw_Data!$D$2:$D$59,"ช่างและสนาม")/COUNTIFS(Raw_Data!$AI$2:$AI$59,"&gt;=1",Raw_Data!$AI$2:$AI$59,"&lt;=5",Raw_Data!$A$2:$A$59,"Yes",Raw_Data!$D$2:$D$59,"ช่างและสนาม"),"")</f>
        <v>75</v>
      </c>
      <c r="H32" s="54">
        <f>IFERROR(100*COUNTIFS(Raw_Data!$AI$2:$AI$59,"&gt;=1",Raw_Data!$AI$2:$AI$59,"&lt;=2",Raw_Data!$A$2:$A$59,"Yes",Raw_Data!$D$2:$D$59,"ผู้ป่วยสัมพันธ์")/COUNTIFS(Raw_Data!$AI$2:$AI$59,"&gt;=1",Raw_Data!$AI$2:$AI$59,"&lt;=5",Raw_Data!$A$2:$A$59,"Yes",Raw_Data!$D$2:$D$59,"ผู้ป่วยสัมพันธ์"),"")</f>
        <v>75</v>
      </c>
      <c r="I32" s="54">
        <f>IFERROR(100*COUNTIFS(Raw_Data!$AI$2:$AI$59,"&gt;=1",Raw_Data!$AI$2:$AI$59,"&lt;=2",Raw_Data!$A$2:$A$59,"Yes",Raw_Data!$D$2:$D$59,"ฝ่ายการพยาบาล")/COUNTIFS(Raw_Data!$AI$2:$AI$59,"&gt;=1",Raw_Data!$AI$2:$AI$59,"&lt;=5",Raw_Data!$A$2:$A$59,"Yes",Raw_Data!$D$2:$D$59,"ฝ่ายการพยาบาล"),"")</f>
        <v>50</v>
      </c>
      <c r="J32" s="54">
        <f>IFERROR(100*COUNTIFS(Raw_Data!$AI$2:$AI$59,"&gt;=1",Raw_Data!$AI$2:$AI$59,"&lt;=2",Raw_Data!$A$2:$A$59,"Yes",Raw_Data!$D$2:$D$59,"โภชนาการ")/COUNTIFS(Raw_Data!$AI$2:$AI$59,"&gt;=1",Raw_Data!$AI$2:$AI$59,"&lt;=5",Raw_Data!$A$2:$A$59,"Yes",Raw_Data!$D$2:$D$59,"โภชนาการ"),"")</f>
        <v>100</v>
      </c>
      <c r="K32" s="54">
        <f>IFERROR(100*COUNTIFS(Raw_Data!$AI$2:$AI$59,"&gt;=1",Raw_Data!$AI$2:$AI$59,"&lt;=2",Raw_Data!$A$2:$A$59,"Yes",Raw_Data!$D$2:$D$59,"ยานพาหนะ")/COUNTIFS(Raw_Data!$AI$2:$AI$59,"&gt;=1",Raw_Data!$AI$2:$AI$59,"&lt;=5",Raw_Data!$A$2:$A$59,"Yes",Raw_Data!$D$2:$D$59,"ยานพาหนะ"),"")</f>
        <v>100</v>
      </c>
      <c r="L32" s="54">
        <f>IFERROR(100*COUNTIFS(Raw_Data!$AI$2:$AI$59,"&gt;=1",Raw_Data!$AI$2:$AI$59,"&lt;=2",Raw_Data!$A$2:$A$59,"Yes",Raw_Data!$D$2:$D$59,"สื่อสารการตลาด")/COUNTIFS(Raw_Data!$AI$2:$AI$59,"&gt;=1",Raw_Data!$AI$2:$AI$59,"&lt;=5",Raw_Data!$A$2:$A$59,"Yes",Raw_Data!$D$2:$D$59,"สื่อสารการตลาด"),"")</f>
        <v>0</v>
      </c>
      <c r="M32" s="54">
        <f>IFERROR(100*COUNTIFS(Raw_Data!$AI$2:$AI$59,"&gt;=1",Raw_Data!$AI$2:$AI$59,"&lt;=2",Raw_Data!$A$2:$A$59,"Yes",Raw_Data!$D$2:$D$59,"ห้องยา")/COUNTIFS(Raw_Data!$AI$2:$AI$59,"&gt;=1",Raw_Data!$AI$2:$AI$59,"&lt;=5",Raw_Data!$A$2:$A$59,"Yes",Raw_Data!$D$2:$D$59,"ห้องยา"),"")</f>
        <v>50</v>
      </c>
      <c r="N32" s="54">
        <f>IFERROR(100*COUNTIFS(Raw_Data!$AI$2:$AI$59,"&gt;=1",Raw_Data!$AI$2:$AI$59,"&lt;=2",Raw_Data!$A$2:$A$59,"Yes",Raw_Data!$D$2:$D$59,"ห้องแลป")/COUNTIFS(Raw_Data!$AI$2:$AI$59,"&gt;=1",Raw_Data!$AI$2:$AI$59,"&lt;=5",Raw_Data!$A$2:$A$59,"Yes",Raw_Data!$D$2:$D$59,"ห้องแลป"),"")</f>
        <v>0</v>
      </c>
      <c r="O32" s="54">
        <f>IFERROR(100*COUNTIFS(Raw_Data!$AI$2:$AI$59,"&gt;=1",Raw_Data!$AI$2:$AI$59,"&lt;=2",Raw_Data!$A$2:$A$59,"Yes",Raw_Data!$D$2:$D$59,"ห้องเอ็กซเรย์")/COUNTIFS(Raw_Data!$AI$2:$AI$59,"&gt;=1",Raw_Data!$AI$2:$AI$59,"&lt;=5",Raw_Data!$A$2:$A$59,"Yes",Raw_Data!$D$2:$D$59,"ห้องเอ็กซเรย์"),"")</f>
        <v>66.666666666666671</v>
      </c>
      <c r="P32" s="54">
        <f>IFERROR(100*COUNTIFS(Raw_Data!$AI$2:$AI$59,"&gt;=1",Raw_Data!$AI$2:$AI$59,"&lt;=2",Raw_Data!$A$2:$A$59,"Yes",Raw_Data!$D$2:$D$59,"ERและเปล")/COUNTIFS(Raw_Data!$AI$2:$AI$59,"&gt;=1",Raw_Data!$AI$2:$AI$59,"&lt;=5",Raw_Data!$A$2:$A$59,"Yes",Raw_Data!$D$2:$D$59,"ERและเปล"),"")</f>
        <v>27.272727272727273</v>
      </c>
      <c r="Q32" s="54">
        <f>IFERROR(100*COUNTIFS(Raw_Data!$AI$2:$AI$59,"&gt;=1",Raw_Data!$AI$2:$AI$59,"&lt;=2",Raw_Data!$A$2:$A$59,"Yes",Raw_Data!$D$2:$D$59,"HR")/COUNTIFS(Raw_Data!$AI$2:$AI$59,"&gt;=1",Raw_Data!$AI$2:$AI$59,"&lt;=5",Raw_Data!$A$2:$A$59,"Yes",Raw_Data!$D$2:$D$59,"HR"),"")</f>
        <v>100</v>
      </c>
      <c r="R32" s="54">
        <f>IFERROR(100*COUNTIFS(Raw_Data!$AI$2:$AI$59,"&gt;=1",Raw_Data!$AI$2:$AI$59,"&lt;=2",Raw_Data!$A$2:$A$59,"Yes",Raw_Data!$D$2:$D$59,"ICU")/COUNTIFS(Raw_Data!$AI$2:$AI$59,"&gt;=1",Raw_Data!$AI$2:$AI$59,"&lt;=5",Raw_Data!$A$2:$A$59,"Yes",Raw_Data!$D$2:$D$59,"ICU"),"")</f>
        <v>50</v>
      </c>
      <c r="S32" s="54">
        <f>IFERROR(100*COUNTIFS(Raw_Data!$AI$2:$AI$59,"&gt;=1",Raw_Data!$AI$2:$AI$59,"&lt;=2",Raw_Data!$A$2:$A$59,"Yes",Raw_Data!$D$2:$D$59,"IPD")/COUNTIFS(Raw_Data!$AI$2:$AI$59,"&gt;=1",Raw_Data!$AI$2:$AI$59,"&lt;=5",Raw_Data!$A$2:$A$59,"Yes",Raw_Data!$D$2:$D$59,"IPD"),"")</f>
        <v>33.333333333333336</v>
      </c>
      <c r="T32" s="54">
        <f>IFERROR(100*COUNTIFS(Raw_Data!$AI$2:$AI$59,"&gt;=1",Raw_Data!$AI$2:$AI$59,"&lt;=2",Raw_Data!$A$2:$A$59,"Yes",Raw_Data!$D$2:$D$59,"IT")/COUNTIFS(Raw_Data!$AI$2:$AI$59,"&gt;=1",Raw_Data!$AI$2:$AI$59,"&lt;=5",Raw_Data!$A$2:$A$59,"Yes",Raw_Data!$D$2:$D$59,"IT"),"")</f>
        <v>100</v>
      </c>
      <c r="U32" s="54">
        <f>IFERROR(100*COUNTIFS(Raw_Data!$AI$2:$AI$59,"&gt;=1",Raw_Data!$AI$2:$AI$59,"&lt;=2",Raw_Data!$A$2:$A$59,"Yes",Raw_Data!$D$2:$D$59,"OR")/COUNTIFS(Raw_Data!$AI$2:$AI$59,"&gt;=1",Raw_Data!$AI$2:$AI$59,"&lt;=5",Raw_Data!$A$2:$A$59,"Yes",Raw_Data!$D$2:$D$59,"OR"),"")</f>
        <v>0</v>
      </c>
      <c r="V32" s="54">
        <f>IFERROR(100*COUNTIFS(Raw_Data!$AI$2:$AI$59,"&gt;=1",Raw_Data!$AI$2:$AI$59,"&lt;=2",Raw_Data!$A$2:$A$59,"Yes",Raw_Data!$D$2:$D$59,"IPD",Raw_Data!$E$2:$E$59,"ผู้บริหาร")/COUNTIFS(Raw_Data!$AI$2:$AI$59,"&gt;=1",Raw_Data!$AI$2:$AI$59,"&lt;=5",Raw_Data!$A$2:$A$59,"Yes",Raw_Data!$D$2:$D$59,"IPD",Raw_Data!$E$2:$E$59,"ผู้บริหาร"),"")</f>
        <v>0</v>
      </c>
      <c r="W32" s="54">
        <f>IFERROR(100*COUNTIFS(Raw_Data!$AI$2:$AI$59,"&gt;=1",Raw_Data!$AI$2:$AI$59,"&lt;=2",Raw_Data!$A$2:$A$59,"Yes",Raw_Data!$D$2:$D$59,"ฝ่ายการพยาบาล",Raw_Data!$E$2:$E$59,"สายวิชาชีพสาธารณสุข")/COUNTIFS(Raw_Data!$AI$2:$AI$59,"&gt;=1",Raw_Data!$AI$2:$AI$59,"&lt;=5",Raw_Data!$A$2:$A$59,"Yes",Raw_Data!$D$2:$D$59,"ฝ่ายการพยาบาล",Raw_Data!$E$2:$E$59,"สายวิชาชีพสาธารณสุข"),"")</f>
        <v>0</v>
      </c>
      <c r="X32" s="54">
        <f>IFERROR(100*COUNTIFS(Raw_Data!$AI$2:$AI$59,"&gt;=1",Raw_Data!$AI$2:$AI$59,"&lt;=2",Raw_Data!$A$2:$A$59,"Yes",Raw_Data!$D$2:$D$59,"ERและเปล",Raw_Data!$E$2:$E$59,"สายวิชาชีพสาธารณสุข")/COUNTIFS(Raw_Data!$AI$2:$AI$59,"&gt;=1",Raw_Data!$AI$2:$AI$59,"&lt;=5",Raw_Data!$A$2:$A$59,"Yes",Raw_Data!$D$2:$D$59,"ERและเปล",Raw_Data!$E$2:$E$59,"สายวิชาชีพสาธารณสุข"),"")</f>
        <v>28.571428571428573</v>
      </c>
      <c r="Y32" s="54">
        <f>IFERROR(100*COUNTIFS(Raw_Data!$AI$2:$AI$59,"&gt;=1",Raw_Data!$AI$2:$AI$59,"&lt;=2",Raw_Data!$A$2:$A$59,"Yes",Raw_Data!$D$2:$D$59,"ICU",Raw_Data!$E$2:$E$59,"สายวิชาชีพสาธารณสุข")/COUNTIFS(Raw_Data!$AI$2:$AI$59,"&gt;=1",Raw_Data!$AI$2:$AI$59,"&lt;=5",Raw_Data!$A$2:$A$59,"Yes",Raw_Data!$D$2:$D$59,"ICU",Raw_Data!$E$2:$E$59,"สายวิชาชีพสาธารณสุข"),"")</f>
        <v>50</v>
      </c>
      <c r="Z32" s="54">
        <f>IFERROR(100*COUNTIFS(Raw_Data!$AI$2:$AI$59,"&gt;=1",Raw_Data!$AI$2:$AI$59,"&lt;=2",Raw_Data!$A$2:$A$59,"Yes",Raw_Data!$D$2:$D$59,"IPD",Raw_Data!$E$2:$E$59,"สายวิชาชีพสาธารณสุข")/COUNTIFS(Raw_Data!$AI$2:$AI$59,"&gt;=1",Raw_Data!$AI$2:$AI$59,"&lt;=5",Raw_Data!$A$2:$A$59,"Yes",Raw_Data!$D$2:$D$59,"IPD",Raw_Data!$E$2:$E$59,"สายวิชาชีพสาธารณสุข"),"")</f>
        <v>50</v>
      </c>
      <c r="AA32" s="54">
        <f>IFERROR(100*COUNTIFS(Raw_Data!$AI$2:$AI$59,"&gt;=1",Raw_Data!$AI$2:$AI$59,"&lt;=2",Raw_Data!$A$2:$A$59,"Yes",Raw_Data!$D$2:$D$59,"OR",Raw_Data!$E$2:$E$59,"สายวิชาชีพสาธารณสุข")/COUNTIFS(Raw_Data!$AI$2:$AI$59,"&gt;=1",Raw_Data!$AI$2:$AI$59,"&lt;=5",Raw_Data!$A$2:$A$59,"Yes",Raw_Data!$D$2:$D$59,"OR",Raw_Data!$E$2:$E$59,"สายวิชาชีพสาธารณสุข"),"")</f>
        <v>0</v>
      </c>
      <c r="AB32" s="54">
        <f>IFERROR(100*COUNTIFS(Raw_Data!$AI$2:$AI$59,"&gt;=1",Raw_Data!$AI$2:$AI$59,"&lt;=2",Raw_Data!$A$2:$A$59,"Yes",Raw_Data!$D$2:$D$59,"การเงิน",Raw_Data!$E$2:$E$59,"สายสนับสนุนทั่วไป")/COUNTIFS(Raw_Data!$AI$2:$AI$59,"&gt;=1",Raw_Data!$AI$2:$AI$59,"&lt;=5",Raw_Data!$A$2:$A$59,"Yes",Raw_Data!$D$2:$D$59,"การเงิน",Raw_Data!$E$2:$E$59,"สายสนับสนุนทั่วไป"),"")</f>
        <v>33.333333333333336</v>
      </c>
      <c r="AC32" s="54">
        <f>IFERROR(100*COUNTIFS(Raw_Data!$AI$2:$AI$59,"&gt;=1",Raw_Data!$AI$2:$AI$59,"&lt;=2",Raw_Data!$A$2:$A$59,"Yes",Raw_Data!$D$2:$D$59,"เคหรักษ์",Raw_Data!$E$2:$E$59,"สายสนับสนุนทั่วไป")/COUNTIFS(Raw_Data!$AI$2:$AI$59,"&gt;=1",Raw_Data!$AI$2:$AI$59,"&lt;=5",Raw_Data!$A$2:$A$59,"Yes",Raw_Data!$D$2:$D$59,"เคหรักษ์",Raw_Data!$E$2:$E$59,"สายสนับสนุนทั่วไป"),"")</f>
        <v>0</v>
      </c>
      <c r="AD32" s="54">
        <f>IFERROR(100*COUNTIFS(Raw_Data!$AI$2:$AI$59,"&gt;=1",Raw_Data!$AI$2:$AI$59,"&lt;=2",Raw_Data!$A$2:$A$59,"Yes",Raw_Data!$D$2:$D$59,"จ่ายกลาง",Raw_Data!$E$2:$E$59,"สายสนับสนุนทั่วไป")/COUNTIFS(Raw_Data!$AI$2:$AI$59,"&gt;=1",Raw_Data!$AI$2:$AI$59,"&lt;=5",Raw_Data!$A$2:$A$59,"Yes",Raw_Data!$D$2:$D$59,"จ่ายกลาง",Raw_Data!$E$2:$E$59,"สายสนับสนุนทั่วไป"),"")</f>
        <v>100</v>
      </c>
      <c r="AE32" s="54">
        <f>IFERROR(100*COUNTIFS(Raw_Data!$AI$2:$AI$59,"&gt;=1",Raw_Data!$AI$2:$AI$59,"&lt;=2",Raw_Data!$A$2:$A$59,"Yes",Raw_Data!$D$2:$D$59,"ช่างและสนาม",Raw_Data!$E$2:$E$59,"สายสนับสนุนทั่วไป")/COUNTIFS(Raw_Data!$AI$2:$AI$59,"&gt;=1",Raw_Data!$AI$2:$AI$59,"&lt;=5",Raw_Data!$A$2:$A$59,"Yes",Raw_Data!$D$2:$D$59,"ช่างและสนาม",Raw_Data!$E$2:$E$59,"สายสนับสนุนทั่วไป"),"")</f>
        <v>75</v>
      </c>
      <c r="AF32" s="54">
        <f>IFERROR(100*COUNTIFS(Raw_Data!$AI$2:$AI$59,"&gt;=1",Raw_Data!$AI$2:$AI$59,"&lt;=2",Raw_Data!$A$2:$A$59,"Yes",Raw_Data!$D$2:$D$59,"ผู้ป่วยสัมพันธ์",Raw_Data!$E$2:$E$59,"สายสนับสนุนทั่วไป")/COUNTIFS(Raw_Data!$AI$2:$AI$59,"&gt;=1",Raw_Data!$AI$2:$AI$59,"&lt;=5",Raw_Data!$A$2:$A$59,"Yes",Raw_Data!$D$2:$D$59,"ผู้ป่วยสัมพันธ์",Raw_Data!$E$2:$E$59,"สายสนับสนุนทั่วไป"),"")</f>
        <v>100</v>
      </c>
      <c r="AG32" s="54">
        <f>IFERROR(100*COUNTIFS(Raw_Data!$AI$2:$AI$59,"&gt;=1",Raw_Data!$AI$2:$AI$59,"&lt;=2",Raw_Data!$A$2:$A$59,"Yes",Raw_Data!$D$2:$D$59,"ยานพาหนะ",Raw_Data!$E$2:$E$59,"สายสนับสนุนทั่วไป")/COUNTIFS(Raw_Data!$AI$2:$AI$59,"&gt;=1",Raw_Data!$AI$2:$AI$59,"&lt;=5",Raw_Data!$A$2:$A$59,"Yes",Raw_Data!$D$2:$D$59,"ยานพาหนะ",Raw_Data!$E$2:$E$59,"สายสนับสนุนทั่วไป"),"")</f>
        <v>100</v>
      </c>
      <c r="AH32" s="54">
        <f>IFERROR(100*COUNTIFS(Raw_Data!$AI$2:$AI$59,"&gt;=1",Raw_Data!$AI$2:$AI$59,"&lt;=2",Raw_Data!$A$2:$A$59,"Yes",Raw_Data!$D$2:$D$59,"สื่อสารการตลาด",Raw_Data!$E$2:$E$59,"สายสนับสนุนทั่วไป")/COUNTIFS(Raw_Data!$AI$2:$AI$59,"&gt;=1",Raw_Data!$AI$2:$AI$59,"&lt;=5",Raw_Data!$A$2:$A$59,"Yes",Raw_Data!$D$2:$D$59,"สื่อสารการตลาด",Raw_Data!$E$2:$E$59,"สายสนับสนุนทั่วไป"),"")</f>
        <v>0</v>
      </c>
      <c r="AI32" s="54">
        <f>IFERROR(100*COUNTIFS(Raw_Data!$AI$2:$AI$59,"&gt;=1",Raw_Data!$AI$2:$AI$59,"&lt;=2",Raw_Data!$A$2:$A$59,"Yes",Raw_Data!$D$2:$D$59,"ERและเปล",Raw_Data!$E$2:$E$59,"สายสนับสนุนทั่วไป")/COUNTIFS(Raw_Data!$AI$2:$AI$59,"&gt;=1",Raw_Data!$AI$2:$AI$59,"&lt;=5",Raw_Data!$A$2:$A$59,"Yes",Raw_Data!$D$2:$D$59,"ERและเปล",Raw_Data!$E$2:$E$59,"สายสนับสนุนทั่วไป"),"")</f>
        <v>33.333333333333336</v>
      </c>
      <c r="AJ32" s="54">
        <f>IFERROR(100*COUNTIFS(Raw_Data!$AI$2:$AI$59,"&gt;=1",Raw_Data!$AI$2:$AI$59,"&lt;=2",Raw_Data!$A$2:$A$59,"Yes",Raw_Data!$D$2:$D$59,"HR",Raw_Data!$E$2:$E$59,"สายสนับสนุนทั่วไป")/COUNTIFS(Raw_Data!$AI$2:$AI$59,"&gt;=1",Raw_Data!$AI$2:$AI$59,"&lt;=5",Raw_Data!$A$2:$A$59,"Yes",Raw_Data!$D$2:$D$59,"HR",Raw_Data!$E$2:$E$59,"สายสนับสนุนทั่วไป"),"")</f>
        <v>100</v>
      </c>
      <c r="AK32" s="54">
        <f>IFERROR(100*COUNTIFS(Raw_Data!$AI$2:$AI$59,"&gt;=1",Raw_Data!$AI$2:$AI$59,"&lt;=2",Raw_Data!$A$2:$A$59,"Yes",Raw_Data!$D$2:$D$59,"ICU",Raw_Data!$E$2:$E$59,"สายสนับสนุนทั่วไป")/COUNTIFS(Raw_Data!$AI$2:$AI$59,"&gt;=1",Raw_Data!$AI$2:$AI$59,"&lt;=5",Raw_Data!$A$2:$A$59,"Yes",Raw_Data!$D$2:$D$59,"ICU",Raw_Data!$E$2:$E$59,"สายสนับสนุนทั่วไป"),"")</f>
        <v>0</v>
      </c>
      <c r="AL32" s="54">
        <f>IFERROR(100*COUNTIFS(Raw_Data!$AI$2:$AI$59,"&gt;=1",Raw_Data!$AI$2:$AI$59,"&lt;=2",Raw_Data!$A$2:$A$59,"Yes",Raw_Data!$D$2:$D$59,"IPD",Raw_Data!$E$2:$E$59,"สายสนับสนุนทั่วไป")/COUNTIFS(Raw_Data!$AI$2:$AI$59,"&gt;=1",Raw_Data!$AI$2:$AI$59,"&lt;=5",Raw_Data!$A$2:$A$59,"Yes",Raw_Data!$D$2:$D$59,"IPD",Raw_Data!$E$2:$E$59,"สายสนับสนุนทั่วไป"),"")</f>
        <v>0</v>
      </c>
      <c r="AM32" s="54">
        <f>IFERROR(100*COUNTIFS(Raw_Data!$AI$2:$AI$59,"&gt;=1",Raw_Data!$AI$2:$AI$59,"&lt;=2",Raw_Data!$A$2:$A$59,"Yes",Raw_Data!$D$2:$D$59,"IT",Raw_Data!$E$2:$E$59,"สายสนับสนุนทั่วไป")/COUNTIFS(Raw_Data!$AI$2:$AI$59,"&gt;=1",Raw_Data!$AI$2:$AI$59,"&lt;=5",Raw_Data!$A$2:$A$59,"Yes",Raw_Data!$D$2:$D$59,"IT",Raw_Data!$E$2:$E$59,"สายสนับสนุนทั่วไป"),"")</f>
        <v>100</v>
      </c>
      <c r="AN32" s="54">
        <f>IFERROR(100*COUNTIFS(Raw_Data!$AI$2:$AI$59,"&gt;=1",Raw_Data!$AI$2:$AI$59,"&lt;=2",Raw_Data!$A$2:$A$59,"Yes",Raw_Data!$D$2:$D$59,"ผู้ป่วยสัมพันธ์",Raw_Data!$E$2:$E$59,"สายสนับสนุนทางการแพทย์")/COUNTIFS(Raw_Data!$AI$2:$AI$59,"&gt;=1",Raw_Data!$AI$2:$AI$59,"&lt;=5",Raw_Data!$A$2:$A$59,"Yes",Raw_Data!$D$2:$D$59,"ผู้ป่วยสัมพันธ์",Raw_Data!$E$2:$E$59,"สายสนับสนุนทางการแพทย์"),"")</f>
        <v>66.666666666666671</v>
      </c>
      <c r="AO32" s="54">
        <f>IFERROR(100*COUNTIFS(Raw_Data!$AI$2:$AI$59,"&gt;=1",Raw_Data!$AI$2:$AI$59,"&lt;=2",Raw_Data!$A$2:$A$59,"Yes",Raw_Data!$D$2:$D$59,"ฝ่ายการพยาบาล",Raw_Data!$E$2:$E$59,"สายสนับสนุนทางการแพทย์")/COUNTIFS(Raw_Data!$AI$2:$AI$59,"&gt;=1",Raw_Data!$AI$2:$AI$59,"&lt;=5",Raw_Data!$A$2:$A$59,"Yes",Raw_Data!$D$2:$D$59,"ฝ่ายการพยาบาล",Raw_Data!$E$2:$E$59,"สายสนับสนุนทางการแพทย์"),"")</f>
        <v>100</v>
      </c>
      <c r="AP32" s="54">
        <f>IFERROR(100*COUNTIFS(Raw_Data!$AI$2:$AI$59,"&gt;=1",Raw_Data!$AI$2:$AI$59,"&lt;=2",Raw_Data!$A$2:$A$59,"Yes",Raw_Data!$D$2:$D$59,"โภชนาการ",Raw_Data!$E$2:$E$59,"สายสนับสนุนทางการแพทย์")/COUNTIFS(Raw_Data!$AI$2:$AI$59,"&gt;=1",Raw_Data!$AI$2:$AI$59,"&lt;=5",Raw_Data!$A$2:$A$59,"Yes",Raw_Data!$D$2:$D$59,"โภชนาการ",Raw_Data!$E$2:$E$59,"สายสนับสนุนทางการแพทย์"),"")</f>
        <v>100</v>
      </c>
      <c r="AQ32" s="54">
        <f>IFERROR(100*COUNTIFS(Raw_Data!$AI$2:$AI$59,"&gt;=1",Raw_Data!$AI$2:$AI$59,"&lt;=2",Raw_Data!$A$2:$A$59,"Yes",Raw_Data!$D$2:$D$59,"ห้องยา",Raw_Data!$E$2:$E$59,"สายสนับสนุนทางการแพทย์")/COUNTIFS(Raw_Data!$AI$2:$AI$59,"&gt;=1",Raw_Data!$AI$2:$AI$59,"&lt;=5",Raw_Data!$A$2:$A$59,"Yes",Raw_Data!$D$2:$D$59,"ห้องยา",Raw_Data!$E$2:$E$59,"สายสนับสนุนทางการแพทย์"),"")</f>
        <v>50</v>
      </c>
      <c r="AR32" s="54">
        <f>IFERROR(100*COUNTIFS(Raw_Data!$AI$2:$AI$59,"&gt;=1",Raw_Data!$AI$2:$AI$59,"&lt;=2",Raw_Data!$A$2:$A$59,"Yes",Raw_Data!$D$2:$D$59,"ห้องแลป",Raw_Data!$E$2:$E$59,"สายสนับสนุนทางการแพทย์")/COUNTIFS(Raw_Data!$AI$2:$AI$59,"&gt;=1",Raw_Data!$AI$2:$AI$59,"&lt;=5",Raw_Data!$A$2:$A$59,"Yes",Raw_Data!$D$2:$D$59,"ห้องแลป",Raw_Data!$E$2:$E$59,"สายสนับสนุนทางการแพทย์"),"")</f>
        <v>0</v>
      </c>
      <c r="AS32" s="54">
        <f>IFERROR(100*COUNTIFS(Raw_Data!$AI$2:$AI$59,"&gt;=1",Raw_Data!$AI$2:$AI$59,"&lt;=2",Raw_Data!$A$2:$A$59,"Yes",Raw_Data!$D$2:$D$59,"ห้องเอ็กซเรย์",Raw_Data!$E$2:$E$59,"สายสนับสนุนทางการแพทย์")/COUNTIFS(Raw_Data!$AI$2:$AI$59,"&gt;=1",Raw_Data!$AI$2:$AI$59,"&lt;=5",Raw_Data!$A$2:$A$59,"Yes",Raw_Data!$D$2:$D$59,"ห้องเอ็กซเรย์",Raw_Data!$E$2:$E$59,"สายสนับสนุนทางการแพทย์"),"")</f>
        <v>66.666666666666671</v>
      </c>
      <c r="AT32" s="54">
        <f>IFERROR(100*COUNTIFS(Raw_Data!$AI$2:$AI$59,"&gt;=1",Raw_Data!$AI$2:$AI$59,"&lt;=2",Raw_Data!$A$2:$A$59,"Yes",Raw_Data!$D$2:$D$59,"ERและเปล",Raw_Data!$E$2:$E$59,"สายสนับสนุนทางการแพทย์")/COUNTIFS(Raw_Data!$AI$2:$AI$59,"&gt;=1",Raw_Data!$AI$2:$AI$59,"&lt;=5",Raw_Data!$A$2:$A$59,"Yes",Raw_Data!$D$2:$D$59,"ERและเปล",Raw_Data!$E$2:$E$59,"สายสนับสนุนทางการแพทย์"),"")</f>
        <v>0</v>
      </c>
      <c r="AU32" s="54">
        <f>IFERROR(100*COUNTIFS(Raw_Data!$AI$2:$AI$59,"&gt;=1",Raw_Data!$AI$2:$AI$59,"&lt;=2",Raw_Data!$A$2:$A$59,"Yes",Raw_Data!$D$2:$D$59,"ICU",Raw_Data!$E$2:$E$59,"สายสนับสนุนทางการแพทย์")/COUNTIFS(Raw_Data!$AI$2:$AI$59,"&gt;=1",Raw_Data!$AI$2:$AI$59,"&lt;=5",Raw_Data!$A$2:$A$59,"Yes",Raw_Data!$D$2:$D$59,"ICU",Raw_Data!$E$2:$E$59,"สายสนับสนุนทางการแพทย์"),"")</f>
        <v>100</v>
      </c>
      <c r="AV32" s="54">
        <f>IFERROR(100*COUNTIFS(Raw_Data!$AI$2:$AI$59,"&gt;=1",Raw_Data!$AI$2:$AI$59,"&lt;=2",Raw_Data!$A$2:$A$59,"Yes",Raw_Data!$D$2:$D$59,"IPD",Raw_Data!$E$2:$E$59,"สายสนับสนุนทางการแพทย์")/COUNTIFS(Raw_Data!$AI$2:$AI$59,"&gt;=1",Raw_Data!$AI$2:$AI$59,"&lt;=5",Raw_Data!$A$2:$A$59,"Yes",Raw_Data!$D$2:$D$59,"IPD",Raw_Data!$E$2:$E$59,"สายสนับสนุนทางการแพทย์"),"")</f>
        <v>50</v>
      </c>
      <c r="AW32" s="54">
        <f>IFERROR(100*COUNTIFS(Raw_Data!$AI$2:$AI$59,"&gt;=1",Raw_Data!$AI$2:$AI$59,"&lt;=2",Raw_Data!$A$2:$A$59,"Yes",Raw_Data!$D$2:$D$59,"IT",Raw_Data!$E$2:$E$59,"สายสนับสนุนทางการแพทย์")/COUNTIFS(Raw_Data!$AI$2:$AI$59,"&gt;=1",Raw_Data!$AI$2:$AI$59,"&lt;=5",Raw_Data!$A$2:$A$59,"Yes",Raw_Data!$D$2:$D$59,"IT",Raw_Data!$E$2:$E$59,"สายสนับสนุนทางการแพทย์"),"")</f>
        <v>100</v>
      </c>
    </row>
    <row r="33" spans="1:49" ht="42" customHeight="1">
      <c r="A33" s="50" t="s">
        <v>26</v>
      </c>
      <c r="B33" s="51" t="s">
        <v>60</v>
      </c>
      <c r="C33" s="54">
        <f>IFERROR(100*COUNTIFS(Raw_Data!$AJ$2:$AJ$59,"&gt;=1",Raw_Data!$AJ$2:$AJ$59,"&lt;=2",Raw_Data!$A$2:$A$59,"Yes")/COUNTIFS(Raw_Data!$AJ$2:$AJ$59,"&gt;=1",Raw_Data!$AJ$2:$AJ$59,"&lt;=5",Raw_Data!$A$2:$A$59,"Yes"),"")</f>
        <v>74.137931034482762</v>
      </c>
      <c r="D33" s="54">
        <f>IFERROR(100*COUNTIFS(Raw_Data!$AJ$2:$AJ$59,"&gt;=1",Raw_Data!$AJ$2:$AJ$59,"&lt;=2",Raw_Data!$A$2:$A$59,"Yes",Raw_Data!$D$2:$D$59,"การเงิน")/COUNTIFS(Raw_Data!$AJ$2:$AJ$59,"&gt;=1",Raw_Data!$AJ$2:$AJ$59,"&lt;=5",Raw_Data!$A$2:$A$59,"Yes",Raw_Data!$D$2:$D$59,"การเงิน"),"")</f>
        <v>66.666666666666671</v>
      </c>
      <c r="E33" s="54">
        <f>IFERROR(100*COUNTIFS(Raw_Data!$AJ$2:$AJ$59,"&gt;=1",Raw_Data!$AJ$2:$AJ$59,"&lt;=2",Raw_Data!$A$2:$A$59,"Yes",Raw_Data!$D$2:$D$59,"เคหรักษ์")/COUNTIFS(Raw_Data!$AJ$2:$AJ$59,"&gt;=1",Raw_Data!$AJ$2:$AJ$59,"&lt;=5",Raw_Data!$A$2:$A$59,"Yes",Raw_Data!$D$2:$D$59,"เคหรักษ์"),"")</f>
        <v>50</v>
      </c>
      <c r="F33" s="54">
        <f>IFERROR(100*COUNTIFS(Raw_Data!$AJ$2:$AJ$59,"&gt;=1",Raw_Data!$AJ$2:$AJ$59,"&lt;=2",Raw_Data!$A$2:$A$59,"Yes",Raw_Data!$D$2:$D$59,"จ่ายกลาง")/COUNTIFS(Raw_Data!$AJ$2:$AJ$59,"&gt;=1",Raw_Data!$AJ$2:$AJ$59,"&lt;=5",Raw_Data!$A$2:$A$59,"Yes",Raw_Data!$D$2:$D$59,"จ่ายกลาง"),"")</f>
        <v>100</v>
      </c>
      <c r="G33" s="54">
        <f>IFERROR(100*COUNTIFS(Raw_Data!$AJ$2:$AJ$59,"&gt;=1",Raw_Data!$AJ$2:$AJ$59,"&lt;=2",Raw_Data!$A$2:$A$59,"Yes",Raw_Data!$D$2:$D$59,"ช่างและสนาม")/COUNTIFS(Raw_Data!$AJ$2:$AJ$59,"&gt;=1",Raw_Data!$AJ$2:$AJ$59,"&lt;=5",Raw_Data!$A$2:$A$59,"Yes",Raw_Data!$D$2:$D$59,"ช่างและสนาม"),"")</f>
        <v>75</v>
      </c>
      <c r="H33" s="54">
        <f>IFERROR(100*COUNTIFS(Raw_Data!$AJ$2:$AJ$59,"&gt;=1",Raw_Data!$AJ$2:$AJ$59,"&lt;=2",Raw_Data!$A$2:$A$59,"Yes",Raw_Data!$D$2:$D$59,"ผู้ป่วยสัมพันธ์")/COUNTIFS(Raw_Data!$AJ$2:$AJ$59,"&gt;=1",Raw_Data!$AJ$2:$AJ$59,"&lt;=5",Raw_Data!$A$2:$A$59,"Yes",Raw_Data!$D$2:$D$59,"ผู้ป่วยสัมพันธ์"),"")</f>
        <v>100</v>
      </c>
      <c r="I33" s="54">
        <f>IFERROR(100*COUNTIFS(Raw_Data!$AJ$2:$AJ$59,"&gt;=1",Raw_Data!$AJ$2:$AJ$59,"&lt;=2",Raw_Data!$A$2:$A$59,"Yes",Raw_Data!$D$2:$D$59,"ฝ่ายการพยาบาล")/COUNTIFS(Raw_Data!$AJ$2:$AJ$59,"&gt;=1",Raw_Data!$AJ$2:$AJ$59,"&lt;=5",Raw_Data!$A$2:$A$59,"Yes",Raw_Data!$D$2:$D$59,"ฝ่ายการพยาบาล"),"")</f>
        <v>100</v>
      </c>
      <c r="J33" s="54">
        <f>IFERROR(100*COUNTIFS(Raw_Data!$AJ$2:$AJ$59,"&gt;=1",Raw_Data!$AJ$2:$AJ$59,"&lt;=2",Raw_Data!$A$2:$A$59,"Yes",Raw_Data!$D$2:$D$59,"โภชนาการ")/COUNTIFS(Raw_Data!$AJ$2:$AJ$59,"&gt;=1",Raw_Data!$AJ$2:$AJ$59,"&lt;=5",Raw_Data!$A$2:$A$59,"Yes",Raw_Data!$D$2:$D$59,"โภชนาการ"),"")</f>
        <v>100</v>
      </c>
      <c r="K33" s="54">
        <f>IFERROR(100*COUNTIFS(Raw_Data!$AJ$2:$AJ$59,"&gt;=1",Raw_Data!$AJ$2:$AJ$59,"&lt;=2",Raw_Data!$A$2:$A$59,"Yes",Raw_Data!$D$2:$D$59,"ยานพาหนะ")/COUNTIFS(Raw_Data!$AJ$2:$AJ$59,"&gt;=1",Raw_Data!$AJ$2:$AJ$59,"&lt;=5",Raw_Data!$A$2:$A$59,"Yes",Raw_Data!$D$2:$D$59,"ยานพาหนะ"),"")</f>
        <v>100</v>
      </c>
      <c r="L33" s="54">
        <f>IFERROR(100*COUNTIFS(Raw_Data!$AJ$2:$AJ$59,"&gt;=1",Raw_Data!$AJ$2:$AJ$59,"&lt;=2",Raw_Data!$A$2:$A$59,"Yes",Raw_Data!$D$2:$D$59,"สื่อสารการตลาด")/COUNTIFS(Raw_Data!$AJ$2:$AJ$59,"&gt;=1",Raw_Data!$AJ$2:$AJ$59,"&lt;=5",Raw_Data!$A$2:$A$59,"Yes",Raw_Data!$D$2:$D$59,"สื่อสารการตลาด"),"")</f>
        <v>100</v>
      </c>
      <c r="M33" s="54">
        <f>IFERROR(100*COUNTIFS(Raw_Data!$AJ$2:$AJ$59,"&gt;=1",Raw_Data!$AJ$2:$AJ$59,"&lt;=2",Raw_Data!$A$2:$A$59,"Yes",Raw_Data!$D$2:$D$59,"ห้องยา")/COUNTIFS(Raw_Data!$AJ$2:$AJ$59,"&gt;=1",Raw_Data!$AJ$2:$AJ$59,"&lt;=5",Raw_Data!$A$2:$A$59,"Yes",Raw_Data!$D$2:$D$59,"ห้องยา"),"")</f>
        <v>83.333333333333329</v>
      </c>
      <c r="N33" s="54">
        <f>IFERROR(100*COUNTIFS(Raw_Data!$AJ$2:$AJ$59,"&gt;=1",Raw_Data!$AJ$2:$AJ$59,"&lt;=2",Raw_Data!$A$2:$A$59,"Yes",Raw_Data!$D$2:$D$59,"ห้องแลป")/COUNTIFS(Raw_Data!$AJ$2:$AJ$59,"&gt;=1",Raw_Data!$AJ$2:$AJ$59,"&lt;=5",Raw_Data!$A$2:$A$59,"Yes",Raw_Data!$D$2:$D$59,"ห้องแลป"),"")</f>
        <v>50</v>
      </c>
      <c r="O33" s="54">
        <f>IFERROR(100*COUNTIFS(Raw_Data!$AJ$2:$AJ$59,"&gt;=1",Raw_Data!$AJ$2:$AJ$59,"&lt;=2",Raw_Data!$A$2:$A$59,"Yes",Raw_Data!$D$2:$D$59,"ห้องเอ็กซเรย์")/COUNTIFS(Raw_Data!$AJ$2:$AJ$59,"&gt;=1",Raw_Data!$AJ$2:$AJ$59,"&lt;=5",Raw_Data!$A$2:$A$59,"Yes",Raw_Data!$D$2:$D$59,"ห้องเอ็กซเรย์"),"")</f>
        <v>33.333333333333336</v>
      </c>
      <c r="P33" s="54">
        <f>IFERROR(100*COUNTIFS(Raw_Data!$AJ$2:$AJ$59,"&gt;=1",Raw_Data!$AJ$2:$AJ$59,"&lt;=2",Raw_Data!$A$2:$A$59,"Yes",Raw_Data!$D$2:$D$59,"ERและเปล")/COUNTIFS(Raw_Data!$AJ$2:$AJ$59,"&gt;=1",Raw_Data!$AJ$2:$AJ$59,"&lt;=5",Raw_Data!$A$2:$A$59,"Yes",Raw_Data!$D$2:$D$59,"ERและเปล"),"")</f>
        <v>81.818181818181813</v>
      </c>
      <c r="Q33" s="54">
        <f>IFERROR(100*COUNTIFS(Raw_Data!$AJ$2:$AJ$59,"&gt;=1",Raw_Data!$AJ$2:$AJ$59,"&lt;=2",Raw_Data!$A$2:$A$59,"Yes",Raw_Data!$D$2:$D$59,"HR")/COUNTIFS(Raw_Data!$AJ$2:$AJ$59,"&gt;=1",Raw_Data!$AJ$2:$AJ$59,"&lt;=5",Raw_Data!$A$2:$A$59,"Yes",Raw_Data!$D$2:$D$59,"HR"),"")</f>
        <v>100</v>
      </c>
      <c r="R33" s="54">
        <f>IFERROR(100*COUNTIFS(Raw_Data!$AJ$2:$AJ$59,"&gt;=1",Raw_Data!$AJ$2:$AJ$59,"&lt;=2",Raw_Data!$A$2:$A$59,"Yes",Raw_Data!$D$2:$D$59,"ICU")/COUNTIFS(Raw_Data!$AJ$2:$AJ$59,"&gt;=1",Raw_Data!$AJ$2:$AJ$59,"&lt;=5",Raw_Data!$A$2:$A$59,"Yes",Raw_Data!$D$2:$D$59,"ICU"),"")</f>
        <v>75</v>
      </c>
      <c r="S33" s="54">
        <f>IFERROR(100*COUNTIFS(Raw_Data!$AJ$2:$AJ$59,"&gt;=1",Raw_Data!$AJ$2:$AJ$59,"&lt;=2",Raw_Data!$A$2:$A$59,"Yes",Raw_Data!$D$2:$D$59,"IPD")/COUNTIFS(Raw_Data!$AJ$2:$AJ$59,"&gt;=1",Raw_Data!$AJ$2:$AJ$59,"&lt;=5",Raw_Data!$A$2:$A$59,"Yes",Raw_Data!$D$2:$D$59,"IPD"),"")</f>
        <v>66.666666666666671</v>
      </c>
      <c r="T33" s="54">
        <f>IFERROR(100*COUNTIFS(Raw_Data!$AJ$2:$AJ$59,"&gt;=1",Raw_Data!$AJ$2:$AJ$59,"&lt;=2",Raw_Data!$A$2:$A$59,"Yes",Raw_Data!$D$2:$D$59,"IT")/COUNTIFS(Raw_Data!$AJ$2:$AJ$59,"&gt;=1",Raw_Data!$AJ$2:$AJ$59,"&lt;=5",Raw_Data!$A$2:$A$59,"Yes",Raw_Data!$D$2:$D$59,"IT"),"")</f>
        <v>100</v>
      </c>
      <c r="U33" s="54">
        <f>IFERROR(100*COUNTIFS(Raw_Data!$AJ$2:$AJ$59,"&gt;=1",Raw_Data!$AJ$2:$AJ$59,"&lt;=2",Raw_Data!$A$2:$A$59,"Yes",Raw_Data!$D$2:$D$59,"OR")/COUNTIFS(Raw_Data!$AJ$2:$AJ$59,"&gt;=1",Raw_Data!$AJ$2:$AJ$59,"&lt;=5",Raw_Data!$A$2:$A$59,"Yes",Raw_Data!$D$2:$D$59,"OR"),"")</f>
        <v>25</v>
      </c>
      <c r="V33" s="54">
        <f>IFERROR(100*COUNTIFS(Raw_Data!$AJ$2:$AJ$59,"&gt;=1",Raw_Data!$AJ$2:$AJ$59,"&lt;=2",Raw_Data!$A$2:$A$59,"Yes",Raw_Data!$D$2:$D$59,"IPD",Raw_Data!$E$2:$E$59,"ผู้บริหาร")/COUNTIFS(Raw_Data!$AJ$2:$AJ$59,"&gt;=1",Raw_Data!$AJ$2:$AJ$59,"&lt;=5",Raw_Data!$A$2:$A$59,"Yes",Raw_Data!$D$2:$D$59,"IPD",Raw_Data!$E$2:$E$59,"ผู้บริหาร"),"")</f>
        <v>100</v>
      </c>
      <c r="W33" s="54">
        <f>IFERROR(100*COUNTIFS(Raw_Data!$AJ$2:$AJ$59,"&gt;=1",Raw_Data!$AJ$2:$AJ$59,"&lt;=2",Raw_Data!$A$2:$A$59,"Yes",Raw_Data!$D$2:$D$59,"ฝ่ายการพยาบาล",Raw_Data!$E$2:$E$59,"สายวิชาชีพสาธารณสุข")/COUNTIFS(Raw_Data!$AJ$2:$AJ$59,"&gt;=1",Raw_Data!$AJ$2:$AJ$59,"&lt;=5",Raw_Data!$A$2:$A$59,"Yes",Raw_Data!$D$2:$D$59,"ฝ่ายการพยาบาล",Raw_Data!$E$2:$E$59,"สายวิชาชีพสาธารณสุข"),"")</f>
        <v>100</v>
      </c>
      <c r="X33" s="54">
        <f>IFERROR(100*COUNTIFS(Raw_Data!$AJ$2:$AJ$59,"&gt;=1",Raw_Data!$AJ$2:$AJ$59,"&lt;=2",Raw_Data!$A$2:$A$59,"Yes",Raw_Data!$D$2:$D$59,"ERและเปล",Raw_Data!$E$2:$E$59,"สายวิชาชีพสาธารณสุข")/COUNTIFS(Raw_Data!$AJ$2:$AJ$59,"&gt;=1",Raw_Data!$AJ$2:$AJ$59,"&lt;=5",Raw_Data!$A$2:$A$59,"Yes",Raw_Data!$D$2:$D$59,"ERและเปล",Raw_Data!$E$2:$E$59,"สายวิชาชีพสาธารณสุข"),"")</f>
        <v>85.714285714285708</v>
      </c>
      <c r="Y33" s="54">
        <f>IFERROR(100*COUNTIFS(Raw_Data!$AJ$2:$AJ$59,"&gt;=1",Raw_Data!$AJ$2:$AJ$59,"&lt;=2",Raw_Data!$A$2:$A$59,"Yes",Raw_Data!$D$2:$D$59,"ICU",Raw_Data!$E$2:$E$59,"สายวิชาชีพสาธารณสุข")/COUNTIFS(Raw_Data!$AJ$2:$AJ$59,"&gt;=1",Raw_Data!$AJ$2:$AJ$59,"&lt;=5",Raw_Data!$A$2:$A$59,"Yes",Raw_Data!$D$2:$D$59,"ICU",Raw_Data!$E$2:$E$59,"สายวิชาชีพสาธารณสุข"),"")</f>
        <v>100</v>
      </c>
      <c r="Z33" s="54">
        <f>IFERROR(100*COUNTIFS(Raw_Data!$AJ$2:$AJ$59,"&gt;=1",Raw_Data!$AJ$2:$AJ$59,"&lt;=2",Raw_Data!$A$2:$A$59,"Yes",Raw_Data!$D$2:$D$59,"IPD",Raw_Data!$E$2:$E$59,"สายวิชาชีพสาธารณสุข")/COUNTIFS(Raw_Data!$AJ$2:$AJ$59,"&gt;=1",Raw_Data!$AJ$2:$AJ$59,"&lt;=5",Raw_Data!$A$2:$A$59,"Yes",Raw_Data!$D$2:$D$59,"IPD",Raw_Data!$E$2:$E$59,"สายวิชาชีพสาธารณสุข"),"")</f>
        <v>100</v>
      </c>
      <c r="AA33" s="54">
        <f>IFERROR(100*COUNTIFS(Raw_Data!$AJ$2:$AJ$59,"&gt;=1",Raw_Data!$AJ$2:$AJ$59,"&lt;=2",Raw_Data!$A$2:$A$59,"Yes",Raw_Data!$D$2:$D$59,"OR",Raw_Data!$E$2:$E$59,"สายวิชาชีพสาธารณสุข")/COUNTIFS(Raw_Data!$AJ$2:$AJ$59,"&gt;=1",Raw_Data!$AJ$2:$AJ$59,"&lt;=5",Raw_Data!$A$2:$A$59,"Yes",Raw_Data!$D$2:$D$59,"OR",Raw_Data!$E$2:$E$59,"สายวิชาชีพสาธารณสุข"),"")</f>
        <v>25</v>
      </c>
      <c r="AB33" s="54">
        <f>IFERROR(100*COUNTIFS(Raw_Data!$AJ$2:$AJ$59,"&gt;=1",Raw_Data!$AJ$2:$AJ$59,"&lt;=2",Raw_Data!$A$2:$A$59,"Yes",Raw_Data!$D$2:$D$59,"การเงิน",Raw_Data!$E$2:$E$59,"สายสนับสนุนทั่วไป")/COUNTIFS(Raw_Data!$AJ$2:$AJ$59,"&gt;=1",Raw_Data!$AJ$2:$AJ$59,"&lt;=5",Raw_Data!$A$2:$A$59,"Yes",Raw_Data!$D$2:$D$59,"การเงิน",Raw_Data!$E$2:$E$59,"สายสนับสนุนทั่วไป"),"")</f>
        <v>66.666666666666671</v>
      </c>
      <c r="AC33" s="54">
        <f>IFERROR(100*COUNTIFS(Raw_Data!$AJ$2:$AJ$59,"&gt;=1",Raw_Data!$AJ$2:$AJ$59,"&lt;=2",Raw_Data!$A$2:$A$59,"Yes",Raw_Data!$D$2:$D$59,"เคหรักษ์",Raw_Data!$E$2:$E$59,"สายสนับสนุนทั่วไป")/COUNTIFS(Raw_Data!$AJ$2:$AJ$59,"&gt;=1",Raw_Data!$AJ$2:$AJ$59,"&lt;=5",Raw_Data!$A$2:$A$59,"Yes",Raw_Data!$D$2:$D$59,"เคหรักษ์",Raw_Data!$E$2:$E$59,"สายสนับสนุนทั่วไป"),"")</f>
        <v>50</v>
      </c>
      <c r="AD33" s="54">
        <f>IFERROR(100*COUNTIFS(Raw_Data!$AJ$2:$AJ$59,"&gt;=1",Raw_Data!$AJ$2:$AJ$59,"&lt;=2",Raw_Data!$A$2:$A$59,"Yes",Raw_Data!$D$2:$D$59,"จ่ายกลาง",Raw_Data!$E$2:$E$59,"สายสนับสนุนทั่วไป")/COUNTIFS(Raw_Data!$AJ$2:$AJ$59,"&gt;=1",Raw_Data!$AJ$2:$AJ$59,"&lt;=5",Raw_Data!$A$2:$A$59,"Yes",Raw_Data!$D$2:$D$59,"จ่ายกลาง",Raw_Data!$E$2:$E$59,"สายสนับสนุนทั่วไป"),"")</f>
        <v>100</v>
      </c>
      <c r="AE33" s="54">
        <f>IFERROR(100*COUNTIFS(Raw_Data!$AJ$2:$AJ$59,"&gt;=1",Raw_Data!$AJ$2:$AJ$59,"&lt;=2",Raw_Data!$A$2:$A$59,"Yes",Raw_Data!$D$2:$D$59,"ช่างและสนาม",Raw_Data!$E$2:$E$59,"สายสนับสนุนทั่วไป")/COUNTIFS(Raw_Data!$AJ$2:$AJ$59,"&gt;=1",Raw_Data!$AJ$2:$AJ$59,"&lt;=5",Raw_Data!$A$2:$A$59,"Yes",Raw_Data!$D$2:$D$59,"ช่างและสนาม",Raw_Data!$E$2:$E$59,"สายสนับสนุนทั่วไป"),"")</f>
        <v>75</v>
      </c>
      <c r="AF33" s="54">
        <f>IFERROR(100*COUNTIFS(Raw_Data!$AJ$2:$AJ$59,"&gt;=1",Raw_Data!$AJ$2:$AJ$59,"&lt;=2",Raw_Data!$A$2:$A$59,"Yes",Raw_Data!$D$2:$D$59,"ผู้ป่วยสัมพันธ์",Raw_Data!$E$2:$E$59,"สายสนับสนุนทั่วไป")/COUNTIFS(Raw_Data!$AJ$2:$AJ$59,"&gt;=1",Raw_Data!$AJ$2:$AJ$59,"&lt;=5",Raw_Data!$A$2:$A$59,"Yes",Raw_Data!$D$2:$D$59,"ผู้ป่วยสัมพันธ์",Raw_Data!$E$2:$E$59,"สายสนับสนุนทั่วไป"),"")</f>
        <v>100</v>
      </c>
      <c r="AG33" s="54">
        <f>IFERROR(100*COUNTIFS(Raw_Data!$AJ$2:$AJ$59,"&gt;=1",Raw_Data!$AJ$2:$AJ$59,"&lt;=2",Raw_Data!$A$2:$A$59,"Yes",Raw_Data!$D$2:$D$59,"ยานพาหนะ",Raw_Data!$E$2:$E$59,"สายสนับสนุนทั่วไป")/COUNTIFS(Raw_Data!$AJ$2:$AJ$59,"&gt;=1",Raw_Data!$AJ$2:$AJ$59,"&lt;=5",Raw_Data!$A$2:$A$59,"Yes",Raw_Data!$D$2:$D$59,"ยานพาหนะ",Raw_Data!$E$2:$E$59,"สายสนับสนุนทั่วไป"),"")</f>
        <v>100</v>
      </c>
      <c r="AH33" s="54">
        <f>IFERROR(100*COUNTIFS(Raw_Data!$AJ$2:$AJ$59,"&gt;=1",Raw_Data!$AJ$2:$AJ$59,"&lt;=2",Raw_Data!$A$2:$A$59,"Yes",Raw_Data!$D$2:$D$59,"สื่อสารการตลาด",Raw_Data!$E$2:$E$59,"สายสนับสนุนทั่วไป")/COUNTIFS(Raw_Data!$AJ$2:$AJ$59,"&gt;=1",Raw_Data!$AJ$2:$AJ$59,"&lt;=5",Raw_Data!$A$2:$A$59,"Yes",Raw_Data!$D$2:$D$59,"สื่อสารการตลาด",Raw_Data!$E$2:$E$59,"สายสนับสนุนทั่วไป"),"")</f>
        <v>100</v>
      </c>
      <c r="AI33" s="54">
        <f>IFERROR(100*COUNTIFS(Raw_Data!$AJ$2:$AJ$59,"&gt;=1",Raw_Data!$AJ$2:$AJ$59,"&lt;=2",Raw_Data!$A$2:$A$59,"Yes",Raw_Data!$D$2:$D$59,"ERและเปล",Raw_Data!$E$2:$E$59,"สายสนับสนุนทั่วไป")/COUNTIFS(Raw_Data!$AJ$2:$AJ$59,"&gt;=1",Raw_Data!$AJ$2:$AJ$59,"&lt;=5",Raw_Data!$A$2:$A$59,"Yes",Raw_Data!$D$2:$D$59,"ERและเปล",Raw_Data!$E$2:$E$59,"สายสนับสนุนทั่วไป"),"")</f>
        <v>100</v>
      </c>
      <c r="AJ33" s="54">
        <f>IFERROR(100*COUNTIFS(Raw_Data!$AJ$2:$AJ$59,"&gt;=1",Raw_Data!$AJ$2:$AJ$59,"&lt;=2",Raw_Data!$A$2:$A$59,"Yes",Raw_Data!$D$2:$D$59,"HR",Raw_Data!$E$2:$E$59,"สายสนับสนุนทั่วไป")/COUNTIFS(Raw_Data!$AJ$2:$AJ$59,"&gt;=1",Raw_Data!$AJ$2:$AJ$59,"&lt;=5",Raw_Data!$A$2:$A$59,"Yes",Raw_Data!$D$2:$D$59,"HR",Raw_Data!$E$2:$E$59,"สายสนับสนุนทั่วไป"),"")</f>
        <v>100</v>
      </c>
      <c r="AK33" s="54">
        <f>IFERROR(100*COUNTIFS(Raw_Data!$AJ$2:$AJ$59,"&gt;=1",Raw_Data!$AJ$2:$AJ$59,"&lt;=2",Raw_Data!$A$2:$A$59,"Yes",Raw_Data!$D$2:$D$59,"ICU",Raw_Data!$E$2:$E$59,"สายสนับสนุนทั่วไป")/COUNTIFS(Raw_Data!$AJ$2:$AJ$59,"&gt;=1",Raw_Data!$AJ$2:$AJ$59,"&lt;=5",Raw_Data!$A$2:$A$59,"Yes",Raw_Data!$D$2:$D$59,"ICU",Raw_Data!$E$2:$E$59,"สายสนับสนุนทั่วไป"),"")</f>
        <v>0</v>
      </c>
      <c r="AL33" s="54">
        <f>IFERROR(100*COUNTIFS(Raw_Data!$AJ$2:$AJ$59,"&gt;=1",Raw_Data!$AJ$2:$AJ$59,"&lt;=2",Raw_Data!$A$2:$A$59,"Yes",Raw_Data!$D$2:$D$59,"IPD",Raw_Data!$E$2:$E$59,"สายสนับสนุนทั่วไป")/COUNTIFS(Raw_Data!$AJ$2:$AJ$59,"&gt;=1",Raw_Data!$AJ$2:$AJ$59,"&lt;=5",Raw_Data!$A$2:$A$59,"Yes",Raw_Data!$D$2:$D$59,"IPD",Raw_Data!$E$2:$E$59,"สายสนับสนุนทั่วไป"),"")</f>
        <v>0</v>
      </c>
      <c r="AM33" s="54">
        <f>IFERROR(100*COUNTIFS(Raw_Data!$AJ$2:$AJ$59,"&gt;=1",Raw_Data!$AJ$2:$AJ$59,"&lt;=2",Raw_Data!$A$2:$A$59,"Yes",Raw_Data!$D$2:$D$59,"IT",Raw_Data!$E$2:$E$59,"สายสนับสนุนทั่วไป")/COUNTIFS(Raw_Data!$AJ$2:$AJ$59,"&gt;=1",Raw_Data!$AJ$2:$AJ$59,"&lt;=5",Raw_Data!$A$2:$A$59,"Yes",Raw_Data!$D$2:$D$59,"IT",Raw_Data!$E$2:$E$59,"สายสนับสนุนทั่วไป"),"")</f>
        <v>100</v>
      </c>
      <c r="AN33" s="54">
        <f>IFERROR(100*COUNTIFS(Raw_Data!$AJ$2:$AJ$59,"&gt;=1",Raw_Data!$AJ$2:$AJ$59,"&lt;=2",Raw_Data!$A$2:$A$59,"Yes",Raw_Data!$D$2:$D$59,"ผู้ป่วยสัมพันธ์",Raw_Data!$E$2:$E$59,"สายสนับสนุนทางการแพทย์")/COUNTIFS(Raw_Data!$AJ$2:$AJ$59,"&gt;=1",Raw_Data!$AJ$2:$AJ$59,"&lt;=5",Raw_Data!$A$2:$A$59,"Yes",Raw_Data!$D$2:$D$59,"ผู้ป่วยสัมพันธ์",Raw_Data!$E$2:$E$59,"สายสนับสนุนทางการแพทย์"),"")</f>
        <v>100</v>
      </c>
      <c r="AO33" s="54">
        <f>IFERROR(100*COUNTIFS(Raw_Data!$AJ$2:$AJ$59,"&gt;=1",Raw_Data!$AJ$2:$AJ$59,"&lt;=2",Raw_Data!$A$2:$A$59,"Yes",Raw_Data!$D$2:$D$59,"ฝ่ายการพยาบาล",Raw_Data!$E$2:$E$59,"สายสนับสนุนทางการแพทย์")/COUNTIFS(Raw_Data!$AJ$2:$AJ$59,"&gt;=1",Raw_Data!$AJ$2:$AJ$59,"&lt;=5",Raw_Data!$A$2:$A$59,"Yes",Raw_Data!$D$2:$D$59,"ฝ่ายการพยาบาล",Raw_Data!$E$2:$E$59,"สายสนับสนุนทางการแพทย์"),"")</f>
        <v>100</v>
      </c>
      <c r="AP33" s="54">
        <f>IFERROR(100*COUNTIFS(Raw_Data!$AJ$2:$AJ$59,"&gt;=1",Raw_Data!$AJ$2:$AJ$59,"&lt;=2",Raw_Data!$A$2:$A$59,"Yes",Raw_Data!$D$2:$D$59,"โภชนาการ",Raw_Data!$E$2:$E$59,"สายสนับสนุนทางการแพทย์")/COUNTIFS(Raw_Data!$AJ$2:$AJ$59,"&gt;=1",Raw_Data!$AJ$2:$AJ$59,"&lt;=5",Raw_Data!$A$2:$A$59,"Yes",Raw_Data!$D$2:$D$59,"โภชนาการ",Raw_Data!$E$2:$E$59,"สายสนับสนุนทางการแพทย์"),"")</f>
        <v>100</v>
      </c>
      <c r="AQ33" s="54">
        <f>IFERROR(100*COUNTIFS(Raw_Data!$AJ$2:$AJ$59,"&gt;=1",Raw_Data!$AJ$2:$AJ$59,"&lt;=2",Raw_Data!$A$2:$A$59,"Yes",Raw_Data!$D$2:$D$59,"ห้องยา",Raw_Data!$E$2:$E$59,"สายสนับสนุนทางการแพทย์")/COUNTIFS(Raw_Data!$AJ$2:$AJ$59,"&gt;=1",Raw_Data!$AJ$2:$AJ$59,"&lt;=5",Raw_Data!$A$2:$A$59,"Yes",Raw_Data!$D$2:$D$59,"ห้องยา",Raw_Data!$E$2:$E$59,"สายสนับสนุนทางการแพทย์"),"")</f>
        <v>83.333333333333329</v>
      </c>
      <c r="AR33" s="54">
        <f>IFERROR(100*COUNTIFS(Raw_Data!$AJ$2:$AJ$59,"&gt;=1",Raw_Data!$AJ$2:$AJ$59,"&lt;=2",Raw_Data!$A$2:$A$59,"Yes",Raw_Data!$D$2:$D$59,"ห้องแลป",Raw_Data!$E$2:$E$59,"สายสนับสนุนทางการแพทย์")/COUNTIFS(Raw_Data!$AJ$2:$AJ$59,"&gt;=1",Raw_Data!$AJ$2:$AJ$59,"&lt;=5",Raw_Data!$A$2:$A$59,"Yes",Raw_Data!$D$2:$D$59,"ห้องแลป",Raw_Data!$E$2:$E$59,"สายสนับสนุนทางการแพทย์"),"")</f>
        <v>50</v>
      </c>
      <c r="AS33" s="54">
        <f>IFERROR(100*COUNTIFS(Raw_Data!$AJ$2:$AJ$59,"&gt;=1",Raw_Data!$AJ$2:$AJ$59,"&lt;=2",Raw_Data!$A$2:$A$59,"Yes",Raw_Data!$D$2:$D$59,"ห้องเอ็กซเรย์",Raw_Data!$E$2:$E$59,"สายสนับสนุนทางการแพทย์")/COUNTIFS(Raw_Data!$AJ$2:$AJ$59,"&gt;=1",Raw_Data!$AJ$2:$AJ$59,"&lt;=5",Raw_Data!$A$2:$A$59,"Yes",Raw_Data!$D$2:$D$59,"ห้องเอ็กซเรย์",Raw_Data!$E$2:$E$59,"สายสนับสนุนทางการแพทย์"),"")</f>
        <v>33.333333333333336</v>
      </c>
      <c r="AT33" s="54">
        <f>IFERROR(100*COUNTIFS(Raw_Data!$AJ$2:$AJ$59,"&gt;=1",Raw_Data!$AJ$2:$AJ$59,"&lt;=2",Raw_Data!$A$2:$A$59,"Yes",Raw_Data!$D$2:$D$59,"ERและเปล",Raw_Data!$E$2:$E$59,"สายสนับสนุนทางการแพทย์")/COUNTIFS(Raw_Data!$AJ$2:$AJ$59,"&gt;=1",Raw_Data!$AJ$2:$AJ$59,"&lt;=5",Raw_Data!$A$2:$A$59,"Yes",Raw_Data!$D$2:$D$59,"ERและเปล",Raw_Data!$E$2:$E$59,"สายสนับสนุนทางการแพทย์"),"")</f>
        <v>0</v>
      </c>
      <c r="AU33" s="54">
        <f>IFERROR(100*COUNTIFS(Raw_Data!$AJ$2:$AJ$59,"&gt;=1",Raw_Data!$AJ$2:$AJ$59,"&lt;=2",Raw_Data!$A$2:$A$59,"Yes",Raw_Data!$D$2:$D$59,"ICU",Raw_Data!$E$2:$E$59,"สายสนับสนุนทางการแพทย์")/COUNTIFS(Raw_Data!$AJ$2:$AJ$59,"&gt;=1",Raw_Data!$AJ$2:$AJ$59,"&lt;=5",Raw_Data!$A$2:$A$59,"Yes",Raw_Data!$D$2:$D$59,"ICU",Raw_Data!$E$2:$E$59,"สายสนับสนุนทางการแพทย์"),"")</f>
        <v>100</v>
      </c>
      <c r="AV33" s="54">
        <f>IFERROR(100*COUNTIFS(Raw_Data!$AJ$2:$AJ$59,"&gt;=1",Raw_Data!$AJ$2:$AJ$59,"&lt;=2",Raw_Data!$A$2:$A$59,"Yes",Raw_Data!$D$2:$D$59,"IPD",Raw_Data!$E$2:$E$59,"สายสนับสนุนทางการแพทย์")/COUNTIFS(Raw_Data!$AJ$2:$AJ$59,"&gt;=1",Raw_Data!$AJ$2:$AJ$59,"&lt;=5",Raw_Data!$A$2:$A$59,"Yes",Raw_Data!$D$2:$D$59,"IPD",Raw_Data!$E$2:$E$59,"สายสนับสนุนทางการแพทย์"),"")</f>
        <v>50</v>
      </c>
      <c r="AW33" s="54">
        <f>IFERROR(100*COUNTIFS(Raw_Data!$AJ$2:$AJ$59,"&gt;=1",Raw_Data!$AJ$2:$AJ$59,"&lt;=2",Raw_Data!$A$2:$A$59,"Yes",Raw_Data!$D$2:$D$59,"IT",Raw_Data!$E$2:$E$59,"สายสนับสนุนทางการแพทย์")/COUNTIFS(Raw_Data!$AJ$2:$AJ$59,"&gt;=1",Raw_Data!$AJ$2:$AJ$59,"&lt;=5",Raw_Data!$A$2:$A$59,"Yes",Raw_Data!$D$2:$D$59,"IT",Raw_Data!$E$2:$E$59,"สายสนับสนุนทางการแพทย์"),"")</f>
        <v>100</v>
      </c>
    </row>
    <row r="34" spans="1:49" ht="42" customHeight="1">
      <c r="A34" s="50"/>
      <c r="B34" s="51" t="s">
        <v>61</v>
      </c>
      <c r="C34" s="54">
        <f>IFERROR(100*COUNTIFS(Raw_Data!$AK$2:$AK$59,"&gt;=1",Raw_Data!$AK$2:$AK$59,"&lt;=2",Raw_Data!$A$2:$A$59,"Yes")/COUNTIFS(Raw_Data!$AK$2:$AK$59,"&gt;=1",Raw_Data!$AK$2:$AK$59,"&lt;=5",Raw_Data!$A$2:$A$59,"Yes"),"")</f>
        <v>68.965517241379317</v>
      </c>
      <c r="D34" s="54">
        <f>IFERROR(100*COUNTIFS(Raw_Data!$AK$2:$AK$59,"&gt;=1",Raw_Data!$AK$2:$AK$59,"&lt;=2",Raw_Data!$A$2:$A$59,"Yes",Raw_Data!$D$2:$D$59,"การเงิน")/COUNTIFS(Raw_Data!$AK$2:$AK$59,"&gt;=1",Raw_Data!$AK$2:$AK$59,"&lt;=5",Raw_Data!$A$2:$A$59,"Yes",Raw_Data!$D$2:$D$59,"การเงิน"),"")</f>
        <v>66.666666666666671</v>
      </c>
      <c r="E34" s="54">
        <f>IFERROR(100*COUNTIFS(Raw_Data!$AK$2:$AK$59,"&gt;=1",Raw_Data!$AK$2:$AK$59,"&lt;=2",Raw_Data!$A$2:$A$59,"Yes",Raw_Data!$D$2:$D$59,"เคหรักษ์")/COUNTIFS(Raw_Data!$AK$2:$AK$59,"&gt;=1",Raw_Data!$AK$2:$AK$59,"&lt;=5",Raw_Data!$A$2:$A$59,"Yes",Raw_Data!$D$2:$D$59,"เคหรักษ์"),"")</f>
        <v>0</v>
      </c>
      <c r="F34" s="54">
        <f>IFERROR(100*COUNTIFS(Raw_Data!$AK$2:$AK$59,"&gt;=1",Raw_Data!$AK$2:$AK$59,"&lt;=2",Raw_Data!$A$2:$A$59,"Yes",Raw_Data!$D$2:$D$59,"จ่ายกลาง")/COUNTIFS(Raw_Data!$AK$2:$AK$59,"&gt;=1",Raw_Data!$AK$2:$AK$59,"&lt;=5",Raw_Data!$A$2:$A$59,"Yes",Raw_Data!$D$2:$D$59,"จ่ายกลาง"),"")</f>
        <v>100</v>
      </c>
      <c r="G34" s="54">
        <f>IFERROR(100*COUNTIFS(Raw_Data!$AK$2:$AK$59,"&gt;=1",Raw_Data!$AK$2:$AK$59,"&lt;=2",Raw_Data!$A$2:$A$59,"Yes",Raw_Data!$D$2:$D$59,"ช่างและสนาม")/COUNTIFS(Raw_Data!$AK$2:$AK$59,"&gt;=1",Raw_Data!$AK$2:$AK$59,"&lt;=5",Raw_Data!$A$2:$A$59,"Yes",Raw_Data!$D$2:$D$59,"ช่างและสนาม"),"")</f>
        <v>50</v>
      </c>
      <c r="H34" s="54">
        <f>IFERROR(100*COUNTIFS(Raw_Data!$AK$2:$AK$59,"&gt;=1",Raw_Data!$AK$2:$AK$59,"&lt;=2",Raw_Data!$A$2:$A$59,"Yes",Raw_Data!$D$2:$D$59,"ผู้ป่วยสัมพันธ์")/COUNTIFS(Raw_Data!$AK$2:$AK$59,"&gt;=1",Raw_Data!$AK$2:$AK$59,"&lt;=5",Raw_Data!$A$2:$A$59,"Yes",Raw_Data!$D$2:$D$59,"ผู้ป่วยสัมพันธ์"),"")</f>
        <v>100</v>
      </c>
      <c r="I34" s="54">
        <f>IFERROR(100*COUNTIFS(Raw_Data!$AK$2:$AK$59,"&gt;=1",Raw_Data!$AK$2:$AK$59,"&lt;=2",Raw_Data!$A$2:$A$59,"Yes",Raw_Data!$D$2:$D$59,"ฝ่ายการพยาบาล")/COUNTIFS(Raw_Data!$AK$2:$AK$59,"&gt;=1",Raw_Data!$AK$2:$AK$59,"&lt;=5",Raw_Data!$A$2:$A$59,"Yes",Raw_Data!$D$2:$D$59,"ฝ่ายการพยาบาล"),"")</f>
        <v>100</v>
      </c>
      <c r="J34" s="54">
        <f>IFERROR(100*COUNTIFS(Raw_Data!$AK$2:$AK$59,"&gt;=1",Raw_Data!$AK$2:$AK$59,"&lt;=2",Raw_Data!$A$2:$A$59,"Yes",Raw_Data!$D$2:$D$59,"โภชนาการ")/COUNTIFS(Raw_Data!$AK$2:$AK$59,"&gt;=1",Raw_Data!$AK$2:$AK$59,"&lt;=5",Raw_Data!$A$2:$A$59,"Yes",Raw_Data!$D$2:$D$59,"โภชนาการ"),"")</f>
        <v>100</v>
      </c>
      <c r="K34" s="54">
        <f>IFERROR(100*COUNTIFS(Raw_Data!$AK$2:$AK$59,"&gt;=1",Raw_Data!$AK$2:$AK$59,"&lt;=2",Raw_Data!$A$2:$A$59,"Yes",Raw_Data!$D$2:$D$59,"ยานพาหนะ")/COUNTIFS(Raw_Data!$AK$2:$AK$59,"&gt;=1",Raw_Data!$AK$2:$AK$59,"&lt;=5",Raw_Data!$A$2:$A$59,"Yes",Raw_Data!$D$2:$D$59,"ยานพาหนะ"),"")</f>
        <v>100</v>
      </c>
      <c r="L34" s="54">
        <f>IFERROR(100*COUNTIFS(Raw_Data!$AK$2:$AK$59,"&gt;=1",Raw_Data!$AK$2:$AK$59,"&lt;=2",Raw_Data!$A$2:$A$59,"Yes",Raw_Data!$D$2:$D$59,"สื่อสารการตลาด")/COUNTIFS(Raw_Data!$AK$2:$AK$59,"&gt;=1",Raw_Data!$AK$2:$AK$59,"&lt;=5",Raw_Data!$A$2:$A$59,"Yes",Raw_Data!$D$2:$D$59,"สื่อสารการตลาด"),"")</f>
        <v>100</v>
      </c>
      <c r="M34" s="54">
        <f>IFERROR(100*COUNTIFS(Raw_Data!$AK$2:$AK$59,"&gt;=1",Raw_Data!$AK$2:$AK$59,"&lt;=2",Raw_Data!$A$2:$A$59,"Yes",Raw_Data!$D$2:$D$59,"ห้องยา")/COUNTIFS(Raw_Data!$AK$2:$AK$59,"&gt;=1",Raw_Data!$AK$2:$AK$59,"&lt;=5",Raw_Data!$A$2:$A$59,"Yes",Raw_Data!$D$2:$D$59,"ห้องยา"),"")</f>
        <v>100</v>
      </c>
      <c r="N34" s="54">
        <f>IFERROR(100*COUNTIFS(Raw_Data!$AK$2:$AK$59,"&gt;=1",Raw_Data!$AK$2:$AK$59,"&lt;=2",Raw_Data!$A$2:$A$59,"Yes",Raw_Data!$D$2:$D$59,"ห้องแลป")/COUNTIFS(Raw_Data!$AK$2:$AK$59,"&gt;=1",Raw_Data!$AK$2:$AK$59,"&lt;=5",Raw_Data!$A$2:$A$59,"Yes",Raw_Data!$D$2:$D$59,"ห้องแลป"),"")</f>
        <v>50</v>
      </c>
      <c r="O34" s="54">
        <f>IFERROR(100*COUNTIFS(Raw_Data!$AK$2:$AK$59,"&gt;=1",Raw_Data!$AK$2:$AK$59,"&lt;=2",Raw_Data!$A$2:$A$59,"Yes",Raw_Data!$D$2:$D$59,"ห้องเอ็กซเรย์")/COUNTIFS(Raw_Data!$AK$2:$AK$59,"&gt;=1",Raw_Data!$AK$2:$AK$59,"&lt;=5",Raw_Data!$A$2:$A$59,"Yes",Raw_Data!$D$2:$D$59,"ห้องเอ็กซเรย์"),"")</f>
        <v>33.333333333333336</v>
      </c>
      <c r="P34" s="54">
        <f>IFERROR(100*COUNTIFS(Raw_Data!$AK$2:$AK$59,"&gt;=1",Raw_Data!$AK$2:$AK$59,"&lt;=2",Raw_Data!$A$2:$A$59,"Yes",Raw_Data!$D$2:$D$59,"ERและเปล")/COUNTIFS(Raw_Data!$AK$2:$AK$59,"&gt;=1",Raw_Data!$AK$2:$AK$59,"&lt;=5",Raw_Data!$A$2:$A$59,"Yes",Raw_Data!$D$2:$D$59,"ERและเปล"),"")</f>
        <v>63.636363636363633</v>
      </c>
      <c r="Q34" s="54">
        <f>IFERROR(100*COUNTIFS(Raw_Data!$AK$2:$AK$59,"&gt;=1",Raw_Data!$AK$2:$AK$59,"&lt;=2",Raw_Data!$A$2:$A$59,"Yes",Raw_Data!$D$2:$D$59,"HR")/COUNTIFS(Raw_Data!$AK$2:$AK$59,"&gt;=1",Raw_Data!$AK$2:$AK$59,"&lt;=5",Raw_Data!$A$2:$A$59,"Yes",Raw_Data!$D$2:$D$59,"HR"),"")</f>
        <v>100</v>
      </c>
      <c r="R34" s="54">
        <f>IFERROR(100*COUNTIFS(Raw_Data!$AK$2:$AK$59,"&gt;=1",Raw_Data!$AK$2:$AK$59,"&lt;=2",Raw_Data!$A$2:$A$59,"Yes",Raw_Data!$D$2:$D$59,"ICU")/COUNTIFS(Raw_Data!$AK$2:$AK$59,"&gt;=1",Raw_Data!$AK$2:$AK$59,"&lt;=5",Raw_Data!$A$2:$A$59,"Yes",Raw_Data!$D$2:$D$59,"ICU"),"")</f>
        <v>75</v>
      </c>
      <c r="S34" s="54">
        <f>IFERROR(100*COUNTIFS(Raw_Data!$AK$2:$AK$59,"&gt;=1",Raw_Data!$AK$2:$AK$59,"&lt;=2",Raw_Data!$A$2:$A$59,"Yes",Raw_Data!$D$2:$D$59,"IPD")/COUNTIFS(Raw_Data!$AK$2:$AK$59,"&gt;=1",Raw_Data!$AK$2:$AK$59,"&lt;=5",Raw_Data!$A$2:$A$59,"Yes",Raw_Data!$D$2:$D$59,"IPD"),"")</f>
        <v>66.666666666666671</v>
      </c>
      <c r="T34" s="54">
        <f>IFERROR(100*COUNTIFS(Raw_Data!$AK$2:$AK$59,"&gt;=1",Raw_Data!$AK$2:$AK$59,"&lt;=2",Raw_Data!$A$2:$A$59,"Yes",Raw_Data!$D$2:$D$59,"IT")/COUNTIFS(Raw_Data!$AK$2:$AK$59,"&gt;=1",Raw_Data!$AK$2:$AK$59,"&lt;=5",Raw_Data!$A$2:$A$59,"Yes",Raw_Data!$D$2:$D$59,"IT"),"")</f>
        <v>50</v>
      </c>
      <c r="U34" s="54">
        <f>IFERROR(100*COUNTIFS(Raw_Data!$AK$2:$AK$59,"&gt;=1",Raw_Data!$AK$2:$AK$59,"&lt;=2",Raw_Data!$A$2:$A$59,"Yes",Raw_Data!$D$2:$D$59,"OR")/COUNTIFS(Raw_Data!$AK$2:$AK$59,"&gt;=1",Raw_Data!$AK$2:$AK$59,"&lt;=5",Raw_Data!$A$2:$A$59,"Yes",Raw_Data!$D$2:$D$59,"OR"),"")</f>
        <v>50</v>
      </c>
      <c r="V34" s="54">
        <f>IFERROR(100*COUNTIFS(Raw_Data!$AK$2:$AK$59,"&gt;=1",Raw_Data!$AK$2:$AK$59,"&lt;=2",Raw_Data!$A$2:$A$59,"Yes",Raw_Data!$D$2:$D$59,"IPD",Raw_Data!$E$2:$E$59,"ผู้บริหาร")/COUNTIFS(Raw_Data!$AK$2:$AK$59,"&gt;=1",Raw_Data!$AK$2:$AK$59,"&lt;=5",Raw_Data!$A$2:$A$59,"Yes",Raw_Data!$D$2:$D$59,"IPD",Raw_Data!$E$2:$E$59,"ผู้บริหาร"),"")</f>
        <v>100</v>
      </c>
      <c r="W34" s="54">
        <f>IFERROR(100*COUNTIFS(Raw_Data!$AK$2:$AK$59,"&gt;=1",Raw_Data!$AK$2:$AK$59,"&lt;=2",Raw_Data!$A$2:$A$59,"Yes",Raw_Data!$D$2:$D$59,"ฝ่ายการพยาบาล",Raw_Data!$E$2:$E$59,"สายวิชาชีพสาธารณสุข")/COUNTIFS(Raw_Data!$AK$2:$AK$59,"&gt;=1",Raw_Data!$AK$2:$AK$59,"&lt;=5",Raw_Data!$A$2:$A$59,"Yes",Raw_Data!$D$2:$D$59,"ฝ่ายการพยาบาล",Raw_Data!$E$2:$E$59,"สายวิชาชีพสาธารณสุข"),"")</f>
        <v>100</v>
      </c>
      <c r="X34" s="54">
        <f>IFERROR(100*COUNTIFS(Raw_Data!$AK$2:$AK$59,"&gt;=1",Raw_Data!$AK$2:$AK$59,"&lt;=2",Raw_Data!$A$2:$A$59,"Yes",Raw_Data!$D$2:$D$59,"ERและเปล",Raw_Data!$E$2:$E$59,"สายวิชาชีพสาธารณสุข")/COUNTIFS(Raw_Data!$AK$2:$AK$59,"&gt;=1",Raw_Data!$AK$2:$AK$59,"&lt;=5",Raw_Data!$A$2:$A$59,"Yes",Raw_Data!$D$2:$D$59,"ERและเปล",Raw_Data!$E$2:$E$59,"สายวิชาชีพสาธารณสุข"),"")</f>
        <v>71.428571428571431</v>
      </c>
      <c r="Y34" s="54">
        <f>IFERROR(100*COUNTIFS(Raw_Data!$AK$2:$AK$59,"&gt;=1",Raw_Data!$AK$2:$AK$59,"&lt;=2",Raw_Data!$A$2:$A$59,"Yes",Raw_Data!$D$2:$D$59,"ICU",Raw_Data!$E$2:$E$59,"สายวิชาชีพสาธารณสุข")/COUNTIFS(Raw_Data!$AK$2:$AK$59,"&gt;=1",Raw_Data!$AK$2:$AK$59,"&lt;=5",Raw_Data!$A$2:$A$59,"Yes",Raw_Data!$D$2:$D$59,"ICU",Raw_Data!$E$2:$E$59,"สายวิชาชีพสาธารณสุข"),"")</f>
        <v>100</v>
      </c>
      <c r="Z34" s="54">
        <f>IFERROR(100*COUNTIFS(Raw_Data!$AK$2:$AK$59,"&gt;=1",Raw_Data!$AK$2:$AK$59,"&lt;=2",Raw_Data!$A$2:$A$59,"Yes",Raw_Data!$D$2:$D$59,"IPD",Raw_Data!$E$2:$E$59,"สายวิชาชีพสาธารณสุข")/COUNTIFS(Raw_Data!$AK$2:$AK$59,"&gt;=1",Raw_Data!$AK$2:$AK$59,"&lt;=5",Raw_Data!$A$2:$A$59,"Yes",Raw_Data!$D$2:$D$59,"IPD",Raw_Data!$E$2:$E$59,"สายวิชาชีพสาธารณสุข"),"")</f>
        <v>100</v>
      </c>
      <c r="AA34" s="54">
        <f>IFERROR(100*COUNTIFS(Raw_Data!$AK$2:$AK$59,"&gt;=1",Raw_Data!$AK$2:$AK$59,"&lt;=2",Raw_Data!$A$2:$A$59,"Yes",Raw_Data!$D$2:$D$59,"OR",Raw_Data!$E$2:$E$59,"สายวิชาชีพสาธารณสุข")/COUNTIFS(Raw_Data!$AK$2:$AK$59,"&gt;=1",Raw_Data!$AK$2:$AK$59,"&lt;=5",Raw_Data!$A$2:$A$59,"Yes",Raw_Data!$D$2:$D$59,"OR",Raw_Data!$E$2:$E$59,"สายวิชาชีพสาธารณสุข"),"")</f>
        <v>50</v>
      </c>
      <c r="AB34" s="54">
        <f>IFERROR(100*COUNTIFS(Raw_Data!$AK$2:$AK$59,"&gt;=1",Raw_Data!$AK$2:$AK$59,"&lt;=2",Raw_Data!$A$2:$A$59,"Yes",Raw_Data!$D$2:$D$59,"การเงิน",Raw_Data!$E$2:$E$59,"สายสนับสนุนทั่วไป")/COUNTIFS(Raw_Data!$AK$2:$AK$59,"&gt;=1",Raw_Data!$AK$2:$AK$59,"&lt;=5",Raw_Data!$A$2:$A$59,"Yes",Raw_Data!$D$2:$D$59,"การเงิน",Raw_Data!$E$2:$E$59,"สายสนับสนุนทั่วไป"),"")</f>
        <v>66.666666666666671</v>
      </c>
      <c r="AC34" s="54">
        <f>IFERROR(100*COUNTIFS(Raw_Data!$AK$2:$AK$59,"&gt;=1",Raw_Data!$AK$2:$AK$59,"&lt;=2",Raw_Data!$A$2:$A$59,"Yes",Raw_Data!$D$2:$D$59,"เคหรักษ์",Raw_Data!$E$2:$E$59,"สายสนับสนุนทั่วไป")/COUNTIFS(Raw_Data!$AK$2:$AK$59,"&gt;=1",Raw_Data!$AK$2:$AK$59,"&lt;=5",Raw_Data!$A$2:$A$59,"Yes",Raw_Data!$D$2:$D$59,"เคหรักษ์",Raw_Data!$E$2:$E$59,"สายสนับสนุนทั่วไป"),"")</f>
        <v>0</v>
      </c>
      <c r="AD34" s="54">
        <f>IFERROR(100*COUNTIFS(Raw_Data!$AK$2:$AK$59,"&gt;=1",Raw_Data!$AK$2:$AK$59,"&lt;=2",Raw_Data!$A$2:$A$59,"Yes",Raw_Data!$D$2:$D$59,"จ่ายกลาง",Raw_Data!$E$2:$E$59,"สายสนับสนุนทั่วไป")/COUNTIFS(Raw_Data!$AK$2:$AK$59,"&gt;=1",Raw_Data!$AK$2:$AK$59,"&lt;=5",Raw_Data!$A$2:$A$59,"Yes",Raw_Data!$D$2:$D$59,"จ่ายกลาง",Raw_Data!$E$2:$E$59,"สายสนับสนุนทั่วไป"),"")</f>
        <v>100</v>
      </c>
      <c r="AE34" s="54">
        <f>IFERROR(100*COUNTIFS(Raw_Data!$AK$2:$AK$59,"&gt;=1",Raw_Data!$AK$2:$AK$59,"&lt;=2",Raw_Data!$A$2:$A$59,"Yes",Raw_Data!$D$2:$D$59,"ช่างและสนาม",Raw_Data!$E$2:$E$59,"สายสนับสนุนทั่วไป")/COUNTIFS(Raw_Data!$AK$2:$AK$59,"&gt;=1",Raw_Data!$AK$2:$AK$59,"&lt;=5",Raw_Data!$A$2:$A$59,"Yes",Raw_Data!$D$2:$D$59,"ช่างและสนาม",Raw_Data!$E$2:$E$59,"สายสนับสนุนทั่วไป"),"")</f>
        <v>50</v>
      </c>
      <c r="AF34" s="54">
        <f>IFERROR(100*COUNTIFS(Raw_Data!$AK$2:$AK$59,"&gt;=1",Raw_Data!$AK$2:$AK$59,"&lt;=2",Raw_Data!$A$2:$A$59,"Yes",Raw_Data!$D$2:$D$59,"ผู้ป่วยสัมพันธ์",Raw_Data!$E$2:$E$59,"สายสนับสนุนทั่วไป")/COUNTIFS(Raw_Data!$AK$2:$AK$59,"&gt;=1",Raw_Data!$AK$2:$AK$59,"&lt;=5",Raw_Data!$A$2:$A$59,"Yes",Raw_Data!$D$2:$D$59,"ผู้ป่วยสัมพันธ์",Raw_Data!$E$2:$E$59,"สายสนับสนุนทั่วไป"),"")</f>
        <v>100</v>
      </c>
      <c r="AG34" s="54">
        <f>IFERROR(100*COUNTIFS(Raw_Data!$AK$2:$AK$59,"&gt;=1",Raw_Data!$AK$2:$AK$59,"&lt;=2",Raw_Data!$A$2:$A$59,"Yes",Raw_Data!$D$2:$D$59,"ยานพาหนะ",Raw_Data!$E$2:$E$59,"สายสนับสนุนทั่วไป")/COUNTIFS(Raw_Data!$AK$2:$AK$59,"&gt;=1",Raw_Data!$AK$2:$AK$59,"&lt;=5",Raw_Data!$A$2:$A$59,"Yes",Raw_Data!$D$2:$D$59,"ยานพาหนะ",Raw_Data!$E$2:$E$59,"สายสนับสนุนทั่วไป"),"")</f>
        <v>100</v>
      </c>
      <c r="AH34" s="54">
        <f>IFERROR(100*COUNTIFS(Raw_Data!$AK$2:$AK$59,"&gt;=1",Raw_Data!$AK$2:$AK$59,"&lt;=2",Raw_Data!$A$2:$A$59,"Yes",Raw_Data!$D$2:$D$59,"สื่อสารการตลาด",Raw_Data!$E$2:$E$59,"สายสนับสนุนทั่วไป")/COUNTIFS(Raw_Data!$AK$2:$AK$59,"&gt;=1",Raw_Data!$AK$2:$AK$59,"&lt;=5",Raw_Data!$A$2:$A$59,"Yes",Raw_Data!$D$2:$D$59,"สื่อสารการตลาด",Raw_Data!$E$2:$E$59,"สายสนับสนุนทั่วไป"),"")</f>
        <v>100</v>
      </c>
      <c r="AI34" s="54">
        <f>IFERROR(100*COUNTIFS(Raw_Data!$AK$2:$AK$59,"&gt;=1",Raw_Data!$AK$2:$AK$59,"&lt;=2",Raw_Data!$A$2:$A$59,"Yes",Raw_Data!$D$2:$D$59,"ERและเปล",Raw_Data!$E$2:$E$59,"สายสนับสนุนทั่วไป")/COUNTIFS(Raw_Data!$AK$2:$AK$59,"&gt;=1",Raw_Data!$AK$2:$AK$59,"&lt;=5",Raw_Data!$A$2:$A$59,"Yes",Raw_Data!$D$2:$D$59,"ERและเปล",Raw_Data!$E$2:$E$59,"สายสนับสนุนทั่วไป"),"")</f>
        <v>33.333333333333336</v>
      </c>
      <c r="AJ34" s="54">
        <f>IFERROR(100*COUNTIFS(Raw_Data!$AK$2:$AK$59,"&gt;=1",Raw_Data!$AK$2:$AK$59,"&lt;=2",Raw_Data!$A$2:$A$59,"Yes",Raw_Data!$D$2:$D$59,"HR",Raw_Data!$E$2:$E$59,"สายสนับสนุนทั่วไป")/COUNTIFS(Raw_Data!$AK$2:$AK$59,"&gt;=1",Raw_Data!$AK$2:$AK$59,"&lt;=5",Raw_Data!$A$2:$A$59,"Yes",Raw_Data!$D$2:$D$59,"HR",Raw_Data!$E$2:$E$59,"สายสนับสนุนทั่วไป"),"")</f>
        <v>100</v>
      </c>
      <c r="AK34" s="54">
        <f>IFERROR(100*COUNTIFS(Raw_Data!$AK$2:$AK$59,"&gt;=1",Raw_Data!$AK$2:$AK$59,"&lt;=2",Raw_Data!$A$2:$A$59,"Yes",Raw_Data!$D$2:$D$59,"ICU",Raw_Data!$E$2:$E$59,"สายสนับสนุนทั่วไป")/COUNTIFS(Raw_Data!$AK$2:$AK$59,"&gt;=1",Raw_Data!$AK$2:$AK$59,"&lt;=5",Raw_Data!$A$2:$A$59,"Yes",Raw_Data!$D$2:$D$59,"ICU",Raw_Data!$E$2:$E$59,"สายสนับสนุนทั่วไป"),"")</f>
        <v>0</v>
      </c>
      <c r="AL34" s="54">
        <f>IFERROR(100*COUNTIFS(Raw_Data!$AK$2:$AK$59,"&gt;=1",Raw_Data!$AK$2:$AK$59,"&lt;=2",Raw_Data!$A$2:$A$59,"Yes",Raw_Data!$D$2:$D$59,"IPD",Raw_Data!$E$2:$E$59,"สายสนับสนุนทั่วไป")/COUNTIFS(Raw_Data!$AK$2:$AK$59,"&gt;=1",Raw_Data!$AK$2:$AK$59,"&lt;=5",Raw_Data!$A$2:$A$59,"Yes",Raw_Data!$D$2:$D$59,"IPD",Raw_Data!$E$2:$E$59,"สายสนับสนุนทั่วไป"),"")</f>
        <v>0</v>
      </c>
      <c r="AM34" s="54">
        <f>IFERROR(100*COUNTIFS(Raw_Data!$AK$2:$AK$59,"&gt;=1",Raw_Data!$AK$2:$AK$59,"&lt;=2",Raw_Data!$A$2:$A$59,"Yes",Raw_Data!$D$2:$D$59,"IT",Raw_Data!$E$2:$E$59,"สายสนับสนุนทั่วไป")/COUNTIFS(Raw_Data!$AK$2:$AK$59,"&gt;=1",Raw_Data!$AK$2:$AK$59,"&lt;=5",Raw_Data!$A$2:$A$59,"Yes",Raw_Data!$D$2:$D$59,"IT",Raw_Data!$E$2:$E$59,"สายสนับสนุนทั่วไป"),"")</f>
        <v>100</v>
      </c>
      <c r="AN34" s="54">
        <f>IFERROR(100*COUNTIFS(Raw_Data!$AK$2:$AK$59,"&gt;=1",Raw_Data!$AK$2:$AK$59,"&lt;=2",Raw_Data!$A$2:$A$59,"Yes",Raw_Data!$D$2:$D$59,"ผู้ป่วยสัมพันธ์",Raw_Data!$E$2:$E$59,"สายสนับสนุนทางการแพทย์")/COUNTIFS(Raw_Data!$AK$2:$AK$59,"&gt;=1",Raw_Data!$AK$2:$AK$59,"&lt;=5",Raw_Data!$A$2:$A$59,"Yes",Raw_Data!$D$2:$D$59,"ผู้ป่วยสัมพันธ์",Raw_Data!$E$2:$E$59,"สายสนับสนุนทางการแพทย์"),"")</f>
        <v>100</v>
      </c>
      <c r="AO34" s="54">
        <f>IFERROR(100*COUNTIFS(Raw_Data!$AK$2:$AK$59,"&gt;=1",Raw_Data!$AK$2:$AK$59,"&lt;=2",Raw_Data!$A$2:$A$59,"Yes",Raw_Data!$D$2:$D$59,"ฝ่ายการพยาบาล",Raw_Data!$E$2:$E$59,"สายสนับสนุนทางการแพทย์")/COUNTIFS(Raw_Data!$AK$2:$AK$59,"&gt;=1",Raw_Data!$AK$2:$AK$59,"&lt;=5",Raw_Data!$A$2:$A$59,"Yes",Raw_Data!$D$2:$D$59,"ฝ่ายการพยาบาล",Raw_Data!$E$2:$E$59,"สายสนับสนุนทางการแพทย์"),"")</f>
        <v>100</v>
      </c>
      <c r="AP34" s="54">
        <f>IFERROR(100*COUNTIFS(Raw_Data!$AK$2:$AK$59,"&gt;=1",Raw_Data!$AK$2:$AK$59,"&lt;=2",Raw_Data!$A$2:$A$59,"Yes",Raw_Data!$D$2:$D$59,"โภชนาการ",Raw_Data!$E$2:$E$59,"สายสนับสนุนทางการแพทย์")/COUNTIFS(Raw_Data!$AK$2:$AK$59,"&gt;=1",Raw_Data!$AK$2:$AK$59,"&lt;=5",Raw_Data!$A$2:$A$59,"Yes",Raw_Data!$D$2:$D$59,"โภชนาการ",Raw_Data!$E$2:$E$59,"สายสนับสนุนทางการแพทย์"),"")</f>
        <v>100</v>
      </c>
      <c r="AQ34" s="54">
        <f>IFERROR(100*COUNTIFS(Raw_Data!$AK$2:$AK$59,"&gt;=1",Raw_Data!$AK$2:$AK$59,"&lt;=2",Raw_Data!$A$2:$A$59,"Yes",Raw_Data!$D$2:$D$59,"ห้องยา",Raw_Data!$E$2:$E$59,"สายสนับสนุนทางการแพทย์")/COUNTIFS(Raw_Data!$AK$2:$AK$59,"&gt;=1",Raw_Data!$AK$2:$AK$59,"&lt;=5",Raw_Data!$A$2:$A$59,"Yes",Raw_Data!$D$2:$D$59,"ห้องยา",Raw_Data!$E$2:$E$59,"สายสนับสนุนทางการแพทย์"),"")</f>
        <v>100</v>
      </c>
      <c r="AR34" s="54">
        <f>IFERROR(100*COUNTIFS(Raw_Data!$AK$2:$AK$59,"&gt;=1",Raw_Data!$AK$2:$AK$59,"&lt;=2",Raw_Data!$A$2:$A$59,"Yes",Raw_Data!$D$2:$D$59,"ห้องแลป",Raw_Data!$E$2:$E$59,"สายสนับสนุนทางการแพทย์")/COUNTIFS(Raw_Data!$AK$2:$AK$59,"&gt;=1",Raw_Data!$AK$2:$AK$59,"&lt;=5",Raw_Data!$A$2:$A$59,"Yes",Raw_Data!$D$2:$D$59,"ห้องแลป",Raw_Data!$E$2:$E$59,"สายสนับสนุนทางการแพทย์"),"")</f>
        <v>50</v>
      </c>
      <c r="AS34" s="54">
        <f>IFERROR(100*COUNTIFS(Raw_Data!$AK$2:$AK$59,"&gt;=1",Raw_Data!$AK$2:$AK$59,"&lt;=2",Raw_Data!$A$2:$A$59,"Yes",Raw_Data!$D$2:$D$59,"ห้องเอ็กซเรย์",Raw_Data!$E$2:$E$59,"สายสนับสนุนทางการแพทย์")/COUNTIFS(Raw_Data!$AK$2:$AK$59,"&gt;=1",Raw_Data!$AK$2:$AK$59,"&lt;=5",Raw_Data!$A$2:$A$59,"Yes",Raw_Data!$D$2:$D$59,"ห้องเอ็กซเรย์",Raw_Data!$E$2:$E$59,"สายสนับสนุนทางการแพทย์"),"")</f>
        <v>33.333333333333336</v>
      </c>
      <c r="AT34" s="54">
        <f>IFERROR(100*COUNTIFS(Raw_Data!$AK$2:$AK$59,"&gt;=1",Raw_Data!$AK$2:$AK$59,"&lt;=2",Raw_Data!$A$2:$A$59,"Yes",Raw_Data!$D$2:$D$59,"ERและเปล",Raw_Data!$E$2:$E$59,"สายสนับสนุนทางการแพทย์")/COUNTIFS(Raw_Data!$AK$2:$AK$59,"&gt;=1",Raw_Data!$AK$2:$AK$59,"&lt;=5",Raw_Data!$A$2:$A$59,"Yes",Raw_Data!$D$2:$D$59,"ERและเปล",Raw_Data!$E$2:$E$59,"สายสนับสนุนทางการแพทย์"),"")</f>
        <v>100</v>
      </c>
      <c r="AU34" s="54">
        <f>IFERROR(100*COUNTIFS(Raw_Data!$AK$2:$AK$59,"&gt;=1",Raw_Data!$AK$2:$AK$59,"&lt;=2",Raw_Data!$A$2:$A$59,"Yes",Raw_Data!$D$2:$D$59,"ICU",Raw_Data!$E$2:$E$59,"สายสนับสนุนทางการแพทย์")/COUNTIFS(Raw_Data!$AK$2:$AK$59,"&gt;=1",Raw_Data!$AK$2:$AK$59,"&lt;=5",Raw_Data!$A$2:$A$59,"Yes",Raw_Data!$D$2:$D$59,"ICU",Raw_Data!$E$2:$E$59,"สายสนับสนุนทางการแพทย์"),"")</f>
        <v>100</v>
      </c>
      <c r="AV34" s="54">
        <f>IFERROR(100*COUNTIFS(Raw_Data!$AK$2:$AK$59,"&gt;=1",Raw_Data!$AK$2:$AK$59,"&lt;=2",Raw_Data!$A$2:$A$59,"Yes",Raw_Data!$D$2:$D$59,"IPD",Raw_Data!$E$2:$E$59,"สายสนับสนุนทางการแพทย์")/COUNTIFS(Raw_Data!$AK$2:$AK$59,"&gt;=1",Raw_Data!$AK$2:$AK$59,"&lt;=5",Raw_Data!$A$2:$A$59,"Yes",Raw_Data!$D$2:$D$59,"IPD",Raw_Data!$E$2:$E$59,"สายสนับสนุนทางการแพทย์"),"")</f>
        <v>50</v>
      </c>
      <c r="AW34" s="54">
        <f>IFERROR(100*COUNTIFS(Raw_Data!$AK$2:$AK$59,"&gt;=1",Raw_Data!$AK$2:$AK$59,"&lt;=2",Raw_Data!$A$2:$A$59,"Yes",Raw_Data!$D$2:$D$59,"IT",Raw_Data!$E$2:$E$59,"สายสนับสนุนทางการแพทย์")/COUNTIFS(Raw_Data!$AK$2:$AK$59,"&gt;=1",Raw_Data!$AK$2:$AK$59,"&lt;=5",Raw_Data!$A$2:$A$59,"Yes",Raw_Data!$D$2:$D$59,"IT",Raw_Data!$E$2:$E$59,"สายสนับสนุนทางการแพทย์"),"")</f>
        <v>0</v>
      </c>
    </row>
    <row r="35" spans="1:49" ht="42" customHeight="1">
      <c r="A35" s="52"/>
      <c r="B35" s="53" t="s">
        <v>62</v>
      </c>
      <c r="C35" s="54">
        <f>IFERROR(100*COUNTIFS(Raw_Data!$AL$2:$AL$59,"&gt;=4",Raw_Data!$AL$2:$AL$59,"&lt;=5",Raw_Data!$A$2:$A$59,"Yes")/COUNTIFS(Raw_Data!$AL$2:$AL$59,"&gt;=1",Raw_Data!$AL$2:$AL$59,"&lt;=5",Raw_Data!$A$2:$A$59,"Yes"),"")</f>
        <v>55.172413793103445</v>
      </c>
      <c r="D35" s="54">
        <f>IFERROR(100*COUNTIFS(Raw_Data!$AL$2:$AL$59,"&gt;=4",Raw_Data!$AL$2:$AL$59,"&lt;=5",Raw_Data!$A$2:$A$59,"Yes",Raw_Data!$D$2:$D$59,"การเงิน")/COUNTIFS(Raw_Data!$AL$2:$AL$59,"&gt;=1",Raw_Data!$AL$2:$AL$59,"&lt;=5",Raw_Data!$A$2:$A$59,"Yes",Raw_Data!$D$2:$D$59,"การเงิน"),"")</f>
        <v>33.333333333333336</v>
      </c>
      <c r="E35" s="54">
        <f>IFERROR(100*COUNTIFS(Raw_Data!$AL$2:$AL$59,"&gt;=4",Raw_Data!$AL$2:$AL$59,"&lt;=5",Raw_Data!$A$2:$A$59,"Yes",Raw_Data!$D$2:$D$59,"เคหรักษ์")/COUNTIFS(Raw_Data!$AL$2:$AL$59,"&gt;=1",Raw_Data!$AL$2:$AL$59,"&lt;=5",Raw_Data!$A$2:$A$59,"Yes",Raw_Data!$D$2:$D$59,"เคหรักษ์"),"")</f>
        <v>50</v>
      </c>
      <c r="F35" s="54">
        <f>IFERROR(100*COUNTIFS(Raw_Data!$AL$2:$AL$59,"&gt;=4",Raw_Data!$AL$2:$AL$59,"&lt;=5",Raw_Data!$A$2:$A$59,"Yes",Raw_Data!$D$2:$D$59,"จ่ายกลาง")/COUNTIFS(Raw_Data!$AL$2:$AL$59,"&gt;=1",Raw_Data!$AL$2:$AL$59,"&lt;=5",Raw_Data!$A$2:$A$59,"Yes",Raw_Data!$D$2:$D$59,"จ่ายกลาง"),"")</f>
        <v>100</v>
      </c>
      <c r="G35" s="54">
        <f>IFERROR(100*COUNTIFS(Raw_Data!$AL$2:$AL$59,"&gt;=4",Raw_Data!$AL$2:$AL$59,"&lt;=5",Raw_Data!$A$2:$A$59,"Yes",Raw_Data!$D$2:$D$59,"ช่างและสนาม")/COUNTIFS(Raw_Data!$AL$2:$AL$59,"&gt;=1",Raw_Data!$AL$2:$AL$59,"&lt;=5",Raw_Data!$A$2:$A$59,"Yes",Raw_Data!$D$2:$D$59,"ช่างและสนาม"),"")</f>
        <v>50</v>
      </c>
      <c r="H35" s="54">
        <f>IFERROR(100*COUNTIFS(Raw_Data!$AL$2:$AL$59,"&gt;=4",Raw_Data!$AL$2:$AL$59,"&lt;=5",Raw_Data!$A$2:$A$59,"Yes",Raw_Data!$D$2:$D$59,"ผู้ป่วยสัมพันธ์")/COUNTIFS(Raw_Data!$AL$2:$AL$59,"&gt;=1",Raw_Data!$AL$2:$AL$59,"&lt;=5",Raw_Data!$A$2:$A$59,"Yes",Raw_Data!$D$2:$D$59,"ผู้ป่วยสัมพันธ์"),"")</f>
        <v>50</v>
      </c>
      <c r="I35" s="54">
        <f>IFERROR(100*COUNTIFS(Raw_Data!$AL$2:$AL$59,"&gt;=4",Raw_Data!$AL$2:$AL$59,"&lt;=5",Raw_Data!$A$2:$A$59,"Yes",Raw_Data!$D$2:$D$59,"ฝ่ายการพยาบาล")/COUNTIFS(Raw_Data!$AL$2:$AL$59,"&gt;=1",Raw_Data!$AL$2:$AL$59,"&lt;=5",Raw_Data!$A$2:$A$59,"Yes",Raw_Data!$D$2:$D$59,"ฝ่ายการพยาบาล"),"")</f>
        <v>50</v>
      </c>
      <c r="J35" s="54">
        <f>IFERROR(100*COUNTIFS(Raw_Data!$AL$2:$AL$59,"&gt;=4",Raw_Data!$AL$2:$AL$59,"&lt;=5",Raw_Data!$A$2:$A$59,"Yes",Raw_Data!$D$2:$D$59,"โภชนาการ")/COUNTIFS(Raw_Data!$AL$2:$AL$59,"&gt;=1",Raw_Data!$AL$2:$AL$59,"&lt;=5",Raw_Data!$A$2:$A$59,"Yes",Raw_Data!$D$2:$D$59,"โภชนาการ"),"")</f>
        <v>100</v>
      </c>
      <c r="K35" s="54">
        <f>IFERROR(100*COUNTIFS(Raw_Data!$AL$2:$AL$59,"&gt;=4",Raw_Data!$AL$2:$AL$59,"&lt;=5",Raw_Data!$A$2:$A$59,"Yes",Raw_Data!$D$2:$D$59,"ยานพาหนะ")/COUNTIFS(Raw_Data!$AL$2:$AL$59,"&gt;=1",Raw_Data!$AL$2:$AL$59,"&lt;=5",Raw_Data!$A$2:$A$59,"Yes",Raw_Data!$D$2:$D$59,"ยานพาหนะ"),"")</f>
        <v>100</v>
      </c>
      <c r="L35" s="54">
        <f>IFERROR(100*COUNTIFS(Raw_Data!$AL$2:$AL$59,"&gt;=4",Raw_Data!$AL$2:$AL$59,"&lt;=5",Raw_Data!$A$2:$A$59,"Yes",Raw_Data!$D$2:$D$59,"สื่อสารการตลาด")/COUNTIFS(Raw_Data!$AL$2:$AL$59,"&gt;=1",Raw_Data!$AL$2:$AL$59,"&lt;=5",Raw_Data!$A$2:$A$59,"Yes",Raw_Data!$D$2:$D$59,"สื่อสารการตลาด"),"")</f>
        <v>100</v>
      </c>
      <c r="M35" s="54">
        <f>IFERROR(100*COUNTIFS(Raw_Data!$AL$2:$AL$59,"&gt;=4",Raw_Data!$AL$2:$AL$59,"&lt;=5",Raw_Data!$A$2:$A$59,"Yes",Raw_Data!$D$2:$D$59,"ห้องยา")/COUNTIFS(Raw_Data!$AL$2:$AL$59,"&gt;=1",Raw_Data!$AL$2:$AL$59,"&lt;=5",Raw_Data!$A$2:$A$59,"Yes",Raw_Data!$D$2:$D$59,"ห้องยา"),"")</f>
        <v>83.333333333333329</v>
      </c>
      <c r="N35" s="54">
        <f>IFERROR(100*COUNTIFS(Raw_Data!$AL$2:$AL$59,"&gt;=4",Raw_Data!$AL$2:$AL$59,"&lt;=5",Raw_Data!$A$2:$A$59,"Yes",Raw_Data!$D$2:$D$59,"ห้องแลป")/COUNTIFS(Raw_Data!$AL$2:$AL$59,"&gt;=1",Raw_Data!$AL$2:$AL$59,"&lt;=5",Raw_Data!$A$2:$A$59,"Yes",Raw_Data!$D$2:$D$59,"ห้องแลป"),"")</f>
        <v>0</v>
      </c>
      <c r="O35" s="54">
        <f>IFERROR(100*COUNTIFS(Raw_Data!$AL$2:$AL$59,"&gt;=4",Raw_Data!$AL$2:$AL$59,"&lt;=5",Raw_Data!$A$2:$A$59,"Yes",Raw_Data!$D$2:$D$59,"ห้องเอ็กซเรย์")/COUNTIFS(Raw_Data!$AL$2:$AL$59,"&gt;=1",Raw_Data!$AL$2:$AL$59,"&lt;=5",Raw_Data!$A$2:$A$59,"Yes",Raw_Data!$D$2:$D$59,"ห้องเอ็กซเรย์"),"")</f>
        <v>66.666666666666671</v>
      </c>
      <c r="P35" s="54">
        <f>IFERROR(100*COUNTIFS(Raw_Data!$AL$2:$AL$59,"&gt;=4",Raw_Data!$AL$2:$AL$59,"&lt;=5",Raw_Data!$A$2:$A$59,"Yes",Raw_Data!$D$2:$D$59,"ERและเปล")/COUNTIFS(Raw_Data!$AL$2:$AL$59,"&gt;=1",Raw_Data!$AL$2:$AL$59,"&lt;=5",Raw_Data!$A$2:$A$59,"Yes",Raw_Data!$D$2:$D$59,"ERและเปล"),"")</f>
        <v>45.454545454545453</v>
      </c>
      <c r="Q35" s="54">
        <f>IFERROR(100*COUNTIFS(Raw_Data!$AL$2:$AL$59,"&gt;=4",Raw_Data!$AL$2:$AL$59,"&lt;=5",Raw_Data!$A$2:$A$59,"Yes",Raw_Data!$D$2:$D$59,"HR")/COUNTIFS(Raw_Data!$AL$2:$AL$59,"&gt;=1",Raw_Data!$AL$2:$AL$59,"&lt;=5",Raw_Data!$A$2:$A$59,"Yes",Raw_Data!$D$2:$D$59,"HR"),"")</f>
        <v>100</v>
      </c>
      <c r="R35" s="54">
        <f>IFERROR(100*COUNTIFS(Raw_Data!$AL$2:$AL$59,"&gt;=4",Raw_Data!$AL$2:$AL$59,"&lt;=5",Raw_Data!$A$2:$A$59,"Yes",Raw_Data!$D$2:$D$59,"ICU")/COUNTIFS(Raw_Data!$AL$2:$AL$59,"&gt;=1",Raw_Data!$AL$2:$AL$59,"&lt;=5",Raw_Data!$A$2:$A$59,"Yes",Raw_Data!$D$2:$D$59,"ICU"),"")</f>
        <v>50</v>
      </c>
      <c r="S35" s="54">
        <f>IFERROR(100*COUNTIFS(Raw_Data!$AL$2:$AL$59,"&gt;=4",Raw_Data!$AL$2:$AL$59,"&lt;=5",Raw_Data!$A$2:$A$59,"Yes",Raw_Data!$D$2:$D$59,"IPD")/COUNTIFS(Raw_Data!$AL$2:$AL$59,"&gt;=1",Raw_Data!$AL$2:$AL$59,"&lt;=5",Raw_Data!$A$2:$A$59,"Yes",Raw_Data!$D$2:$D$59,"IPD"),"")</f>
        <v>66.666666666666671</v>
      </c>
      <c r="T35" s="54">
        <f>IFERROR(100*COUNTIFS(Raw_Data!$AL$2:$AL$59,"&gt;=4",Raw_Data!$AL$2:$AL$59,"&lt;=5",Raw_Data!$A$2:$A$59,"Yes",Raw_Data!$D$2:$D$59,"IT")/COUNTIFS(Raw_Data!$AL$2:$AL$59,"&gt;=1",Raw_Data!$AL$2:$AL$59,"&lt;=5",Raw_Data!$A$2:$A$59,"Yes",Raw_Data!$D$2:$D$59,"IT"),"")</f>
        <v>50</v>
      </c>
      <c r="U35" s="54">
        <f>IFERROR(100*COUNTIFS(Raw_Data!$AL$2:$AL$59,"&gt;=4",Raw_Data!$AL$2:$AL$59,"&lt;=5",Raw_Data!$A$2:$A$59,"Yes",Raw_Data!$D$2:$D$59,"OR")/COUNTIFS(Raw_Data!$AL$2:$AL$59,"&gt;=1",Raw_Data!$AL$2:$AL$59,"&lt;=5",Raw_Data!$A$2:$A$59,"Yes",Raw_Data!$D$2:$D$59,"OR"),"")</f>
        <v>25</v>
      </c>
      <c r="V35" s="54">
        <f>IFERROR(100*COUNTIFS(Raw_Data!$AL$2:$AL$59,"&gt;=4",Raw_Data!$AL$2:$AL$59,"&lt;=5",Raw_Data!$A$2:$A$59,"Yes",Raw_Data!$D$2:$D$59,"IPD",Raw_Data!$E$2:$E$59,"ผู้บริหาร")/COUNTIFS(Raw_Data!$AL$2:$AL$59,"&gt;=1",Raw_Data!$AL$2:$AL$59,"&lt;=5",Raw_Data!$A$2:$A$59,"Yes",Raw_Data!$D$2:$D$59,"IPD",Raw_Data!$E$2:$E$59,"ผู้บริหาร"),"")</f>
        <v>100</v>
      </c>
      <c r="W35" s="54">
        <f>IFERROR(100*COUNTIFS(Raw_Data!$AL$2:$AL$59,"&gt;=4",Raw_Data!$AL$2:$AL$59,"&lt;=5",Raw_Data!$A$2:$A$59,"Yes",Raw_Data!$D$2:$D$59,"ฝ่ายการพยาบาล",Raw_Data!$E$2:$E$59,"สายวิชาชีพสาธารณสุข")/COUNTIFS(Raw_Data!$AL$2:$AL$59,"&gt;=1",Raw_Data!$AL$2:$AL$59,"&lt;=5",Raw_Data!$A$2:$A$59,"Yes",Raw_Data!$D$2:$D$59,"ฝ่ายการพยาบาล",Raw_Data!$E$2:$E$59,"สายวิชาชีพสาธารณสุข"),"")</f>
        <v>0</v>
      </c>
      <c r="X35" s="54">
        <f>IFERROR(100*COUNTIFS(Raw_Data!$AL$2:$AL$59,"&gt;=4",Raw_Data!$AL$2:$AL$59,"&lt;=5",Raw_Data!$A$2:$A$59,"Yes",Raw_Data!$D$2:$D$59,"ERและเปล",Raw_Data!$E$2:$E$59,"สายวิชาชีพสาธารณสุข")/COUNTIFS(Raw_Data!$AL$2:$AL$59,"&gt;=1",Raw_Data!$AL$2:$AL$59,"&lt;=5",Raw_Data!$A$2:$A$59,"Yes",Raw_Data!$D$2:$D$59,"ERและเปล",Raw_Data!$E$2:$E$59,"สายวิชาชีพสาธารณสุข"),"")</f>
        <v>57.142857142857146</v>
      </c>
      <c r="Y35" s="54">
        <f>IFERROR(100*COUNTIFS(Raw_Data!$AL$2:$AL$59,"&gt;=4",Raw_Data!$AL$2:$AL$59,"&lt;=5",Raw_Data!$A$2:$A$59,"Yes",Raw_Data!$D$2:$D$59,"ICU",Raw_Data!$E$2:$E$59,"สายวิชาชีพสาธารณสุข")/COUNTIFS(Raw_Data!$AL$2:$AL$59,"&gt;=1",Raw_Data!$AL$2:$AL$59,"&lt;=5",Raw_Data!$A$2:$A$59,"Yes",Raw_Data!$D$2:$D$59,"ICU",Raw_Data!$E$2:$E$59,"สายวิชาชีพสาธารณสุข"),"")</f>
        <v>50</v>
      </c>
      <c r="Z35" s="54">
        <f>IFERROR(100*COUNTIFS(Raw_Data!$AL$2:$AL$59,"&gt;=4",Raw_Data!$AL$2:$AL$59,"&lt;=5",Raw_Data!$A$2:$A$59,"Yes",Raw_Data!$D$2:$D$59,"IPD",Raw_Data!$E$2:$E$59,"สายวิชาชีพสาธารณสุข")/COUNTIFS(Raw_Data!$AL$2:$AL$59,"&gt;=1",Raw_Data!$AL$2:$AL$59,"&lt;=5",Raw_Data!$A$2:$A$59,"Yes",Raw_Data!$D$2:$D$59,"IPD",Raw_Data!$E$2:$E$59,"สายวิชาชีพสาธารณสุข"),"")</f>
        <v>100</v>
      </c>
      <c r="AA35" s="54">
        <f>IFERROR(100*COUNTIFS(Raw_Data!$AL$2:$AL$59,"&gt;=4",Raw_Data!$AL$2:$AL$59,"&lt;=5",Raw_Data!$A$2:$A$59,"Yes",Raw_Data!$D$2:$D$59,"OR",Raw_Data!$E$2:$E$59,"สายวิชาชีพสาธารณสุข")/COUNTIFS(Raw_Data!$AL$2:$AL$59,"&gt;=1",Raw_Data!$AL$2:$AL$59,"&lt;=5",Raw_Data!$A$2:$A$59,"Yes",Raw_Data!$D$2:$D$59,"OR",Raw_Data!$E$2:$E$59,"สายวิชาชีพสาธารณสุข"),"")</f>
        <v>25</v>
      </c>
      <c r="AB35" s="54">
        <f>IFERROR(100*COUNTIFS(Raw_Data!$AL$2:$AL$59,"&gt;=4",Raw_Data!$AL$2:$AL$59,"&lt;=5",Raw_Data!$A$2:$A$59,"Yes",Raw_Data!$D$2:$D$59,"การเงิน",Raw_Data!$E$2:$E$59,"สายสนับสนุนทั่วไป")/COUNTIFS(Raw_Data!$AL$2:$AL$59,"&gt;=1",Raw_Data!$AL$2:$AL$59,"&lt;=5",Raw_Data!$A$2:$A$59,"Yes",Raw_Data!$D$2:$D$59,"การเงิน",Raw_Data!$E$2:$E$59,"สายสนับสนุนทั่วไป"),"")</f>
        <v>33.333333333333336</v>
      </c>
      <c r="AC35" s="54">
        <f>IFERROR(100*COUNTIFS(Raw_Data!$AL$2:$AL$59,"&gt;=4",Raw_Data!$AL$2:$AL$59,"&lt;=5",Raw_Data!$A$2:$A$59,"Yes",Raw_Data!$D$2:$D$59,"เคหรักษ์",Raw_Data!$E$2:$E$59,"สายสนับสนุนทั่วไป")/COUNTIFS(Raw_Data!$AL$2:$AL$59,"&gt;=1",Raw_Data!$AL$2:$AL$59,"&lt;=5",Raw_Data!$A$2:$A$59,"Yes",Raw_Data!$D$2:$D$59,"เคหรักษ์",Raw_Data!$E$2:$E$59,"สายสนับสนุนทั่วไป"),"")</f>
        <v>50</v>
      </c>
      <c r="AD35" s="54">
        <f>IFERROR(100*COUNTIFS(Raw_Data!$AL$2:$AL$59,"&gt;=4",Raw_Data!$AL$2:$AL$59,"&lt;=5",Raw_Data!$A$2:$A$59,"Yes",Raw_Data!$D$2:$D$59,"จ่ายกลาง",Raw_Data!$E$2:$E$59,"สายสนับสนุนทั่วไป")/COUNTIFS(Raw_Data!$AL$2:$AL$59,"&gt;=1",Raw_Data!$AL$2:$AL$59,"&lt;=5",Raw_Data!$A$2:$A$59,"Yes",Raw_Data!$D$2:$D$59,"จ่ายกลาง",Raw_Data!$E$2:$E$59,"สายสนับสนุนทั่วไป"),"")</f>
        <v>100</v>
      </c>
      <c r="AE35" s="54">
        <f>IFERROR(100*COUNTIFS(Raw_Data!$AL$2:$AL$59,"&gt;=4",Raw_Data!$AL$2:$AL$59,"&lt;=5",Raw_Data!$A$2:$A$59,"Yes",Raw_Data!$D$2:$D$59,"ช่างและสนาม",Raw_Data!$E$2:$E$59,"สายสนับสนุนทั่วไป")/COUNTIFS(Raw_Data!$AL$2:$AL$59,"&gt;=1",Raw_Data!$AL$2:$AL$59,"&lt;=5",Raw_Data!$A$2:$A$59,"Yes",Raw_Data!$D$2:$D$59,"ช่างและสนาม",Raw_Data!$E$2:$E$59,"สายสนับสนุนทั่วไป"),"")</f>
        <v>50</v>
      </c>
      <c r="AF35" s="54">
        <f>IFERROR(100*COUNTIFS(Raw_Data!$AL$2:$AL$59,"&gt;=4",Raw_Data!$AL$2:$AL$59,"&lt;=5",Raw_Data!$A$2:$A$59,"Yes",Raw_Data!$D$2:$D$59,"ผู้ป่วยสัมพันธ์",Raw_Data!$E$2:$E$59,"สายสนับสนุนทั่วไป")/COUNTIFS(Raw_Data!$AL$2:$AL$59,"&gt;=1",Raw_Data!$AL$2:$AL$59,"&lt;=5",Raw_Data!$A$2:$A$59,"Yes",Raw_Data!$D$2:$D$59,"ผู้ป่วยสัมพันธ์",Raw_Data!$E$2:$E$59,"สายสนับสนุนทั่วไป"),"")</f>
        <v>0</v>
      </c>
      <c r="AG35" s="54">
        <f>IFERROR(100*COUNTIFS(Raw_Data!$AL$2:$AL$59,"&gt;=4",Raw_Data!$AL$2:$AL$59,"&lt;=5",Raw_Data!$A$2:$A$59,"Yes",Raw_Data!$D$2:$D$59,"ยานพาหนะ",Raw_Data!$E$2:$E$59,"สายสนับสนุนทั่วไป")/COUNTIFS(Raw_Data!$AL$2:$AL$59,"&gt;=1",Raw_Data!$AL$2:$AL$59,"&lt;=5",Raw_Data!$A$2:$A$59,"Yes",Raw_Data!$D$2:$D$59,"ยานพาหนะ",Raw_Data!$E$2:$E$59,"สายสนับสนุนทั่วไป"),"")</f>
        <v>100</v>
      </c>
      <c r="AH35" s="54">
        <f>IFERROR(100*COUNTIFS(Raw_Data!$AL$2:$AL$59,"&gt;=4",Raw_Data!$AL$2:$AL$59,"&lt;=5",Raw_Data!$A$2:$A$59,"Yes",Raw_Data!$D$2:$D$59,"สื่อสารการตลาด",Raw_Data!$E$2:$E$59,"สายสนับสนุนทั่วไป")/COUNTIFS(Raw_Data!$AL$2:$AL$59,"&gt;=1",Raw_Data!$AL$2:$AL$59,"&lt;=5",Raw_Data!$A$2:$A$59,"Yes",Raw_Data!$D$2:$D$59,"สื่อสารการตลาด",Raw_Data!$E$2:$E$59,"สายสนับสนุนทั่วไป"),"")</f>
        <v>100</v>
      </c>
      <c r="AI35" s="54">
        <f>IFERROR(100*COUNTIFS(Raw_Data!$AL$2:$AL$59,"&gt;=4",Raw_Data!$AL$2:$AL$59,"&lt;=5",Raw_Data!$A$2:$A$59,"Yes",Raw_Data!$D$2:$D$59,"ERและเปล",Raw_Data!$E$2:$E$59,"สายสนับสนุนทั่วไป")/COUNTIFS(Raw_Data!$AL$2:$AL$59,"&gt;=1",Raw_Data!$AL$2:$AL$59,"&lt;=5",Raw_Data!$A$2:$A$59,"Yes",Raw_Data!$D$2:$D$59,"ERและเปล",Raw_Data!$E$2:$E$59,"สายสนับสนุนทั่วไป"),"")</f>
        <v>33.333333333333336</v>
      </c>
      <c r="AJ35" s="54">
        <f>IFERROR(100*COUNTIFS(Raw_Data!$AL$2:$AL$59,"&gt;=4",Raw_Data!$AL$2:$AL$59,"&lt;=5",Raw_Data!$A$2:$A$59,"Yes",Raw_Data!$D$2:$D$59,"HR",Raw_Data!$E$2:$E$59,"สายสนับสนุนทั่วไป")/COUNTIFS(Raw_Data!$AL$2:$AL$59,"&gt;=1",Raw_Data!$AL$2:$AL$59,"&lt;=5",Raw_Data!$A$2:$A$59,"Yes",Raw_Data!$D$2:$D$59,"HR",Raw_Data!$E$2:$E$59,"สายสนับสนุนทั่วไป"),"")</f>
        <v>100</v>
      </c>
      <c r="AK35" s="54">
        <f>IFERROR(100*COUNTIFS(Raw_Data!$AL$2:$AL$59,"&gt;=4",Raw_Data!$AL$2:$AL$59,"&lt;=5",Raw_Data!$A$2:$A$59,"Yes",Raw_Data!$D$2:$D$59,"ICU",Raw_Data!$E$2:$E$59,"สายสนับสนุนทั่วไป")/COUNTIFS(Raw_Data!$AL$2:$AL$59,"&gt;=1",Raw_Data!$AL$2:$AL$59,"&lt;=5",Raw_Data!$A$2:$A$59,"Yes",Raw_Data!$D$2:$D$59,"ICU",Raw_Data!$E$2:$E$59,"สายสนับสนุนทั่วไป"),"")</f>
        <v>0</v>
      </c>
      <c r="AL35" s="54">
        <f>IFERROR(100*COUNTIFS(Raw_Data!$AL$2:$AL$59,"&gt;=4",Raw_Data!$AL$2:$AL$59,"&lt;=5",Raw_Data!$A$2:$A$59,"Yes",Raw_Data!$D$2:$D$59,"IPD",Raw_Data!$E$2:$E$59,"สายสนับสนุนทั่วไป")/COUNTIFS(Raw_Data!$AL$2:$AL$59,"&gt;=1",Raw_Data!$AL$2:$AL$59,"&lt;=5",Raw_Data!$A$2:$A$59,"Yes",Raw_Data!$D$2:$D$59,"IPD",Raw_Data!$E$2:$E$59,"สายสนับสนุนทั่วไป"),"")</f>
        <v>0</v>
      </c>
      <c r="AM35" s="54">
        <f>IFERROR(100*COUNTIFS(Raw_Data!$AL$2:$AL$59,"&gt;=4",Raw_Data!$AL$2:$AL$59,"&lt;=5",Raw_Data!$A$2:$A$59,"Yes",Raw_Data!$D$2:$D$59,"IT",Raw_Data!$E$2:$E$59,"สายสนับสนุนทั่วไป")/COUNTIFS(Raw_Data!$AL$2:$AL$59,"&gt;=1",Raw_Data!$AL$2:$AL$59,"&lt;=5",Raw_Data!$A$2:$A$59,"Yes",Raw_Data!$D$2:$D$59,"IT",Raw_Data!$E$2:$E$59,"สายสนับสนุนทั่วไป"),"")</f>
        <v>100</v>
      </c>
      <c r="AN35" s="54">
        <f>IFERROR(100*COUNTIFS(Raw_Data!$AL$2:$AL$59,"&gt;=4",Raw_Data!$AL$2:$AL$59,"&lt;=5",Raw_Data!$A$2:$A$59,"Yes",Raw_Data!$D$2:$D$59,"ผู้ป่วยสัมพันธ์",Raw_Data!$E$2:$E$59,"สายสนับสนุนทางการแพทย์")/COUNTIFS(Raw_Data!$AL$2:$AL$59,"&gt;=1",Raw_Data!$AL$2:$AL$59,"&lt;=5",Raw_Data!$A$2:$A$59,"Yes",Raw_Data!$D$2:$D$59,"ผู้ป่วยสัมพันธ์",Raw_Data!$E$2:$E$59,"สายสนับสนุนทางการแพทย์"),"")</f>
        <v>66.666666666666671</v>
      </c>
      <c r="AO35" s="54">
        <f>IFERROR(100*COUNTIFS(Raw_Data!$AL$2:$AL$59,"&gt;=4",Raw_Data!$AL$2:$AL$59,"&lt;=5",Raw_Data!$A$2:$A$59,"Yes",Raw_Data!$D$2:$D$59,"ฝ่ายการพยาบาล",Raw_Data!$E$2:$E$59,"สายสนับสนุนทางการแพทย์")/COUNTIFS(Raw_Data!$AL$2:$AL$59,"&gt;=1",Raw_Data!$AL$2:$AL$59,"&lt;=5",Raw_Data!$A$2:$A$59,"Yes",Raw_Data!$D$2:$D$59,"ฝ่ายการพยาบาล",Raw_Data!$E$2:$E$59,"สายสนับสนุนทางการแพทย์"),"")</f>
        <v>100</v>
      </c>
      <c r="AP35" s="54">
        <f>IFERROR(100*COUNTIFS(Raw_Data!$AL$2:$AL$59,"&gt;=4",Raw_Data!$AL$2:$AL$59,"&lt;=5",Raw_Data!$A$2:$A$59,"Yes",Raw_Data!$D$2:$D$59,"โภชนาการ",Raw_Data!$E$2:$E$59,"สายสนับสนุนทางการแพทย์")/COUNTIFS(Raw_Data!$AL$2:$AL$59,"&gt;=1",Raw_Data!$AL$2:$AL$59,"&lt;=5",Raw_Data!$A$2:$A$59,"Yes",Raw_Data!$D$2:$D$59,"โภชนาการ",Raw_Data!$E$2:$E$59,"สายสนับสนุนทางการแพทย์"),"")</f>
        <v>100</v>
      </c>
      <c r="AQ35" s="54">
        <f>IFERROR(100*COUNTIFS(Raw_Data!$AL$2:$AL$59,"&gt;=4",Raw_Data!$AL$2:$AL$59,"&lt;=5",Raw_Data!$A$2:$A$59,"Yes",Raw_Data!$D$2:$D$59,"ห้องยา",Raw_Data!$E$2:$E$59,"สายสนับสนุนทางการแพทย์")/COUNTIFS(Raw_Data!$AL$2:$AL$59,"&gt;=1",Raw_Data!$AL$2:$AL$59,"&lt;=5",Raw_Data!$A$2:$A$59,"Yes",Raw_Data!$D$2:$D$59,"ห้องยา",Raw_Data!$E$2:$E$59,"สายสนับสนุนทางการแพทย์"),"")</f>
        <v>83.333333333333329</v>
      </c>
      <c r="AR35" s="54">
        <f>IFERROR(100*COUNTIFS(Raw_Data!$AL$2:$AL$59,"&gt;=4",Raw_Data!$AL$2:$AL$59,"&lt;=5",Raw_Data!$A$2:$A$59,"Yes",Raw_Data!$D$2:$D$59,"ห้องแลป",Raw_Data!$E$2:$E$59,"สายสนับสนุนทางการแพทย์")/COUNTIFS(Raw_Data!$AL$2:$AL$59,"&gt;=1",Raw_Data!$AL$2:$AL$59,"&lt;=5",Raw_Data!$A$2:$A$59,"Yes",Raw_Data!$D$2:$D$59,"ห้องแลป",Raw_Data!$E$2:$E$59,"สายสนับสนุนทางการแพทย์"),"")</f>
        <v>0</v>
      </c>
      <c r="AS35" s="54">
        <f>IFERROR(100*COUNTIFS(Raw_Data!$AL$2:$AL$59,"&gt;=4",Raw_Data!$AL$2:$AL$59,"&lt;=5",Raw_Data!$A$2:$A$59,"Yes",Raw_Data!$D$2:$D$59,"ห้องเอ็กซเรย์",Raw_Data!$E$2:$E$59,"สายสนับสนุนทางการแพทย์")/COUNTIFS(Raw_Data!$AL$2:$AL$59,"&gt;=1",Raw_Data!$AL$2:$AL$59,"&lt;=5",Raw_Data!$A$2:$A$59,"Yes",Raw_Data!$D$2:$D$59,"ห้องเอ็กซเรย์",Raw_Data!$E$2:$E$59,"สายสนับสนุนทางการแพทย์"),"")</f>
        <v>66.666666666666671</v>
      </c>
      <c r="AT35" s="54">
        <f>IFERROR(100*COUNTIFS(Raw_Data!$AL$2:$AL$59,"&gt;=4",Raw_Data!$AL$2:$AL$59,"&lt;=5",Raw_Data!$A$2:$A$59,"Yes",Raw_Data!$D$2:$D$59,"ERและเปล",Raw_Data!$E$2:$E$59,"สายสนับสนุนทางการแพทย์")/COUNTIFS(Raw_Data!$AL$2:$AL$59,"&gt;=1",Raw_Data!$AL$2:$AL$59,"&lt;=5",Raw_Data!$A$2:$A$59,"Yes",Raw_Data!$D$2:$D$59,"ERและเปล",Raw_Data!$E$2:$E$59,"สายสนับสนุนทางการแพทย์"),"")</f>
        <v>0</v>
      </c>
      <c r="AU35" s="54">
        <f>IFERROR(100*COUNTIFS(Raw_Data!$AL$2:$AL$59,"&gt;=4",Raw_Data!$AL$2:$AL$59,"&lt;=5",Raw_Data!$A$2:$A$59,"Yes",Raw_Data!$D$2:$D$59,"ICU",Raw_Data!$E$2:$E$59,"สายสนับสนุนทางการแพทย์")/COUNTIFS(Raw_Data!$AL$2:$AL$59,"&gt;=1",Raw_Data!$AL$2:$AL$59,"&lt;=5",Raw_Data!$A$2:$A$59,"Yes",Raw_Data!$D$2:$D$59,"ICU",Raw_Data!$E$2:$E$59,"สายสนับสนุนทางการแพทย์"),"")</f>
        <v>100</v>
      </c>
      <c r="AV35" s="54">
        <f>IFERROR(100*COUNTIFS(Raw_Data!$AL$2:$AL$59,"&gt;=4",Raw_Data!$AL$2:$AL$59,"&lt;=5",Raw_Data!$A$2:$A$59,"Yes",Raw_Data!$D$2:$D$59,"IPD",Raw_Data!$E$2:$E$59,"สายสนับสนุนทางการแพทย์")/COUNTIFS(Raw_Data!$AL$2:$AL$59,"&gt;=1",Raw_Data!$AL$2:$AL$59,"&lt;=5",Raw_Data!$A$2:$A$59,"Yes",Raw_Data!$D$2:$D$59,"IPD",Raw_Data!$E$2:$E$59,"สายสนับสนุนทางการแพทย์"),"")</f>
        <v>50</v>
      </c>
      <c r="AW35" s="54">
        <f>IFERROR(100*COUNTIFS(Raw_Data!$AL$2:$AL$59,"&gt;=4",Raw_Data!$AL$2:$AL$59,"&lt;=5",Raw_Data!$A$2:$A$59,"Yes",Raw_Data!$D$2:$D$59,"IT",Raw_Data!$E$2:$E$59,"สายสนับสนุนทางการแพทย์")/COUNTIFS(Raw_Data!$AL$2:$AL$59,"&gt;=1",Raw_Data!$AL$2:$AL$59,"&lt;=5",Raw_Data!$A$2:$A$59,"Yes",Raw_Data!$D$2:$D$59,"IT",Raw_Data!$E$2:$E$59,"สายสนับสนุนทางการแพทย์"),"")</f>
        <v>0</v>
      </c>
    </row>
  </sheetData>
  <mergeCells count="11">
    <mergeCell ref="W1:AA1"/>
    <mergeCell ref="W2:AA2"/>
    <mergeCell ref="AB1:AM1"/>
    <mergeCell ref="AB2:AM2"/>
    <mergeCell ref="AN1:AW1"/>
    <mergeCell ref="AN2:AW2"/>
    <mergeCell ref="A1:A3"/>
    <mergeCell ref="B1:B3"/>
    <mergeCell ref="C1:C3"/>
    <mergeCell ref="D1:U1"/>
    <mergeCell ref="D2:U2"/>
  </mergeCells>
  <conditionalFormatting sqref="C4:AW35">
    <cfRule type="expression" dxfId="3" priority="1">
      <formula>AND(ISNUMBER(C4),C4&lt;60)</formula>
    </cfRule>
    <cfRule type="expression" dxfId="2" priority="2">
      <formula>AND(ISNUMBER(C4),C4&gt;=60,C4&lt;=70)</formula>
    </cfRule>
    <cfRule type="expression" dxfId="1" priority="3">
      <formula>AND(ISNUMBER(C4),C4&gt;70,C4&lt;=80)</formula>
    </cfRule>
    <cfRule type="expression" dxfId="0" priority="4">
      <formula>AND(ISNUMBER(C4),C4&gt;80)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3.8"/>
  <cols>
    <col min="1" max="1" width="30" customWidth="1"/>
    <col min="2" max="2" width="20" customWidth="1"/>
    <col min="3" max="3" width="24" customWidth="1"/>
    <col min="4" max="4" width="85" customWidth="1"/>
  </cols>
  <sheetData>
    <row r="1" spans="1:4" ht="34.049999999999997" customHeight="1">
      <c r="A1" s="83" t="s">
        <v>223</v>
      </c>
      <c r="B1" s="83"/>
      <c r="C1" s="83"/>
      <c r="D1" s="83"/>
    </row>
    <row r="3" spans="1:4">
      <c r="A3" s="69" t="s">
        <v>224</v>
      </c>
      <c r="B3" s="69" t="s">
        <v>3</v>
      </c>
      <c r="C3" s="69" t="s">
        <v>6</v>
      </c>
      <c r="D3" s="69" t="s">
        <v>225</v>
      </c>
    </row>
    <row r="4" spans="1:4" ht="34.049999999999997" customHeight="1">
      <c r="A4" s="70" t="s">
        <v>226</v>
      </c>
      <c r="B4" s="71" t="s">
        <v>227</v>
      </c>
      <c r="C4" s="71" t="s">
        <v>228</v>
      </c>
      <c r="D4" s="72" t="s">
        <v>229</v>
      </c>
    </row>
    <row r="5" spans="1:4" ht="34.049999999999997" customHeight="1">
      <c r="A5" s="73" t="s">
        <v>230</v>
      </c>
      <c r="B5" s="74">
        <v>58</v>
      </c>
      <c r="C5" s="74" t="s">
        <v>224</v>
      </c>
      <c r="D5" s="75" t="s">
        <v>231</v>
      </c>
    </row>
    <row r="6" spans="1:4" ht="34.049999999999997" customHeight="1">
      <c r="A6" s="73" t="s">
        <v>232</v>
      </c>
      <c r="B6" s="74">
        <v>58</v>
      </c>
      <c r="C6" s="74" t="s">
        <v>224</v>
      </c>
      <c r="D6" s="75" t="s">
        <v>233</v>
      </c>
    </row>
    <row r="7" spans="1:4" ht="34.049999999999997" customHeight="1">
      <c r="A7" s="73" t="s">
        <v>11</v>
      </c>
      <c r="B7" s="74">
        <v>0</v>
      </c>
      <c r="C7" s="74" t="s">
        <v>224</v>
      </c>
      <c r="D7" s="75" t="s">
        <v>234</v>
      </c>
    </row>
    <row r="8" spans="1:4" ht="34.049999999999997" customHeight="1">
      <c r="A8" s="73" t="s">
        <v>235</v>
      </c>
      <c r="B8" s="74">
        <v>0</v>
      </c>
      <c r="C8" s="74" t="s">
        <v>224</v>
      </c>
      <c r="D8" s="75" t="s">
        <v>236</v>
      </c>
    </row>
    <row r="9" spans="1:4" ht="34.049999999999997" customHeight="1">
      <c r="A9" s="73" t="s">
        <v>237</v>
      </c>
      <c r="B9" s="74">
        <v>0</v>
      </c>
      <c r="C9" s="74" t="s">
        <v>224</v>
      </c>
      <c r="D9" s="75" t="s">
        <v>238</v>
      </c>
    </row>
    <row r="10" spans="1:4" ht="34.049999999999997" customHeight="1">
      <c r="A10" s="73" t="s">
        <v>239</v>
      </c>
      <c r="B10" s="74">
        <v>0</v>
      </c>
      <c r="C10" s="74" t="s">
        <v>224</v>
      </c>
      <c r="D10" s="75" t="s">
        <v>240</v>
      </c>
    </row>
    <row r="11" spans="1:4" ht="34.049999999999997" customHeight="1">
      <c r="A11" s="73" t="s">
        <v>132</v>
      </c>
      <c r="B11" s="74">
        <v>58</v>
      </c>
      <c r="C11" s="74" t="s">
        <v>241</v>
      </c>
      <c r="D11" s="75" t="s">
        <v>242</v>
      </c>
    </row>
    <row r="12" spans="1:4" ht="34.049999999999997" customHeight="1">
      <c r="A12" s="73" t="s">
        <v>243</v>
      </c>
      <c r="B12" s="74">
        <v>55</v>
      </c>
      <c r="C12" s="74" t="s">
        <v>228</v>
      </c>
      <c r="D12" s="75" t="s">
        <v>244</v>
      </c>
    </row>
    <row r="13" spans="1:4" ht="34.049999999999997" customHeight="1">
      <c r="A13" s="73" t="s">
        <v>245</v>
      </c>
      <c r="B13" s="74">
        <v>0</v>
      </c>
      <c r="C13" s="74" t="s">
        <v>246</v>
      </c>
      <c r="D13" s="75" t="s">
        <v>247</v>
      </c>
    </row>
    <row r="14" spans="1:4" ht="34.049999999999997" customHeight="1">
      <c r="A14" s="76" t="s">
        <v>133</v>
      </c>
      <c r="B14" s="77">
        <v>4</v>
      </c>
      <c r="C14" s="77" t="s">
        <v>248</v>
      </c>
      <c r="D14" s="78" t="s">
        <v>249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00_Dashboard</vt:lpstr>
      <vt:lpstr>Source_Raw</vt:lpstr>
      <vt:lpstr>Raw_Data</vt:lpstr>
      <vt:lpstr>Item_Metadata</vt:lpstr>
      <vt:lpstr>Unit_Index</vt:lpstr>
      <vt:lpstr>HSCS2569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wilasinee kue</cp:lastModifiedBy>
  <dcterms:modified xsi:type="dcterms:W3CDTF">2026-08-15T07:01:20Z</dcterms:modified>
</cp:coreProperties>
</file>